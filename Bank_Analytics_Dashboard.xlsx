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drawings/drawing3.xml" ContentType="application/vnd.openxmlformats-officedocument.drawing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drawings/drawing4.xml" ContentType="application/vnd.openxmlformats-officedocument.drawing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drawings/drawing5.xml" ContentType="application/vnd.openxmlformats-officedocument.drawing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drawings/drawing6.xml" ContentType="application/vnd.openxmlformats-officedocument.drawing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charts/chart20.xml" ContentType="application/vnd.openxmlformats-officedocument.drawingml.chart+xml"/>
  <Override PartName="/xl/charts/chart21.xml" ContentType="application/vnd.openxmlformats-officedocument.drawingml.char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929"/>
  <workbookPr hidePivotFieldList="1"/>
  <mc:AlternateContent xmlns:mc="http://schemas.openxmlformats.org/markup-compatibility/2006">
    <mc:Choice Requires="x15">
      <x15ac:absPath xmlns:x15ac="http://schemas.microsoft.com/office/spreadsheetml/2010/11/ac" url="C:\Users\hp\Documents\Bank_Dashboard\"/>
    </mc:Choice>
  </mc:AlternateContent>
  <xr:revisionPtr revIDLastSave="0" documentId="13_ncr:1_{1978FEAB-298E-4DDF-BBC6-052960DD49F6}" xr6:coauthVersionLast="44" xr6:coauthVersionMax="44" xr10:uidLastSave="{00000000-0000-0000-0000-000000000000}"/>
  <bookViews>
    <workbookView xWindow="-120" yWindow="-120" windowWidth="20730" windowHeight="11310" activeTab="4" xr2:uid="{00000000-000D-0000-FFFF-FFFF00000000}"/>
  </bookViews>
  <sheets>
    <sheet name="Home" sheetId="1" r:id="rId1"/>
    <sheet name="Customer" sheetId="2" r:id="rId2"/>
    <sheet name="Transaction" sheetId="3" r:id="rId3"/>
    <sheet name="LoanPortfolio" sheetId="4" r:id="rId4"/>
    <sheet name="EMI_Repayment" sheetId="5" r:id="rId5"/>
    <sheet name="BranchPerf" sheetId="6" r:id="rId6"/>
    <sheet name="RawData_Customers" sheetId="7" r:id="rId7"/>
    <sheet name="RawData_Loans" sheetId="8" r:id="rId8"/>
    <sheet name="RawData_Transactions" sheetId="9" r:id="rId9"/>
    <sheet name="Lists" sheetId="10" state="hidden" r:id="rId10"/>
    <sheet name="Calc" sheetId="11" state="hidden" r:id="rId11"/>
  </sheets>
  <calcPr calcId="191029"/>
  <extLs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calcChain.xml><?xml version="1.0" encoding="utf-8"?>
<calcChain xmlns="http://schemas.openxmlformats.org/spreadsheetml/2006/main">
  <c r="E195" i="11" l="1"/>
  <c r="D195" i="11"/>
  <c r="C195" i="11"/>
  <c r="B195" i="11"/>
  <c r="E194" i="11"/>
  <c r="D194" i="11"/>
  <c r="C194" i="11"/>
  <c r="B194" i="11"/>
  <c r="E193" i="11"/>
  <c r="D193" i="11"/>
  <c r="C193" i="11"/>
  <c r="B193" i="11"/>
  <c r="E192" i="11"/>
  <c r="D192" i="11"/>
  <c r="C192" i="11"/>
  <c r="B192" i="11"/>
  <c r="E191" i="11"/>
  <c r="B202" i="11" s="1"/>
  <c r="K6" i="6" s="1"/>
  <c r="D191" i="11"/>
  <c r="B201" i="11" s="1"/>
  <c r="H6" i="6" s="1"/>
  <c r="C191" i="11"/>
  <c r="B200" i="11" s="1"/>
  <c r="E6" i="6" s="1"/>
  <c r="B191" i="11"/>
  <c r="B199" i="11" s="1"/>
  <c r="B6" i="6" s="1"/>
  <c r="B180" i="11"/>
  <c r="B179" i="11"/>
  <c r="B176" i="11"/>
  <c r="B175" i="11"/>
  <c r="B174" i="11"/>
  <c r="B173" i="11"/>
  <c r="C169" i="11"/>
  <c r="B169" i="11"/>
  <c r="C168" i="11"/>
  <c r="B168" i="11"/>
  <c r="C167" i="11"/>
  <c r="B167" i="11"/>
  <c r="C166" i="11"/>
  <c r="B166" i="11"/>
  <c r="B162" i="11"/>
  <c r="B161" i="11"/>
  <c r="H6" i="5" s="1"/>
  <c r="B160" i="11"/>
  <c r="B159" i="11"/>
  <c r="B6" i="5" s="1"/>
  <c r="B152" i="11"/>
  <c r="B151" i="11"/>
  <c r="B150" i="11"/>
  <c r="D146" i="11"/>
  <c r="C146" i="11"/>
  <c r="B146" i="11"/>
  <c r="D145" i="11"/>
  <c r="C145" i="11"/>
  <c r="B145" i="11"/>
  <c r="D144" i="11"/>
  <c r="C144" i="11"/>
  <c r="B144" i="11"/>
  <c r="D143" i="11"/>
  <c r="C143" i="11"/>
  <c r="B143" i="11"/>
  <c r="B139" i="11"/>
  <c r="B138" i="11"/>
  <c r="B137" i="11"/>
  <c r="B136" i="11"/>
  <c r="C101" i="11"/>
  <c r="B101" i="11"/>
  <c r="C100" i="11"/>
  <c r="B100" i="11"/>
  <c r="C99" i="11"/>
  <c r="B99" i="11"/>
  <c r="C98" i="11"/>
  <c r="B98" i="11"/>
  <c r="C97" i="11"/>
  <c r="B97" i="11"/>
  <c r="B93" i="11"/>
  <c r="B92" i="11"/>
  <c r="B91" i="11"/>
  <c r="B90" i="11"/>
  <c r="B89" i="11"/>
  <c r="B88" i="11"/>
  <c r="B87" i="11"/>
  <c r="B86" i="11"/>
  <c r="B85" i="11"/>
  <c r="B84" i="11"/>
  <c r="B83" i="11"/>
  <c r="B82" i="11"/>
  <c r="B78" i="11"/>
  <c r="H6" i="3" s="1"/>
  <c r="B77" i="11"/>
  <c r="B76" i="11"/>
  <c r="B6" i="3" s="1"/>
  <c r="B61" i="11"/>
  <c r="B60" i="11"/>
  <c r="B59" i="11"/>
  <c r="B58" i="11"/>
  <c r="B54" i="11"/>
  <c r="B53" i="11"/>
  <c r="B52" i="11"/>
  <c r="B51" i="11"/>
  <c r="B50" i="11"/>
  <c r="B46" i="11"/>
  <c r="B45" i="11"/>
  <c r="B41" i="11"/>
  <c r="B40" i="11"/>
  <c r="B39" i="11"/>
  <c r="B38" i="11"/>
  <c r="B37" i="11"/>
  <c r="B33" i="11"/>
  <c r="H6" i="2" s="1"/>
  <c r="B32" i="11"/>
  <c r="E6" i="2" s="1"/>
  <c r="B31" i="11"/>
  <c r="B6" i="2" s="1"/>
  <c r="B21" i="11"/>
  <c r="B20" i="11"/>
  <c r="B19" i="11"/>
  <c r="B18" i="11"/>
  <c r="C14" i="11"/>
  <c r="B14" i="11"/>
  <c r="C13" i="11"/>
  <c r="B13" i="11"/>
  <c r="C12" i="11"/>
  <c r="B12" i="11"/>
  <c r="C11" i="11"/>
  <c r="B11" i="11"/>
  <c r="C10" i="11"/>
  <c r="E9" i="11" s="1"/>
  <c r="B10" i="11"/>
  <c r="B6" i="11"/>
  <c r="K6" i="1" s="1"/>
  <c r="B5" i="11"/>
  <c r="H6" i="1" s="1"/>
  <c r="B4" i="11"/>
  <c r="E6" i="1" s="1"/>
  <c r="B3" i="11"/>
  <c r="B6" i="1" s="1"/>
  <c r="N13" i="6"/>
  <c r="N13" i="5"/>
  <c r="K6" i="5"/>
  <c r="E6" i="5"/>
  <c r="N13" i="4"/>
  <c r="K6" i="4"/>
  <c r="H6" i="4"/>
  <c r="E6" i="4"/>
  <c r="B6" i="4"/>
  <c r="N13" i="3"/>
  <c r="E6" i="3"/>
  <c r="N13" i="2"/>
  <c r="B21" i="1"/>
  <c r="K15" i="1"/>
  <c r="H15" i="1"/>
  <c r="E15" i="1"/>
  <c r="B15" i="1"/>
</calcChain>
</file>

<file path=xl/sharedStrings.xml><?xml version="1.0" encoding="utf-8"?>
<sst xmlns="http://schemas.openxmlformats.org/spreadsheetml/2006/main" count="23376" uniqueCount="5916">
  <si>
    <t>▼  FILTERS</t>
  </si>
  <si>
    <t>Filter by Branch:</t>
  </si>
  <si>
    <t>Banking &amp; Loan Analytics  |  Group B  |  5-Module Overview</t>
  </si>
  <si>
    <t>All Branches</t>
  </si>
  <si>
    <t>TOTAL CUSTOMERS</t>
  </si>
  <si>
    <t>TOTAL LOAN BOOK (₹)</t>
  </si>
  <si>
    <t>TOTAL TRANSACTIONS</t>
  </si>
  <si>
    <t>AVG REPAYMENT RATE</t>
  </si>
  <si>
    <t>Explore the 5 Modules</t>
  </si>
  <si>
    <t>1.  Customer
Analytics</t>
  </si>
  <si>
    <t>2.  Transaction
Analytics</t>
  </si>
  <si>
    <t>3.  Loan
Portfolio</t>
  </si>
  <si>
    <t>4.  EMI &amp;
Repayment</t>
  </si>
  <si>
    <t>Demographics, income &amp; account profile</t>
  </si>
  <si>
    <t>Volume, value &amp; activity trends</t>
  </si>
  <si>
    <t>Loan book by type, amount &amp; status</t>
  </si>
  <si>
    <t>Repayment rate &amp; overdue tracking</t>
  </si>
  <si>
    <t>5.  Branch
Performance</t>
  </si>
  <si>
    <t>Branch-wise comparison &amp; ranking</t>
  </si>
  <si>
    <t>MODULE 1 — CUSTOMER ANALYTICS</t>
  </si>
  <si>
    <t>Who are our customers: demographics, income &amp; account profile</t>
  </si>
  <si>
    <t>5 Branches
Across North India</t>
  </si>
  <si>
    <t>AVERAGE AGE</t>
  </si>
  <si>
    <t>AVG MONTHLY INCOME (₹)</t>
  </si>
  <si>
    <t>Data source: RawData_Customers sheet (CustTbl), 400 rows. This filter narrows every KPI and chart on this page to the chosen branch.</t>
  </si>
  <si>
    <t>Customer Profile Charts</t>
  </si>
  <si>
    <t>MODULE 2 — TRANSACTION ANALYTICS</t>
  </si>
  <si>
    <t>Transaction volume, value &amp; activity trends over the last 12 months</t>
  </si>
  <si>
    <t>12-Month
Activity Window</t>
  </si>
  <si>
    <t>TOTAL VALUE (₹)</t>
  </si>
  <si>
    <t>AVG TRANSACTION VALUE (₹)</t>
  </si>
  <si>
    <t>Data source: RawData_Transactions sheet (TxnTbl), 3,606 rows covering Sep 2025 to Aug 2026.</t>
  </si>
  <si>
    <t>Transaction Pattern Charts</t>
  </si>
  <si>
    <t>MODULE 3 — LOAN PORTFOLIO</t>
  </si>
  <si>
    <t>Loan book composition by type, amount, interest rate &amp; status</t>
  </si>
  <si>
    <t>TOTAL LOANS</t>
  </si>
  <si>
    <t>TOTAL LOAN AMOUNT (₹)</t>
  </si>
  <si>
    <t>AVG LOAN AMOUNT (₹)</t>
  </si>
  <si>
    <t>AVG INTEREST RATE</t>
  </si>
  <si>
    <t>Data source: RawData_Loans sheet (LoanTbl), 320 loans across 4 loan types: Home, Personal, Auto, Business.</t>
  </si>
  <si>
    <t>Loan Book Charts</t>
  </si>
  <si>
    <t>MODULE 4 — EMI &amp; REPAYMENT ANALYSIS</t>
  </si>
  <si>
    <t>EMI amounts, repayment consistency &amp; overdue tracking</t>
  </si>
  <si>
    <t>LOANS OVERDUE (3+ missed)</t>
  </si>
  <si>
    <t>EST. EMI COLLECTED (₹)</t>
  </si>
  <si>
    <t>ON-TIME LOANS (0 missed)</t>
  </si>
  <si>
    <t>Data source: RawData_Loans sheet — EMIsPaid / EMIsMissed / MonthsElapsed columns, aggregated per loan type.</t>
  </si>
  <si>
    <t>Repayment Behaviour Charts</t>
  </si>
  <si>
    <t>MODULE 5 — BRANCH PERFORMANCE</t>
  </si>
  <si>
    <t>Highlight Branch:</t>
  </si>
  <si>
    <t>Comparing all 5 branches on customers, loans, transactions &amp; repayment</t>
  </si>
  <si>
    <t>Agra Sadar Branch</t>
  </si>
  <si>
    <t>SELECTED: CUSTOMERS</t>
  </si>
  <si>
    <t>SELECTED: LOAN AMOUNT (₹)</t>
  </si>
  <si>
    <t>SELECTED: TXN VALUE (₹)</t>
  </si>
  <si>
    <t>SELECTED: REPAY RATE</t>
  </si>
  <si>
    <t>This selector only highlights one branch's numbers in the KPI cards below. The 4 comparison charts always show all 5 branches side by side, since that's the point of a branch comparison.</t>
  </si>
  <si>
    <t>All-Branch Comparison Charts</t>
  </si>
  <si>
    <t>CustomerID</t>
  </si>
  <si>
    <t>CustomerName</t>
  </si>
  <si>
    <t>Gender</t>
  </si>
  <si>
    <t>Age</t>
  </si>
  <si>
    <t>City</t>
  </si>
  <si>
    <t>Branch</t>
  </si>
  <si>
    <t>Occupation</t>
  </si>
  <si>
    <t>MonthlyIncome</t>
  </si>
  <si>
    <t>AccountType</t>
  </si>
  <si>
    <t>AccountBalance</t>
  </si>
  <si>
    <t>CustomerSince</t>
  </si>
  <si>
    <t>C0001</t>
  </si>
  <si>
    <t>Forum Rana</t>
  </si>
  <si>
    <t>Female</t>
  </si>
  <si>
    <t>Kanpur</t>
  </si>
  <si>
    <t>Kanpur Civil Lines Branch</t>
  </si>
  <si>
    <t>Salaried</t>
  </si>
  <si>
    <t>Savings</t>
  </si>
  <si>
    <t>2023-01-04</t>
  </si>
  <si>
    <t>C0002</t>
  </si>
  <si>
    <t>Balhaar Wason</t>
  </si>
  <si>
    <t>Male</t>
  </si>
  <si>
    <t>Agra</t>
  </si>
  <si>
    <t>Self-Employed</t>
  </si>
  <si>
    <t>Salary</t>
  </si>
  <si>
    <t>2019-05-30</t>
  </si>
  <si>
    <t>C0003</t>
  </si>
  <si>
    <t>Qadim Bhardwaj</t>
  </si>
  <si>
    <t>Lucknow</t>
  </si>
  <si>
    <t>Lucknow City Branch</t>
  </si>
  <si>
    <t>2018-01-07</t>
  </si>
  <si>
    <t>C0004</t>
  </si>
  <si>
    <t>Anjali Chadha</t>
  </si>
  <si>
    <t>Government Employee</t>
  </si>
  <si>
    <t>2019-07-04</t>
  </si>
  <si>
    <t>C0005</t>
  </si>
  <si>
    <t>Shaurya Boase</t>
  </si>
  <si>
    <t>Meerut</t>
  </si>
  <si>
    <t>Meerut Cantt Branch</t>
  </si>
  <si>
    <t>2019-06-25</t>
  </si>
  <si>
    <t>C0006</t>
  </si>
  <si>
    <t>Chakradev Samra</t>
  </si>
  <si>
    <t>2018-08-14</t>
  </si>
  <si>
    <t>C0007</t>
  </si>
  <si>
    <t>David Kapoor</t>
  </si>
  <si>
    <t>2019-01-11</t>
  </si>
  <si>
    <t>C0008</t>
  </si>
  <si>
    <t>Rushil Bawa</t>
  </si>
  <si>
    <t>2018-02-04</t>
  </si>
  <si>
    <t>C0009</t>
  </si>
  <si>
    <t>Arin Deol</t>
  </si>
  <si>
    <t>2024-08-18</t>
  </si>
  <si>
    <t>C0010</t>
  </si>
  <si>
    <t>Ubika Dhawan</t>
  </si>
  <si>
    <t>2021-01-21</t>
  </si>
  <si>
    <t>C0011</t>
  </si>
  <si>
    <t>Nikita Golla</t>
  </si>
  <si>
    <t>Current</t>
  </si>
  <si>
    <t>2019-09-27</t>
  </si>
  <si>
    <t>C0012</t>
  </si>
  <si>
    <t>Girindra Pradhan</t>
  </si>
  <si>
    <t>2020-11-07</t>
  </si>
  <si>
    <t>C0013</t>
  </si>
  <si>
    <t>Bhavika Bhasin</t>
  </si>
  <si>
    <t>Business Owner</t>
  </si>
  <si>
    <t>2022-09-28</t>
  </si>
  <si>
    <t>C0014</t>
  </si>
  <si>
    <t>Yadavi Wali</t>
  </si>
  <si>
    <t>2022-06-26</t>
  </si>
  <si>
    <t>C0015</t>
  </si>
  <si>
    <t>Nirja Shroff</t>
  </si>
  <si>
    <t>Retired</t>
  </si>
  <si>
    <t>2023-04-05</t>
  </si>
  <si>
    <t>C0016</t>
  </si>
  <si>
    <t>Radhika Mistry</t>
  </si>
  <si>
    <t>2023-07-04</t>
  </si>
  <si>
    <t>C0017</t>
  </si>
  <si>
    <t>Hemangini Kohli</t>
  </si>
  <si>
    <t>2022-04-26</t>
  </si>
  <si>
    <t>C0018</t>
  </si>
  <si>
    <t>Mason Vohra</t>
  </si>
  <si>
    <t>2023-06-26</t>
  </si>
  <si>
    <t>C0019</t>
  </si>
  <si>
    <t>Pavani Sen</t>
  </si>
  <si>
    <t>2020-11-22</t>
  </si>
  <si>
    <t>C0020</t>
  </si>
  <si>
    <t>Balhaar Dalal</t>
  </si>
  <si>
    <t>Noida</t>
  </si>
  <si>
    <t>Noida Sector 18 Branch</t>
  </si>
  <si>
    <t>2022-07-16</t>
  </si>
  <si>
    <t>C0021</t>
  </si>
  <si>
    <t>Fitan Oommen</t>
  </si>
  <si>
    <t>2019-10-12</t>
  </si>
  <si>
    <t>C0022</t>
  </si>
  <si>
    <t>Wishi Sama</t>
  </si>
  <si>
    <t>2018-11-13</t>
  </si>
  <si>
    <t>C0023</t>
  </si>
  <si>
    <t>Brinda Murthy</t>
  </si>
  <si>
    <t>2021-10-30</t>
  </si>
  <si>
    <t>C0024</t>
  </si>
  <si>
    <t>Pushti Taneja</t>
  </si>
  <si>
    <t>2021-04-08</t>
  </si>
  <si>
    <t>C0025</t>
  </si>
  <si>
    <t>Bakhshi Chander</t>
  </si>
  <si>
    <t>2024-05-21</t>
  </si>
  <si>
    <t>C0026</t>
  </si>
  <si>
    <t>Warjas Bhattacharyya</t>
  </si>
  <si>
    <t>2019-12-13</t>
  </si>
  <si>
    <t>C0027</t>
  </si>
  <si>
    <t>Nilima Sehgal</t>
  </si>
  <si>
    <t>2023-11-03</t>
  </si>
  <si>
    <t>C0028</t>
  </si>
  <si>
    <t>Sanya Palan</t>
  </si>
  <si>
    <t>2023-12-05</t>
  </si>
  <si>
    <t>C0029</t>
  </si>
  <si>
    <t>Vihaan Pant</t>
  </si>
  <si>
    <t>2024-08-19</t>
  </si>
  <si>
    <t>C0030</t>
  </si>
  <si>
    <t>Devika Tak</t>
  </si>
  <si>
    <t>2024-02-12</t>
  </si>
  <si>
    <t>C0031</t>
  </si>
  <si>
    <t>Janani Mani</t>
  </si>
  <si>
    <t>2021-12-10</t>
  </si>
  <si>
    <t>C0032</t>
  </si>
  <si>
    <t>Jatin Rao</t>
  </si>
  <si>
    <t>2017-01-01</t>
  </si>
  <si>
    <t>C0033</t>
  </si>
  <si>
    <t>Yuvraj Buch</t>
  </si>
  <si>
    <t>2017-04-15</t>
  </si>
  <si>
    <t>C0034</t>
  </si>
  <si>
    <t>Udarsh Ratti</t>
  </si>
  <si>
    <t>2019-10-31</t>
  </si>
  <si>
    <t>C0035</t>
  </si>
  <si>
    <t>Ekantika Sani</t>
  </si>
  <si>
    <t>2022-06-23</t>
  </si>
  <si>
    <t>C0036</t>
  </si>
  <si>
    <t>Triya Parmer</t>
  </si>
  <si>
    <t>2018-02-23</t>
  </si>
  <si>
    <t>C0037</t>
  </si>
  <si>
    <t>Kala Dora</t>
  </si>
  <si>
    <t>2022-10-16</t>
  </si>
  <si>
    <t>C0038</t>
  </si>
  <si>
    <t>Gaurang Dora</t>
  </si>
  <si>
    <t>2018-08-24</t>
  </si>
  <si>
    <t>C0039</t>
  </si>
  <si>
    <t>Jackson Arora</t>
  </si>
  <si>
    <t>2018-01-08</t>
  </si>
  <si>
    <t>C0040</t>
  </si>
  <si>
    <t>Hemani Lall</t>
  </si>
  <si>
    <t>2019-07-02</t>
  </si>
  <si>
    <t>C0041</t>
  </si>
  <si>
    <t>Aahana Dhingra</t>
  </si>
  <si>
    <t>2019-03-11</t>
  </si>
  <si>
    <t>C0042</t>
  </si>
  <si>
    <t>Qasim Nagar</t>
  </si>
  <si>
    <t>2022-10-22</t>
  </si>
  <si>
    <t>C0043</t>
  </si>
  <si>
    <t>Yasti Bhagat</t>
  </si>
  <si>
    <t>2020-02-19</t>
  </si>
  <si>
    <t>C0044</t>
  </si>
  <si>
    <t>Shivani Rao</t>
  </si>
  <si>
    <t>2020-11-11</t>
  </si>
  <si>
    <t>C0045</t>
  </si>
  <si>
    <t>Shravya Chawla</t>
  </si>
  <si>
    <t>2019-06-23</t>
  </si>
  <si>
    <t>C0046</t>
  </si>
  <si>
    <t>Sai Bhatia</t>
  </si>
  <si>
    <t>2022-05-31</t>
  </si>
  <si>
    <t>C0047</t>
  </si>
  <si>
    <t>Bahadurjit Joshi</t>
  </si>
  <si>
    <t>2024-03-19</t>
  </si>
  <si>
    <t>C0048</t>
  </si>
  <si>
    <t>Finn Choudhary</t>
  </si>
  <si>
    <t>2025-05-31</t>
  </si>
  <si>
    <t>C0049</t>
  </si>
  <si>
    <t>Atharv Chaudry</t>
  </si>
  <si>
    <t>2024-02-18</t>
  </si>
  <si>
    <t>C0050</t>
  </si>
  <si>
    <t>Forum Yadav</t>
  </si>
  <si>
    <t>2021-06-10</t>
  </si>
  <si>
    <t>C0051</t>
  </si>
  <si>
    <t>Rajata Bal</t>
  </si>
  <si>
    <t>2018-10-13</t>
  </si>
  <si>
    <t>C0052</t>
  </si>
  <si>
    <t>Hemang Puri</t>
  </si>
  <si>
    <t>2022-03-22</t>
  </si>
  <si>
    <t>C0053</t>
  </si>
  <si>
    <t>Jonathan Palan</t>
  </si>
  <si>
    <t>2024-05-16</t>
  </si>
  <si>
    <t>C0054</t>
  </si>
  <si>
    <t>Vritti Das</t>
  </si>
  <si>
    <t>2017-02-28</t>
  </si>
  <si>
    <t>C0055</t>
  </si>
  <si>
    <t>Yagnesh Shukla</t>
  </si>
  <si>
    <t>2019-03-09</t>
  </si>
  <si>
    <t>C0056</t>
  </si>
  <si>
    <t>Wyatt Muni</t>
  </si>
  <si>
    <t>2019-09-13</t>
  </si>
  <si>
    <t>C0057</t>
  </si>
  <si>
    <t>Eshana Chaudry</t>
  </si>
  <si>
    <t>2017-09-07</t>
  </si>
  <si>
    <t>C0058</t>
  </si>
  <si>
    <t>Libni Srinivas</t>
  </si>
  <si>
    <t>2022-10-18</t>
  </si>
  <si>
    <t>C0059</t>
  </si>
  <si>
    <t>Yauvani Bajaj</t>
  </si>
  <si>
    <t>2022-09-23</t>
  </si>
  <si>
    <t>C0060</t>
  </si>
  <si>
    <t>Pratyush Din</t>
  </si>
  <si>
    <t>2018-09-06</t>
  </si>
  <si>
    <t>C0061</t>
  </si>
  <si>
    <t>Manthan Chand</t>
  </si>
  <si>
    <t>2023-03-30</t>
  </si>
  <si>
    <t>C0062</t>
  </si>
  <si>
    <t>Qadim Ganesh</t>
  </si>
  <si>
    <t>C0063</t>
  </si>
  <si>
    <t>Isaac Walia</t>
  </si>
  <si>
    <t>2017-06-22</t>
  </si>
  <si>
    <t>C0064</t>
  </si>
  <si>
    <t>Isaac Hayer</t>
  </si>
  <si>
    <t>2017-09-17</t>
  </si>
  <si>
    <t>C0065</t>
  </si>
  <si>
    <t>Suhani Karan</t>
  </si>
  <si>
    <t>2022-09-29</t>
  </si>
  <si>
    <t>C0066</t>
  </si>
  <si>
    <t>Yatin Parekh</t>
  </si>
  <si>
    <t>2022-05-13</t>
  </si>
  <si>
    <t>C0067</t>
  </si>
  <si>
    <t>Akshay Mammen</t>
  </si>
  <si>
    <t>2019-11-30</t>
  </si>
  <si>
    <t>C0068</t>
  </si>
  <si>
    <t>Kai Hari</t>
  </si>
  <si>
    <t>2021-12-16</t>
  </si>
  <si>
    <t>C0069</t>
  </si>
  <si>
    <t>Vansha Palla</t>
  </si>
  <si>
    <t>2019-05-22</t>
  </si>
  <si>
    <t>C0070</t>
  </si>
  <si>
    <t>Chaitaly Kannan</t>
  </si>
  <si>
    <t>2025-01-12</t>
  </si>
  <si>
    <t>C0071</t>
  </si>
  <si>
    <t>Jhalak Singhal</t>
  </si>
  <si>
    <t>2022-03-31</t>
  </si>
  <si>
    <t>C0072</t>
  </si>
  <si>
    <t>Om Jayaraman</t>
  </si>
  <si>
    <t>2024-06-28</t>
  </si>
  <si>
    <t>C0073</t>
  </si>
  <si>
    <t>Aadi Srinivas</t>
  </si>
  <si>
    <t>2021-07-13</t>
  </si>
  <si>
    <t>C0074</t>
  </si>
  <si>
    <t>Chaman Dar</t>
  </si>
  <si>
    <t>2025-02-05</t>
  </si>
  <si>
    <t>C0075</t>
  </si>
  <si>
    <t>Irya Sridhar</t>
  </si>
  <si>
    <t>2024-11-20</t>
  </si>
  <si>
    <t>C0076</t>
  </si>
  <si>
    <t>Teerth Natarajan</t>
  </si>
  <si>
    <t>2022-09-30</t>
  </si>
  <si>
    <t>C0077</t>
  </si>
  <si>
    <t>Rudra Sheth</t>
  </si>
  <si>
    <t>2018-03-06</t>
  </si>
  <si>
    <t>C0078</t>
  </si>
  <si>
    <t>Brijesh Dutt</t>
  </si>
  <si>
    <t>2019-01-14</t>
  </si>
  <si>
    <t>C0079</t>
  </si>
  <si>
    <t>Eesha Bala</t>
  </si>
  <si>
    <t>2024-07-31</t>
  </si>
  <si>
    <t>C0080</t>
  </si>
  <si>
    <t>Vidhi Dhingra</t>
  </si>
  <si>
    <t>2023-05-27</t>
  </si>
  <si>
    <t>C0081</t>
  </si>
  <si>
    <t>Pushti Dugal</t>
  </si>
  <si>
    <t>2024-09-19</t>
  </si>
  <si>
    <t>C0082</t>
  </si>
  <si>
    <t>Advaith Atwal</t>
  </si>
  <si>
    <t>2017-03-10</t>
  </si>
  <si>
    <t>C0083</t>
  </si>
  <si>
    <t>Ekaraj Saraf</t>
  </si>
  <si>
    <t>2017-09-30</t>
  </si>
  <si>
    <t>C0084</t>
  </si>
  <si>
    <t>Jagvi Bala</t>
  </si>
  <si>
    <t>2023-03-16</t>
  </si>
  <si>
    <t>C0085</t>
  </si>
  <si>
    <t>Jagvi Master</t>
  </si>
  <si>
    <t>2024-12-16</t>
  </si>
  <si>
    <t>C0086</t>
  </si>
  <si>
    <t>Nicholas Lad</t>
  </si>
  <si>
    <t>2019-01-12</t>
  </si>
  <si>
    <t>C0087</t>
  </si>
  <si>
    <t>Dominic Bhat</t>
  </si>
  <si>
    <t>2019-04-24</t>
  </si>
  <si>
    <t>C0088</t>
  </si>
  <si>
    <t>Vasudha Varughese</t>
  </si>
  <si>
    <t>C0089</t>
  </si>
  <si>
    <t>Zashil De</t>
  </si>
  <si>
    <t>2022-09-03</t>
  </si>
  <si>
    <t>C0090</t>
  </si>
  <si>
    <t>Aditya Sarraf</t>
  </si>
  <si>
    <t>2018-03-12</t>
  </si>
  <si>
    <t>C0091</t>
  </si>
  <si>
    <t>Aahana Doctor</t>
  </si>
  <si>
    <t>2022-09-07</t>
  </si>
  <si>
    <t>C0092</t>
  </si>
  <si>
    <t>Ekta Solanki</t>
  </si>
  <si>
    <t>2024-12-04</t>
  </si>
  <si>
    <t>C0093</t>
  </si>
  <si>
    <t>Azaan Nanda</t>
  </si>
  <si>
    <t>2018-06-16</t>
  </si>
  <si>
    <t>C0094</t>
  </si>
  <si>
    <t>Chatresh Bhandari</t>
  </si>
  <si>
    <t>2021-10-31</t>
  </si>
  <si>
    <t>C0095</t>
  </si>
  <si>
    <t>Girish Malhotra</t>
  </si>
  <si>
    <t>2022-09-04</t>
  </si>
  <si>
    <t>C0096</t>
  </si>
  <si>
    <t>Chavvi Tripathi</t>
  </si>
  <si>
    <t>2022-02-25</t>
  </si>
  <si>
    <t>C0097</t>
  </si>
  <si>
    <t>Akshay Bhatnagar</t>
  </si>
  <si>
    <t>2021-01-31</t>
  </si>
  <si>
    <t>C0098</t>
  </si>
  <si>
    <t>Omaja Tiwari</t>
  </si>
  <si>
    <t>2020-06-21</t>
  </si>
  <si>
    <t>C0099</t>
  </si>
  <si>
    <t>Lakshit Sethi</t>
  </si>
  <si>
    <t>2017-12-10</t>
  </si>
  <si>
    <t>C0100</t>
  </si>
  <si>
    <t>Yashica Kota</t>
  </si>
  <si>
    <t>2022-08-30</t>
  </si>
  <si>
    <t>C0101</t>
  </si>
  <si>
    <t>Harrison Sem</t>
  </si>
  <si>
    <t>2021-06-25</t>
  </si>
  <si>
    <t>C0102</t>
  </si>
  <si>
    <t>Sathvik Dara</t>
  </si>
  <si>
    <t>2019-08-12</t>
  </si>
  <si>
    <t>C0103</t>
  </si>
  <si>
    <t>Timothy Mutti</t>
  </si>
  <si>
    <t>2018-09-28</t>
  </si>
  <si>
    <t>C0104</t>
  </si>
  <si>
    <t>Kavya Sangha</t>
  </si>
  <si>
    <t>2020-03-09</t>
  </si>
  <si>
    <t>C0105</t>
  </si>
  <si>
    <t>Hitesh Mitter</t>
  </si>
  <si>
    <t>2022-10-03</t>
  </si>
  <si>
    <t>C0106</t>
  </si>
  <si>
    <t>Garima Pau</t>
  </si>
  <si>
    <t>2022-08-28</t>
  </si>
  <si>
    <t>C0107</t>
  </si>
  <si>
    <t>Jonathan Devan</t>
  </si>
  <si>
    <t>2024-10-10</t>
  </si>
  <si>
    <t>C0108</t>
  </si>
  <si>
    <t>Imaran Chandra</t>
  </si>
  <si>
    <t>2021-01-17</t>
  </si>
  <si>
    <t>C0109</t>
  </si>
  <si>
    <t>Yagnesh Gaba</t>
  </si>
  <si>
    <t>2024-01-16</t>
  </si>
  <si>
    <t>C0110</t>
  </si>
  <si>
    <t>Faris Sankar</t>
  </si>
  <si>
    <t>2017-01-14</t>
  </si>
  <si>
    <t>C0111</t>
  </si>
  <si>
    <t>Pallavi Sama</t>
  </si>
  <si>
    <t>2023-01-02</t>
  </si>
  <si>
    <t>C0112</t>
  </si>
  <si>
    <t>Pranav Nagar</t>
  </si>
  <si>
    <t>2019-10-30</t>
  </si>
  <si>
    <t>C0113</t>
  </si>
  <si>
    <t>Qadim Bahl</t>
  </si>
  <si>
    <t>2019-08-04</t>
  </si>
  <si>
    <t>C0114</t>
  </si>
  <si>
    <t>Vasudha Sastry</t>
  </si>
  <si>
    <t>2024-09-01</t>
  </si>
  <si>
    <t>C0115</t>
  </si>
  <si>
    <t>Sanaya Narula</t>
  </si>
  <si>
    <t>2017-11-14</t>
  </si>
  <si>
    <t>C0116</t>
  </si>
  <si>
    <t>Azad Chowdhury</t>
  </si>
  <si>
    <t>2020-05-31</t>
  </si>
  <si>
    <t>C0117</t>
  </si>
  <si>
    <t>Charles Chad</t>
  </si>
  <si>
    <t>2024-07-15</t>
  </si>
  <si>
    <t>C0118</t>
  </si>
  <si>
    <t>Laban Baral</t>
  </si>
  <si>
    <t>2022-10-17</t>
  </si>
  <si>
    <t>C0119</t>
  </si>
  <si>
    <t>Lopa Dayal</t>
  </si>
  <si>
    <t>2023-02-28</t>
  </si>
  <si>
    <t>C0120</t>
  </si>
  <si>
    <t>Kai Ravi</t>
  </si>
  <si>
    <t>2017-03-13</t>
  </si>
  <si>
    <t>C0121</t>
  </si>
  <si>
    <t>Yasti Talwar</t>
  </si>
  <si>
    <t>2022-01-15</t>
  </si>
  <si>
    <t>C0122</t>
  </si>
  <si>
    <t>Chanchal Mallick</t>
  </si>
  <si>
    <t>2019-05-14</t>
  </si>
  <si>
    <t>C0123</t>
  </si>
  <si>
    <t>Gavin Sandal</t>
  </si>
  <si>
    <t>2019-12-09</t>
  </si>
  <si>
    <t>C0124</t>
  </si>
  <si>
    <t>Lipika Badal</t>
  </si>
  <si>
    <t>2020-02-20</t>
  </si>
  <si>
    <t>C0125</t>
  </si>
  <si>
    <t>Kalpit Chacko</t>
  </si>
  <si>
    <t>2022-06-15</t>
  </si>
  <si>
    <t>C0126</t>
  </si>
  <si>
    <t>Bhavna Lalla</t>
  </si>
  <si>
    <t>2024-08-23</t>
  </si>
  <si>
    <t>C0127</t>
  </si>
  <si>
    <t>Vasana Apte</t>
  </si>
  <si>
    <t>2020-11-09</t>
  </si>
  <si>
    <t>C0128</t>
  </si>
  <si>
    <t>Turvi Loyal</t>
  </si>
  <si>
    <t>2020-08-22</t>
  </si>
  <si>
    <t>C0129</t>
  </si>
  <si>
    <t>Anya Vyas</t>
  </si>
  <si>
    <t>2024-12-30</t>
  </si>
  <si>
    <t>C0130</t>
  </si>
  <si>
    <t>Christopher Edwin</t>
  </si>
  <si>
    <t>2021-05-18</t>
  </si>
  <si>
    <t>C0131</t>
  </si>
  <si>
    <t>Aryan Golla</t>
  </si>
  <si>
    <t>2017-07-17</t>
  </si>
  <si>
    <t>C0132</t>
  </si>
  <si>
    <t>Nimrat Mody</t>
  </si>
  <si>
    <t>2024-02-14</t>
  </si>
  <si>
    <t>C0133</t>
  </si>
  <si>
    <t>Maanav Sehgal</t>
  </si>
  <si>
    <t>2020-07-16</t>
  </si>
  <si>
    <t>C0134</t>
  </si>
  <si>
    <t>Krishna Palan</t>
  </si>
  <si>
    <t>2017-04-29</t>
  </si>
  <si>
    <t>C0135</t>
  </si>
  <si>
    <t>Ladli Bansal</t>
  </si>
  <si>
    <t>2017-07-22</t>
  </si>
  <si>
    <t>C0136</t>
  </si>
  <si>
    <t>Adya Tiwari</t>
  </si>
  <si>
    <t>2020-03-18</t>
  </si>
  <si>
    <t>C0137</t>
  </si>
  <si>
    <t>Yasti Soman</t>
  </si>
  <si>
    <t>2018-12-01</t>
  </si>
  <si>
    <t>C0138</t>
  </si>
  <si>
    <t>Vansha Cherian</t>
  </si>
  <si>
    <t>2025-04-16</t>
  </si>
  <si>
    <t>C0139</t>
  </si>
  <si>
    <t>Yachana Ramaswamy</t>
  </si>
  <si>
    <t>2023-04-02</t>
  </si>
  <si>
    <t>C0140</t>
  </si>
  <si>
    <t>Janaki Karpe</t>
  </si>
  <si>
    <t>2019-05-02</t>
  </si>
  <si>
    <t>C0141</t>
  </si>
  <si>
    <t>Ira Dey</t>
  </si>
  <si>
    <t>2022-01-18</t>
  </si>
  <si>
    <t>C0142</t>
  </si>
  <si>
    <t>Prisha Bhagat</t>
  </si>
  <si>
    <t>2018-12-17</t>
  </si>
  <si>
    <t>C0143</t>
  </si>
  <si>
    <t>Advika Bobal</t>
  </si>
  <si>
    <t>2019-11-25</t>
  </si>
  <si>
    <t>C0144</t>
  </si>
  <si>
    <t>Tanveer Gade</t>
  </si>
  <si>
    <t>2021-08-23</t>
  </si>
  <si>
    <t>C0145</t>
  </si>
  <si>
    <t>Brijesh Raj</t>
  </si>
  <si>
    <t>2022-08-03</t>
  </si>
  <si>
    <t>C0146</t>
  </si>
  <si>
    <t>Keya Memon</t>
  </si>
  <si>
    <t>2022-08-24</t>
  </si>
  <si>
    <t>C0147</t>
  </si>
  <si>
    <t>Victor Goyal</t>
  </si>
  <si>
    <t>2021-06-26</t>
  </si>
  <si>
    <t>C0148</t>
  </si>
  <si>
    <t>Lipika Sehgal</t>
  </si>
  <si>
    <t>2017-03-31</t>
  </si>
  <si>
    <t>C0149</t>
  </si>
  <si>
    <t>Karan Patla</t>
  </si>
  <si>
    <t>2022-04-23</t>
  </si>
  <si>
    <t>C0150</t>
  </si>
  <si>
    <t>Ojasvi Konda</t>
  </si>
  <si>
    <t>2022-12-03</t>
  </si>
  <si>
    <t>C0151</t>
  </si>
  <si>
    <t>Nilima Kamdar</t>
  </si>
  <si>
    <t>2018-09-25</t>
  </si>
  <si>
    <t>C0152</t>
  </si>
  <si>
    <t>Gavin Agarwal</t>
  </si>
  <si>
    <t>2025-02-04</t>
  </si>
  <si>
    <t>C0153</t>
  </si>
  <si>
    <t>Sai Chacko</t>
  </si>
  <si>
    <t>2018-05-30</t>
  </si>
  <si>
    <t>C0154</t>
  </si>
  <si>
    <t>Liam Thakkar</t>
  </si>
  <si>
    <t>2020-05-29</t>
  </si>
  <si>
    <t>C0155</t>
  </si>
  <si>
    <t>Jeet Thaman</t>
  </si>
  <si>
    <t>2018-04-05</t>
  </si>
  <si>
    <t>C0156</t>
  </si>
  <si>
    <t>Chakradev Lalla</t>
  </si>
  <si>
    <t>2019-02-25</t>
  </si>
  <si>
    <t>C0157</t>
  </si>
  <si>
    <t>Eshana Ratta</t>
  </si>
  <si>
    <t>2017-02-12</t>
  </si>
  <si>
    <t>C0158</t>
  </si>
  <si>
    <t>Shravya Bajaj</t>
  </si>
  <si>
    <t>2019-09-20</t>
  </si>
  <si>
    <t>C0159</t>
  </si>
  <si>
    <t>Nidra Kaul</t>
  </si>
  <si>
    <t>2021-08-14</t>
  </si>
  <si>
    <t>C0160</t>
  </si>
  <si>
    <t>Zarna Dubey</t>
  </si>
  <si>
    <t>2024-07-25</t>
  </si>
  <si>
    <t>C0161</t>
  </si>
  <si>
    <t>Omaja Talwar</t>
  </si>
  <si>
    <t>2021-02-25</t>
  </si>
  <si>
    <t>C0162</t>
  </si>
  <si>
    <t>Lucky Dhillon</t>
  </si>
  <si>
    <t>2021-09-19</t>
  </si>
  <si>
    <t>C0163</t>
  </si>
  <si>
    <t>Yashvi Sanghvi</t>
  </si>
  <si>
    <t>C0164</t>
  </si>
  <si>
    <t>Zayyan Babu</t>
  </si>
  <si>
    <t>2019-03-06</t>
  </si>
  <si>
    <t>C0165</t>
  </si>
  <si>
    <t>Brijesh Balasubramanian</t>
  </si>
  <si>
    <t>2020-04-23</t>
  </si>
  <si>
    <t>C0166</t>
  </si>
  <si>
    <t>Ekalinga Patel</t>
  </si>
  <si>
    <t>C0167</t>
  </si>
  <si>
    <t>Riya Seth</t>
  </si>
  <si>
    <t>2023-09-03</t>
  </si>
  <si>
    <t>C0168</t>
  </si>
  <si>
    <t>Aditya Wali</t>
  </si>
  <si>
    <t>2023-09-08</t>
  </si>
  <si>
    <t>C0169</t>
  </si>
  <si>
    <t>Yash Lalla</t>
  </si>
  <si>
    <t>2021-05-31</t>
  </si>
  <si>
    <t>C0170</t>
  </si>
  <si>
    <t>Vasatika Boase</t>
  </si>
  <si>
    <t>2018-11-10</t>
  </si>
  <si>
    <t>C0171</t>
  </si>
  <si>
    <t>Zansi Bhatti</t>
  </si>
  <si>
    <t>2025-05-15</t>
  </si>
  <si>
    <t>C0172</t>
  </si>
  <si>
    <t>Lajita Borde</t>
  </si>
  <si>
    <t>2021-03-12</t>
  </si>
  <si>
    <t>C0173</t>
  </si>
  <si>
    <t>Kamya Jha</t>
  </si>
  <si>
    <t>2020-02-21</t>
  </si>
  <si>
    <t>C0174</t>
  </si>
  <si>
    <t>Victor Tak</t>
  </si>
  <si>
    <t>2023-04-18</t>
  </si>
  <si>
    <t>C0175</t>
  </si>
  <si>
    <t>Balvan Srinivas</t>
  </si>
  <si>
    <t>2021-11-07</t>
  </si>
  <si>
    <t>C0176</t>
  </si>
  <si>
    <t>Arin Issac</t>
  </si>
  <si>
    <t>2023-01-28</t>
  </si>
  <si>
    <t>C0177</t>
  </si>
  <si>
    <t>Falak Narula</t>
  </si>
  <si>
    <t>2022-04-28</t>
  </si>
  <si>
    <t>C0178</t>
  </si>
  <si>
    <t>Max Deol</t>
  </si>
  <si>
    <t>2021-07-16</t>
  </si>
  <si>
    <t>C0179</t>
  </si>
  <si>
    <t>Wridesh Bhat</t>
  </si>
  <si>
    <t>2017-09-11</t>
  </si>
  <si>
    <t>C0180</t>
  </si>
  <si>
    <t>Lipika Chaudhary</t>
  </si>
  <si>
    <t>2020-10-20</t>
  </si>
  <si>
    <t>C0181</t>
  </si>
  <si>
    <t>Wishi Mannan</t>
  </si>
  <si>
    <t>2017-06-28</t>
  </si>
  <si>
    <t>C0182</t>
  </si>
  <si>
    <t>Vedika Shukla</t>
  </si>
  <si>
    <t>2025-02-03</t>
  </si>
  <si>
    <t>C0183</t>
  </si>
  <si>
    <t>Daniel Iyengar</t>
  </si>
  <si>
    <t>2025-01-09</t>
  </si>
  <si>
    <t>C0184</t>
  </si>
  <si>
    <t>Chaman Solanki</t>
  </si>
  <si>
    <t>2022-07-15</t>
  </si>
  <si>
    <t>C0185</t>
  </si>
  <si>
    <t>Maanav Shanker</t>
  </si>
  <si>
    <t>2025-04-13</t>
  </si>
  <si>
    <t>C0186</t>
  </si>
  <si>
    <t>Yashica Sengupta</t>
  </si>
  <si>
    <t>2020-08-01</t>
  </si>
  <si>
    <t>C0187</t>
  </si>
  <si>
    <t>Sara Kadakia</t>
  </si>
  <si>
    <t>C0188</t>
  </si>
  <si>
    <t>Baljiwan Chana</t>
  </si>
  <si>
    <t>2017-09-23</t>
  </si>
  <si>
    <t>C0189</t>
  </si>
  <si>
    <t>Karan Parsa</t>
  </si>
  <si>
    <t>2021-10-14</t>
  </si>
  <si>
    <t>C0190</t>
  </si>
  <si>
    <t>Logan Chowdhury</t>
  </si>
  <si>
    <t>2018-01-30</t>
  </si>
  <si>
    <t>C0191</t>
  </si>
  <si>
    <t>Kala Tank</t>
  </si>
  <si>
    <t>2018-12-11</t>
  </si>
  <si>
    <t>C0192</t>
  </si>
  <si>
    <t>Ronith Bakshi</t>
  </si>
  <si>
    <t>2024-07-24</t>
  </si>
  <si>
    <t>C0193</t>
  </si>
  <si>
    <t>Aarav Swamy</t>
  </si>
  <si>
    <t>2018-05-12</t>
  </si>
  <si>
    <t>C0194</t>
  </si>
  <si>
    <t>Tanmayi Mittal</t>
  </si>
  <si>
    <t>2019-11-07</t>
  </si>
  <si>
    <t>C0195</t>
  </si>
  <si>
    <t>Turvi Padmanabhan</t>
  </si>
  <si>
    <t>2019-08-23</t>
  </si>
  <si>
    <t>C0196</t>
  </si>
  <si>
    <t>Nakul Dara</t>
  </si>
  <si>
    <t>2020-08-29</t>
  </si>
  <si>
    <t>C0197</t>
  </si>
  <si>
    <t>Aadi Nair</t>
  </si>
  <si>
    <t>2022-11-26</t>
  </si>
  <si>
    <t>C0198</t>
  </si>
  <si>
    <t>Rushil Dar</t>
  </si>
  <si>
    <t>2018-02-24</t>
  </si>
  <si>
    <t>C0199</t>
  </si>
  <si>
    <t>Abeer Mann</t>
  </si>
  <si>
    <t>2022-01-11</t>
  </si>
  <si>
    <t>C0200</t>
  </si>
  <si>
    <t>Ria Bhattacharyya</t>
  </si>
  <si>
    <t>2017-07-26</t>
  </si>
  <si>
    <t>C0201</t>
  </si>
  <si>
    <t>Robert Bose</t>
  </si>
  <si>
    <t>2017-11-04</t>
  </si>
  <si>
    <t>C0202</t>
  </si>
  <si>
    <t>Upadhriti Maharaj</t>
  </si>
  <si>
    <t>2019-12-01</t>
  </si>
  <si>
    <t>C0203</t>
  </si>
  <si>
    <t>Logan Chaudry</t>
  </si>
  <si>
    <t>2020-12-03</t>
  </si>
  <si>
    <t>C0204</t>
  </si>
  <si>
    <t>Luke Dixit</t>
  </si>
  <si>
    <t>2019-04-16</t>
  </si>
  <si>
    <t>C0205</t>
  </si>
  <si>
    <t>Lila Sarin</t>
  </si>
  <si>
    <t>2019-04-14</t>
  </si>
  <si>
    <t>C0206</t>
  </si>
  <si>
    <t>Girish Prakash</t>
  </si>
  <si>
    <t>2023-12-19</t>
  </si>
  <si>
    <t>C0207</t>
  </si>
  <si>
    <t>Amrita Ratta</t>
  </si>
  <si>
    <t>2023-02-23</t>
  </si>
  <si>
    <t>C0208</t>
  </si>
  <si>
    <t>Chaitaly Bawa</t>
  </si>
  <si>
    <t>2024-06-12</t>
  </si>
  <si>
    <t>C0209</t>
  </si>
  <si>
    <t>Umang Devi</t>
  </si>
  <si>
    <t>2024-10-19</t>
  </si>
  <si>
    <t>C0210</t>
  </si>
  <si>
    <t>Watika Bawa</t>
  </si>
  <si>
    <t>2021-09-08</t>
  </si>
  <si>
    <t>C0211</t>
  </si>
  <si>
    <t>Frederick Sodhi</t>
  </si>
  <si>
    <t>2021-08-24</t>
  </si>
  <si>
    <t>C0212</t>
  </si>
  <si>
    <t>Pavani Manda</t>
  </si>
  <si>
    <t>2021-01-30</t>
  </si>
  <si>
    <t>C0213</t>
  </si>
  <si>
    <t>Joshua Lad</t>
  </si>
  <si>
    <t>2017-01-25</t>
  </si>
  <si>
    <t>C0214</t>
  </si>
  <si>
    <t>Kashvi Mitra</t>
  </si>
  <si>
    <t>2021-07-22</t>
  </si>
  <si>
    <t>C0215</t>
  </si>
  <si>
    <t>Shravya Dar</t>
  </si>
  <si>
    <t>2017-07-31</t>
  </si>
  <si>
    <t>C0216</t>
  </si>
  <si>
    <t>Faris Borde</t>
  </si>
  <si>
    <t>2021-02-27</t>
  </si>
  <si>
    <t>C0217</t>
  </si>
  <si>
    <t>Zashil Tank</t>
  </si>
  <si>
    <t>2018-12-05</t>
  </si>
  <si>
    <t>C0218</t>
  </si>
  <si>
    <t>Upkaar Natarajan</t>
  </si>
  <si>
    <t>2019-03-20</t>
  </si>
  <si>
    <t>C0219</t>
  </si>
  <si>
    <t>Unni Dewan</t>
  </si>
  <si>
    <t>2022-06-01</t>
  </si>
  <si>
    <t>C0220</t>
  </si>
  <si>
    <t>Keya Chana</t>
  </si>
  <si>
    <t>2017-12-20</t>
  </si>
  <si>
    <t>C0221</t>
  </si>
  <si>
    <t>Onveer Chand</t>
  </si>
  <si>
    <t>2019-03-15</t>
  </si>
  <si>
    <t>C0222</t>
  </si>
  <si>
    <t>Kashvi Pillay</t>
  </si>
  <si>
    <t>2022-10-23</t>
  </si>
  <si>
    <t>C0223</t>
  </si>
  <si>
    <t>Harrison Bahri</t>
  </si>
  <si>
    <t>2025-02-17</t>
  </si>
  <si>
    <t>C0224</t>
  </si>
  <si>
    <t>Rehaan Sachdev</t>
  </si>
  <si>
    <t>2024-07-16</t>
  </si>
  <si>
    <t>C0225</t>
  </si>
  <si>
    <t>Raghav Madan</t>
  </si>
  <si>
    <t>2023-03-04</t>
  </si>
  <si>
    <t>C0226</t>
  </si>
  <si>
    <t>Bhavani Tara</t>
  </si>
  <si>
    <t>2021-05-14</t>
  </si>
  <si>
    <t>C0227</t>
  </si>
  <si>
    <t>Radha Dass</t>
  </si>
  <si>
    <t>2017-01-15</t>
  </si>
  <si>
    <t>C0228</t>
  </si>
  <si>
    <t>Charita Madan</t>
  </si>
  <si>
    <t>2022-02-21</t>
  </si>
  <si>
    <t>C0229</t>
  </si>
  <si>
    <t>Rehaan Ratta</t>
  </si>
  <si>
    <t>2021-01-08</t>
  </si>
  <si>
    <t>C0230</t>
  </si>
  <si>
    <t>Upma Muni</t>
  </si>
  <si>
    <t>2022-09-21</t>
  </si>
  <si>
    <t>C0231</t>
  </si>
  <si>
    <t>Devansh Bali</t>
  </si>
  <si>
    <t>2025-03-24</t>
  </si>
  <si>
    <t>C0232</t>
  </si>
  <si>
    <t>Vritti Suri</t>
  </si>
  <si>
    <t>2021-03-28</t>
  </si>
  <si>
    <t>C0233</t>
  </si>
  <si>
    <t>Balhaar Raman</t>
  </si>
  <si>
    <t>2025-03-18</t>
  </si>
  <si>
    <t>C0234</t>
  </si>
  <si>
    <t>Udarsh Kothari</t>
  </si>
  <si>
    <t>2020-03-25</t>
  </si>
  <si>
    <t>C0235</t>
  </si>
  <si>
    <t>Isaac Dubey</t>
  </si>
  <si>
    <t>C0236</t>
  </si>
  <si>
    <t>Chatura Shankar</t>
  </si>
  <si>
    <t>2022-02-13</t>
  </si>
  <si>
    <t>C0237</t>
  </si>
  <si>
    <t>Anmol Agarwal</t>
  </si>
  <si>
    <t>2019-05-04</t>
  </si>
  <si>
    <t>C0238</t>
  </si>
  <si>
    <t>Kamala Barad</t>
  </si>
  <si>
    <t>2017-05-31</t>
  </si>
  <si>
    <t>C0239</t>
  </si>
  <si>
    <t>Devansh Krishnamurthy</t>
  </si>
  <si>
    <t>2020-02-14</t>
  </si>
  <si>
    <t>C0240</t>
  </si>
  <si>
    <t>Dayita Chaudhary</t>
  </si>
  <si>
    <t>2018-04-17</t>
  </si>
  <si>
    <t>C0241</t>
  </si>
  <si>
    <t>2022-11-06</t>
  </si>
  <si>
    <t>C0242</t>
  </si>
  <si>
    <t>Rishi Lal</t>
  </si>
  <si>
    <t>2021-06-03</t>
  </si>
  <si>
    <t>C0243</t>
  </si>
  <si>
    <t>Aachal Anne</t>
  </si>
  <si>
    <t>2018-08-22</t>
  </si>
  <si>
    <t>C0244</t>
  </si>
  <si>
    <t>Veda Mallick</t>
  </si>
  <si>
    <t>2018-12-25</t>
  </si>
  <si>
    <t>C0245</t>
  </si>
  <si>
    <t>Jairaj Soman</t>
  </si>
  <si>
    <t>2024-03-03</t>
  </si>
  <si>
    <t>C0246</t>
  </si>
  <si>
    <t>Krishna Balakrishnan</t>
  </si>
  <si>
    <t>2020-04-06</t>
  </si>
  <si>
    <t>C0247</t>
  </si>
  <si>
    <t>Nikita Bhakta</t>
  </si>
  <si>
    <t>2018-06-25</t>
  </si>
  <si>
    <t>C0248</t>
  </si>
  <si>
    <t>Indali Tara</t>
  </si>
  <si>
    <t>2017-08-11</t>
  </si>
  <si>
    <t>C0249</t>
  </si>
  <si>
    <t>Banjeet Kurian</t>
  </si>
  <si>
    <t>2021-01-02</t>
  </si>
  <si>
    <t>C0250</t>
  </si>
  <si>
    <t>Simon Prabhakar</t>
  </si>
  <si>
    <t>2019-04-17</t>
  </si>
  <si>
    <t>C0251</t>
  </si>
  <si>
    <t>Xiti Bandi</t>
  </si>
  <si>
    <t>2017-02-27</t>
  </si>
  <si>
    <t>C0252</t>
  </si>
  <si>
    <t>Shivansh Patil</t>
  </si>
  <si>
    <t>2018-08-16</t>
  </si>
  <si>
    <t>C0253</t>
  </si>
  <si>
    <t>Ira Ahuja</t>
  </si>
  <si>
    <t>2017-08-18</t>
  </si>
  <si>
    <t>C0254</t>
  </si>
  <si>
    <t>Yashawini Bir</t>
  </si>
  <si>
    <t>C0255</t>
  </si>
  <si>
    <t>Yachana Iyer</t>
  </si>
  <si>
    <t>2017-09-10</t>
  </si>
  <si>
    <t>C0256</t>
  </si>
  <si>
    <t>Gunbir Kashyap</t>
  </si>
  <si>
    <t>C0257</t>
  </si>
  <si>
    <t>Indrajit Lanka</t>
  </si>
  <si>
    <t>2018-08-06</t>
  </si>
  <si>
    <t>C0258</t>
  </si>
  <si>
    <t>Darika Tandon</t>
  </si>
  <si>
    <t>2024-04-06</t>
  </si>
  <si>
    <t>C0259</t>
  </si>
  <si>
    <t>Jasmit Sundaram</t>
  </si>
  <si>
    <t>2020-05-14</t>
  </si>
  <si>
    <t>C0260</t>
  </si>
  <si>
    <t>Ayaan Dhingra</t>
  </si>
  <si>
    <t>2021-11-24</t>
  </si>
  <si>
    <t>C0261</t>
  </si>
  <si>
    <t>Avni Kala</t>
  </si>
  <si>
    <t>2019-07-15</t>
  </si>
  <si>
    <t>C0262</t>
  </si>
  <si>
    <t>Ekavir Sagar</t>
  </si>
  <si>
    <t>2020-10-06</t>
  </si>
  <si>
    <t>C0263</t>
  </si>
  <si>
    <t>Bhanumati Gour</t>
  </si>
  <si>
    <t>2021-11-22</t>
  </si>
  <si>
    <t>C0264</t>
  </si>
  <si>
    <t>Varenya Murthy</t>
  </si>
  <si>
    <t>2019-06-08</t>
  </si>
  <si>
    <t>C0265</t>
  </si>
  <si>
    <t>Balveer Gandhi</t>
  </si>
  <si>
    <t>2019-08-26</t>
  </si>
  <si>
    <t>C0266</t>
  </si>
  <si>
    <t>Girish Goyal</t>
  </si>
  <si>
    <t>2021-05-12</t>
  </si>
  <si>
    <t>C0267</t>
  </si>
  <si>
    <t>Anamika Muni</t>
  </si>
  <si>
    <t>2024-01-28</t>
  </si>
  <si>
    <t>C0268</t>
  </si>
  <si>
    <t>Ridhi Narula</t>
  </si>
  <si>
    <t>2017-04-19</t>
  </si>
  <si>
    <t>C0269</t>
  </si>
  <si>
    <t>Hamsini Chopra</t>
  </si>
  <si>
    <t>2019-05-19</t>
  </si>
  <si>
    <t>C0270</t>
  </si>
  <si>
    <t>Chaaya Mammen</t>
  </si>
  <si>
    <t>2018-12-04</t>
  </si>
  <si>
    <t>C0271</t>
  </si>
  <si>
    <t>Parth Salvi</t>
  </si>
  <si>
    <t>2018-10-25</t>
  </si>
  <si>
    <t>C0272</t>
  </si>
  <si>
    <t>Ishita Rai</t>
  </si>
  <si>
    <t>2018-07-21</t>
  </si>
  <si>
    <t>C0273</t>
  </si>
  <si>
    <t>Mohammed Sankaran</t>
  </si>
  <si>
    <t>2023-08-16</t>
  </si>
  <si>
    <t>C0274</t>
  </si>
  <si>
    <t>Arya Solanki</t>
  </si>
  <si>
    <t>2024-06-13</t>
  </si>
  <si>
    <t>C0275</t>
  </si>
  <si>
    <t>Quincy Sekhon</t>
  </si>
  <si>
    <t>2018-04-04</t>
  </si>
  <si>
    <t>C0276</t>
  </si>
  <si>
    <t>Neel Patla</t>
  </si>
  <si>
    <t>2024-02-11</t>
  </si>
  <si>
    <t>C0277</t>
  </si>
  <si>
    <t>Alexander Roy</t>
  </si>
  <si>
    <t>2024-04-01</t>
  </si>
  <si>
    <t>C0278</t>
  </si>
  <si>
    <t>Samaksh Baria</t>
  </si>
  <si>
    <t>2017-03-27</t>
  </si>
  <si>
    <t>C0279</t>
  </si>
  <si>
    <t>Anika Shetty</t>
  </si>
  <si>
    <t>2021-02-16</t>
  </si>
  <si>
    <t>C0280</t>
  </si>
  <si>
    <t>Bhavani Kurian</t>
  </si>
  <si>
    <t>2023-12-08</t>
  </si>
  <si>
    <t>C0281</t>
  </si>
  <si>
    <t>Azad Nori</t>
  </si>
  <si>
    <t>2018-02-07</t>
  </si>
  <si>
    <t>C0282</t>
  </si>
  <si>
    <t>Madhavi Nayak</t>
  </si>
  <si>
    <t>2019-06-07</t>
  </si>
  <si>
    <t>C0283</t>
  </si>
  <si>
    <t>Karan Nadig</t>
  </si>
  <si>
    <t>2017-01-06</t>
  </si>
  <si>
    <t>C0284</t>
  </si>
  <si>
    <t>Manthan Aggarwal</t>
  </si>
  <si>
    <t>2017-01-18</t>
  </si>
  <si>
    <t>C0285</t>
  </si>
  <si>
    <t>Amaira Kaur</t>
  </si>
  <si>
    <t>2019-01-26</t>
  </si>
  <si>
    <t>C0286</t>
  </si>
  <si>
    <t>Vyanjana Shroff</t>
  </si>
  <si>
    <t>2019-12-04</t>
  </si>
  <si>
    <t>C0287</t>
  </si>
  <si>
    <t>Jeremiah Sani</t>
  </si>
  <si>
    <t>2019-08-07</t>
  </si>
  <si>
    <t>C0288</t>
  </si>
  <si>
    <t>Ekaja Taneja</t>
  </si>
  <si>
    <t>2017-11-28</t>
  </si>
  <si>
    <t>C0289</t>
  </si>
  <si>
    <t>Aarna Mitter</t>
  </si>
  <si>
    <t>2020-12-27</t>
  </si>
  <si>
    <t>C0290</t>
  </si>
  <si>
    <t>Jacob Narang</t>
  </si>
  <si>
    <t>2025-05-11</t>
  </si>
  <si>
    <t>C0291</t>
  </si>
  <si>
    <t>Victor Pathak</t>
  </si>
  <si>
    <t>2019-04-25</t>
  </si>
  <si>
    <t>C0292</t>
  </si>
  <si>
    <t>Yashvi Hora</t>
  </si>
  <si>
    <t>2018-12-02</t>
  </si>
  <si>
    <t>C0293</t>
  </si>
  <si>
    <t>Gauri Kota</t>
  </si>
  <si>
    <t>2023-08-31</t>
  </si>
  <si>
    <t>C0294</t>
  </si>
  <si>
    <t>Bachittar Bandi</t>
  </si>
  <si>
    <t>2022-01-19</t>
  </si>
  <si>
    <t>C0295</t>
  </si>
  <si>
    <t>Omaja Dyal</t>
  </si>
  <si>
    <t>2019-11-20</t>
  </si>
  <si>
    <t>C0296</t>
  </si>
  <si>
    <t>Charles Bora</t>
  </si>
  <si>
    <t>2024-10-24</t>
  </si>
  <si>
    <t>C0297</t>
  </si>
  <si>
    <t>Brijesh Joshi</t>
  </si>
  <si>
    <t>C0298</t>
  </si>
  <si>
    <t>Shivansh Tara</t>
  </si>
  <si>
    <t>2023-10-06</t>
  </si>
  <si>
    <t>C0299</t>
  </si>
  <si>
    <t>Harini Kaur</t>
  </si>
  <si>
    <t>2019-11-26</t>
  </si>
  <si>
    <t>C0300</t>
  </si>
  <si>
    <t>Sathvik Sharma</t>
  </si>
  <si>
    <t>2021-04-23</t>
  </si>
  <si>
    <t>C0301</t>
  </si>
  <si>
    <t>Darsh Memon</t>
  </si>
  <si>
    <t>2021-11-17</t>
  </si>
  <si>
    <t>C0302</t>
  </si>
  <si>
    <t>Meera Loyal</t>
  </si>
  <si>
    <t>2020-02-25</t>
  </si>
  <si>
    <t>C0303</t>
  </si>
  <si>
    <t>C0304</t>
  </si>
  <si>
    <t>Theodore Kota</t>
  </si>
  <si>
    <t>2017-04-01</t>
  </si>
  <si>
    <t>C0305</t>
  </si>
  <si>
    <t>Jason Keer</t>
  </si>
  <si>
    <t>2025-04-23</t>
  </si>
  <si>
    <t>C0306</t>
  </si>
  <si>
    <t>Lohit Guha</t>
  </si>
  <si>
    <t>2024-04-04</t>
  </si>
  <si>
    <t>C0307</t>
  </si>
  <si>
    <t>Bhavini Randhawa</t>
  </si>
  <si>
    <t>2024-03-13</t>
  </si>
  <si>
    <t>C0308</t>
  </si>
  <si>
    <t>Jason Tripathi</t>
  </si>
  <si>
    <t>2020-07-06</t>
  </si>
  <si>
    <t>C0309</t>
  </si>
  <si>
    <t>Daksha Shetty</t>
  </si>
  <si>
    <t>2021-06-27</t>
  </si>
  <si>
    <t>C0310</t>
  </si>
  <si>
    <t>Charan Agrawal</t>
  </si>
  <si>
    <t>2017-03-22</t>
  </si>
  <si>
    <t>C0311</t>
  </si>
  <si>
    <t>Kala Sen</t>
  </si>
  <si>
    <t>2019-01-20</t>
  </si>
  <si>
    <t>C0312</t>
  </si>
  <si>
    <t>Anusha Memon</t>
  </si>
  <si>
    <t>C0313</t>
  </si>
  <si>
    <t>Darpan Bedi</t>
  </si>
  <si>
    <t>2019-03-30</t>
  </si>
  <si>
    <t>C0314</t>
  </si>
  <si>
    <t>Indali Borde</t>
  </si>
  <si>
    <t>2019-04-20</t>
  </si>
  <si>
    <t>C0315</t>
  </si>
  <si>
    <t>Yashvi Gokhale</t>
  </si>
  <si>
    <t>2021-02-24</t>
  </si>
  <si>
    <t>C0316</t>
  </si>
  <si>
    <t>Leena Ahuja</t>
  </si>
  <si>
    <t>2024-09-04</t>
  </si>
  <si>
    <t>C0317</t>
  </si>
  <si>
    <t>Parth Kalla</t>
  </si>
  <si>
    <t>2025-03-06</t>
  </si>
  <si>
    <t>C0318</t>
  </si>
  <si>
    <t>Raksha Oak</t>
  </si>
  <si>
    <t>2017-09-09</t>
  </si>
  <si>
    <t>C0319</t>
  </si>
  <si>
    <t>Anthony Jani</t>
  </si>
  <si>
    <t>2024-10-31</t>
  </si>
  <si>
    <t>C0320</t>
  </si>
  <si>
    <t>Anjali Jani</t>
  </si>
  <si>
    <t>2025-04-26</t>
  </si>
  <si>
    <t>C0321</t>
  </si>
  <si>
    <t>Omisha Rege</t>
  </si>
  <si>
    <t>2021-05-25</t>
  </si>
  <si>
    <t>C0322</t>
  </si>
  <si>
    <t>Hiral Muni</t>
  </si>
  <si>
    <t>2017-10-10</t>
  </si>
  <si>
    <t>C0323</t>
  </si>
  <si>
    <t>Harsh Balay</t>
  </si>
  <si>
    <t>2018-08-23</t>
  </si>
  <si>
    <t>C0324</t>
  </si>
  <si>
    <t>Warhi Bhatnagar</t>
  </si>
  <si>
    <t>2023-02-24</t>
  </si>
  <si>
    <t>C0325</t>
  </si>
  <si>
    <t>Chandresh Rana</t>
  </si>
  <si>
    <t>2020-01-01</t>
  </si>
  <si>
    <t>C0326</t>
  </si>
  <si>
    <t>Chandani Gade</t>
  </si>
  <si>
    <t>2022-05-27</t>
  </si>
  <si>
    <t>C0327</t>
  </si>
  <si>
    <t>Krishna Rout</t>
  </si>
  <si>
    <t>2020-08-05</t>
  </si>
  <si>
    <t>C0328</t>
  </si>
  <si>
    <t>Nikita Sahni</t>
  </si>
  <si>
    <t>2024-05-24</t>
  </si>
  <si>
    <t>C0329</t>
  </si>
  <si>
    <t>Nimrat Parikh</t>
  </si>
  <si>
    <t>2017-08-22</t>
  </si>
  <si>
    <t>C0330</t>
  </si>
  <si>
    <t>Sathvik Badami</t>
  </si>
  <si>
    <t>2018-07-30</t>
  </si>
  <si>
    <t>C0331</t>
  </si>
  <si>
    <t>Indira Raman</t>
  </si>
  <si>
    <t>2017-10-22</t>
  </si>
  <si>
    <t>C0332</t>
  </si>
  <si>
    <t>Ishani Ahuja</t>
  </si>
  <si>
    <t>2019-08-15</t>
  </si>
  <si>
    <t>C0333</t>
  </si>
  <si>
    <t>Farhan Sampath</t>
  </si>
  <si>
    <t>2021-07-07</t>
  </si>
  <si>
    <t>C0334</t>
  </si>
  <si>
    <t>Chakradev Ravi</t>
  </si>
  <si>
    <t>2018-01-06</t>
  </si>
  <si>
    <t>C0335</t>
  </si>
  <si>
    <t>Veda Gaba</t>
  </si>
  <si>
    <t>2017-11-19</t>
  </si>
  <si>
    <t>C0336</t>
  </si>
  <si>
    <t>Advika Behl</t>
  </si>
  <si>
    <t>2019-08-18</t>
  </si>
  <si>
    <t>C0337</t>
  </si>
  <si>
    <t>Rushil Chakraborty</t>
  </si>
  <si>
    <t>2022-03-29</t>
  </si>
  <si>
    <t>C0338</t>
  </si>
  <si>
    <t>Zayyan Garg</t>
  </si>
  <si>
    <t>2023-09-22</t>
  </si>
  <si>
    <t>C0339</t>
  </si>
  <si>
    <t>Owen Mander</t>
  </si>
  <si>
    <t>2023-04-24</t>
  </si>
  <si>
    <t>C0340</t>
  </si>
  <si>
    <t>Yoshita Garg</t>
  </si>
  <si>
    <t>2021-09-12</t>
  </si>
  <si>
    <t>C0341</t>
  </si>
  <si>
    <t>Chatura Rajagopal</t>
  </si>
  <si>
    <t>2017-04-27</t>
  </si>
  <si>
    <t>C0342</t>
  </si>
  <si>
    <t>Hardik Mitra</t>
  </si>
  <si>
    <t>2020-09-15</t>
  </si>
  <si>
    <t>C0343</t>
  </si>
  <si>
    <t>Anthony Subramanian</t>
  </si>
  <si>
    <t>2018-08-15</t>
  </si>
  <si>
    <t>C0344</t>
  </si>
  <si>
    <t>Avi Rama</t>
  </si>
  <si>
    <t>2020-10-18</t>
  </si>
  <si>
    <t>C0345</t>
  </si>
  <si>
    <t>Faris Kapadia</t>
  </si>
  <si>
    <t>2023-03-20</t>
  </si>
  <si>
    <t>C0346</t>
  </si>
  <si>
    <t>Guneet Solanki</t>
  </si>
  <si>
    <t>C0347</t>
  </si>
  <si>
    <t>Ikbal Barman</t>
  </si>
  <si>
    <t>2021-07-12</t>
  </si>
  <si>
    <t>C0348</t>
  </si>
  <si>
    <t>Yochana Dugar</t>
  </si>
  <si>
    <t>2020-11-13</t>
  </si>
  <si>
    <t>C0349</t>
  </si>
  <si>
    <t>Praneel Dasgupta</t>
  </si>
  <si>
    <t>2020-07-22</t>
  </si>
  <si>
    <t>C0350</t>
  </si>
  <si>
    <t>Krishna Hans</t>
  </si>
  <si>
    <t>2017-06-14</t>
  </si>
  <si>
    <t>C0351</t>
  </si>
  <si>
    <t>Anjali Naik</t>
  </si>
  <si>
    <t>2017-07-23</t>
  </si>
  <si>
    <t>C0352</t>
  </si>
  <si>
    <t>Saumya Shah</t>
  </si>
  <si>
    <t>2022-04-30</t>
  </si>
  <si>
    <t>C0353</t>
  </si>
  <si>
    <t>Shivansh Morar</t>
  </si>
  <si>
    <t>2023-12-01</t>
  </si>
  <si>
    <t>C0354</t>
  </si>
  <si>
    <t>Simon Ramachandran</t>
  </si>
  <si>
    <t>2017-06-11</t>
  </si>
  <si>
    <t>C0355</t>
  </si>
  <si>
    <t>Vansha Thakur</t>
  </si>
  <si>
    <t>2017-06-01</t>
  </si>
  <si>
    <t>C0356</t>
  </si>
  <si>
    <t>Hemal Bajaj</t>
  </si>
  <si>
    <t>2021-02-19</t>
  </si>
  <si>
    <t>C0357</t>
  </si>
  <si>
    <t>Yash Shroff</t>
  </si>
  <si>
    <t>2020-05-22</t>
  </si>
  <si>
    <t>C0358</t>
  </si>
  <si>
    <t>Udant Shanker</t>
  </si>
  <si>
    <t>2023-05-09</t>
  </si>
  <si>
    <t>C0359</t>
  </si>
  <si>
    <t>Warjas Ratta</t>
  </si>
  <si>
    <t>2018-05-02</t>
  </si>
  <si>
    <t>C0360</t>
  </si>
  <si>
    <t>Bhavna Dave</t>
  </si>
  <si>
    <t>2017-10-03</t>
  </si>
  <si>
    <t>C0361</t>
  </si>
  <si>
    <t>Tanveer Pau</t>
  </si>
  <si>
    <t>C0362</t>
  </si>
  <si>
    <t>Timothy Thaman</t>
  </si>
  <si>
    <t>2017-12-06</t>
  </si>
  <si>
    <t>C0363</t>
  </si>
  <si>
    <t>Anusha De</t>
  </si>
  <si>
    <t>2021-10-15</t>
  </si>
  <si>
    <t>C0364</t>
  </si>
  <si>
    <t>Naksh Vaidya</t>
  </si>
  <si>
    <t>2017-12-28</t>
  </si>
  <si>
    <t>C0365</t>
  </si>
  <si>
    <t>Avi Thaman</t>
  </si>
  <si>
    <t>2025-01-25</t>
  </si>
  <si>
    <t>C0366</t>
  </si>
  <si>
    <t>Ekansh Bal</t>
  </si>
  <si>
    <t>2017-07-25</t>
  </si>
  <si>
    <t>C0367</t>
  </si>
  <si>
    <t>Dayamai Hari</t>
  </si>
  <si>
    <t>2024-01-19</t>
  </si>
  <si>
    <t>C0368</t>
  </si>
  <si>
    <t>Xalak Mani</t>
  </si>
  <si>
    <t>2017-08-04</t>
  </si>
  <si>
    <t>C0369</t>
  </si>
  <si>
    <t>Indrajit Bhatti</t>
  </si>
  <si>
    <t>2024-09-13</t>
  </si>
  <si>
    <t>C0370</t>
  </si>
  <si>
    <t>Jonathan Dutt</t>
  </si>
  <si>
    <t>2018-11-11</t>
  </si>
  <si>
    <t>C0371</t>
  </si>
  <si>
    <t>Mahika Shan</t>
  </si>
  <si>
    <t>2023-06-14</t>
  </si>
  <si>
    <t>C0372</t>
  </si>
  <si>
    <t>Lakshmi Thakkar</t>
  </si>
  <si>
    <t>2018-04-24</t>
  </si>
  <si>
    <t>C0373</t>
  </si>
  <si>
    <t>Ishita Lall</t>
  </si>
  <si>
    <t>2021-04-29</t>
  </si>
  <si>
    <t>C0374</t>
  </si>
  <si>
    <t>Odika Pradhan</t>
  </si>
  <si>
    <t>2020-04-12</t>
  </si>
  <si>
    <t>C0375</t>
  </si>
  <si>
    <t>Ira Gopal</t>
  </si>
  <si>
    <t>2023-09-24</t>
  </si>
  <si>
    <t>C0376</t>
  </si>
  <si>
    <t>Gaurika Mall</t>
  </si>
  <si>
    <t>2018-09-11</t>
  </si>
  <si>
    <t>C0377</t>
  </si>
  <si>
    <t>Riya Ganguly</t>
  </si>
  <si>
    <t>2021-03-23</t>
  </si>
  <si>
    <t>C0378</t>
  </si>
  <si>
    <t>Deepa Wali</t>
  </si>
  <si>
    <t>2022-01-23</t>
  </si>
  <si>
    <t>C0379</t>
  </si>
  <si>
    <t>Radha Sethi</t>
  </si>
  <si>
    <t>2018-10-07</t>
  </si>
  <si>
    <t>C0380</t>
  </si>
  <si>
    <t>Jonathan Wason</t>
  </si>
  <si>
    <t>2023-06-01</t>
  </si>
  <si>
    <t>C0381</t>
  </si>
  <si>
    <t>Quincy Lanka</t>
  </si>
  <si>
    <t>2023-02-22</t>
  </si>
  <si>
    <t>C0382</t>
  </si>
  <si>
    <t>Raksha Dhingra</t>
  </si>
  <si>
    <t>2022-06-09</t>
  </si>
  <si>
    <t>C0383</t>
  </si>
  <si>
    <t>Oni Bumb</t>
  </si>
  <si>
    <t>2019-08-17</t>
  </si>
  <si>
    <t>C0384</t>
  </si>
  <si>
    <t>Jyoti Goda</t>
  </si>
  <si>
    <t>2024-12-11</t>
  </si>
  <si>
    <t>C0385</t>
  </si>
  <si>
    <t>Manbir Varty</t>
  </si>
  <si>
    <t>2021-04-26</t>
  </si>
  <si>
    <t>C0386</t>
  </si>
  <si>
    <t>Nilima Munshi</t>
  </si>
  <si>
    <t>2017-09-14</t>
  </si>
  <si>
    <t>C0387</t>
  </si>
  <si>
    <t>Anay Kant</t>
  </si>
  <si>
    <t>2022-11-08</t>
  </si>
  <si>
    <t>C0388</t>
  </si>
  <si>
    <t>Mohini Sankaran</t>
  </si>
  <si>
    <t>C0389</t>
  </si>
  <si>
    <t>Qabil Batta</t>
  </si>
  <si>
    <t>2021-01-26</t>
  </si>
  <si>
    <t>C0390</t>
  </si>
  <si>
    <t>Wishi Karan</t>
  </si>
  <si>
    <t>2019-10-06</t>
  </si>
  <si>
    <t>C0391</t>
  </si>
  <si>
    <t>Advay Bhagat</t>
  </si>
  <si>
    <t>2024-02-05</t>
  </si>
  <si>
    <t>C0392</t>
  </si>
  <si>
    <t>Raagini Modi</t>
  </si>
  <si>
    <t>C0393</t>
  </si>
  <si>
    <t>Yutika Parikh</t>
  </si>
  <si>
    <t>2019-04-19</t>
  </si>
  <si>
    <t>C0394</t>
  </si>
  <si>
    <t>Triveni Mitra</t>
  </si>
  <si>
    <t>C0395</t>
  </si>
  <si>
    <t>Ishani Peri</t>
  </si>
  <si>
    <t>2023-10-30</t>
  </si>
  <si>
    <t>C0396</t>
  </si>
  <si>
    <t>Fariq Desai</t>
  </si>
  <si>
    <t>C0397</t>
  </si>
  <si>
    <t>Keya Dixit</t>
  </si>
  <si>
    <t>2021-02-23</t>
  </si>
  <si>
    <t>C0398</t>
  </si>
  <si>
    <t>Chasmum Bhatt</t>
  </si>
  <si>
    <t>2017-09-20</t>
  </si>
  <si>
    <t>C0399</t>
  </si>
  <si>
    <t>Lopa Ratti</t>
  </si>
  <si>
    <t>2020-07-29</t>
  </si>
  <si>
    <t>C0400</t>
  </si>
  <si>
    <t>Abdul Bhalla</t>
  </si>
  <si>
    <t>2021-05-30</t>
  </si>
  <si>
    <t>LoanID</t>
  </si>
  <si>
    <t>LoanType</t>
  </si>
  <si>
    <t>LoanAmount</t>
  </si>
  <si>
    <t>InterestRate</t>
  </si>
  <si>
    <t>TenureMonths</t>
  </si>
  <si>
    <t>EMIAmount</t>
  </si>
  <si>
    <t>StartDate</t>
  </si>
  <si>
    <t>MonthsElapsed</t>
  </si>
  <si>
    <t>EMIsPaid</t>
  </si>
  <si>
    <t>EMIsMissed</t>
  </si>
  <si>
    <t>LoanStatus</t>
  </si>
  <si>
    <t>OutstandingAmount</t>
  </si>
  <si>
    <t>L0001</t>
  </si>
  <si>
    <t>Personal Loan</t>
  </si>
  <si>
    <t>2020-10-16</t>
  </si>
  <si>
    <t>Active</t>
  </si>
  <si>
    <t>L0002</t>
  </si>
  <si>
    <t>Home Loan</t>
  </si>
  <si>
    <t>2021-03-10</t>
  </si>
  <si>
    <t>Overdue</t>
  </si>
  <si>
    <t>L0003</t>
  </si>
  <si>
    <t>Auto Loan</t>
  </si>
  <si>
    <t>2021-01-10</t>
  </si>
  <si>
    <t>L0004</t>
  </si>
  <si>
    <t>2019-03-14</t>
  </si>
  <si>
    <t>L0005</t>
  </si>
  <si>
    <t>Business Loan</t>
  </si>
  <si>
    <t>2024-11-22</t>
  </si>
  <si>
    <t>L0006</t>
  </si>
  <si>
    <t>2021-04-02</t>
  </si>
  <si>
    <t>L0007</t>
  </si>
  <si>
    <t>2024-05-11</t>
  </si>
  <si>
    <t>L0008</t>
  </si>
  <si>
    <t>2022-10-12</t>
  </si>
  <si>
    <t>L0009</t>
  </si>
  <si>
    <t>2024-11-24</t>
  </si>
  <si>
    <t>L0010</t>
  </si>
  <si>
    <t>2025-05-02</t>
  </si>
  <si>
    <t>L0011</t>
  </si>
  <si>
    <t>2024-08-13</t>
  </si>
  <si>
    <t>L0012</t>
  </si>
  <si>
    <t>2021-05-01</t>
  </si>
  <si>
    <t>L0013</t>
  </si>
  <si>
    <t>Closed</t>
  </si>
  <si>
    <t>L0014</t>
  </si>
  <si>
    <t>2023-07-10</t>
  </si>
  <si>
    <t>L0015</t>
  </si>
  <si>
    <t>2020-05-17</t>
  </si>
  <si>
    <t>L0016</t>
  </si>
  <si>
    <t>L0017</t>
  </si>
  <si>
    <t>2021-03-22</t>
  </si>
  <si>
    <t>L0018</t>
  </si>
  <si>
    <t>2024-11-29</t>
  </si>
  <si>
    <t>L0019</t>
  </si>
  <si>
    <t>2021-12-02</t>
  </si>
  <si>
    <t>L0020</t>
  </si>
  <si>
    <t>2020-04-07</t>
  </si>
  <si>
    <t>L0021</t>
  </si>
  <si>
    <t>2023-09-29</t>
  </si>
  <si>
    <t>L0022</t>
  </si>
  <si>
    <t>L0023</t>
  </si>
  <si>
    <t>2024-05-23</t>
  </si>
  <si>
    <t>L0024</t>
  </si>
  <si>
    <t>L0025</t>
  </si>
  <si>
    <t>2020-01-17</t>
  </si>
  <si>
    <t>L0026</t>
  </si>
  <si>
    <t>2022-09-19</t>
  </si>
  <si>
    <t>L0027</t>
  </si>
  <si>
    <t>2020-09-09</t>
  </si>
  <si>
    <t>L0028</t>
  </si>
  <si>
    <t>2022-07-31</t>
  </si>
  <si>
    <t>L0029</t>
  </si>
  <si>
    <t>2020-01-18</t>
  </si>
  <si>
    <t>L0030</t>
  </si>
  <si>
    <t>2021-11-01</t>
  </si>
  <si>
    <t>L0031</t>
  </si>
  <si>
    <t>2024-08-05</t>
  </si>
  <si>
    <t>L0032</t>
  </si>
  <si>
    <t>2022-02-15</t>
  </si>
  <si>
    <t>L0033</t>
  </si>
  <si>
    <t>2020-03-27</t>
  </si>
  <si>
    <t>L0034</t>
  </si>
  <si>
    <t>2019-03-04</t>
  </si>
  <si>
    <t>L0035</t>
  </si>
  <si>
    <t>2024-08-14</t>
  </si>
  <si>
    <t>L0036</t>
  </si>
  <si>
    <t>L0037</t>
  </si>
  <si>
    <t>2023-06-09</t>
  </si>
  <si>
    <t>L0038</t>
  </si>
  <si>
    <t>2021-09-04</t>
  </si>
  <si>
    <t>L0039</t>
  </si>
  <si>
    <t>2024-02-04</t>
  </si>
  <si>
    <t>L0040</t>
  </si>
  <si>
    <t>2025-01-07</t>
  </si>
  <si>
    <t>L0041</t>
  </si>
  <si>
    <t>2023-12-28</t>
  </si>
  <si>
    <t>L0042</t>
  </si>
  <si>
    <t>2020-10-17</t>
  </si>
  <si>
    <t>L0043</t>
  </si>
  <si>
    <t>2019-05-15</t>
  </si>
  <si>
    <t>L0044</t>
  </si>
  <si>
    <t>L0045</t>
  </si>
  <si>
    <t>2020-09-02</t>
  </si>
  <si>
    <t>L0046</t>
  </si>
  <si>
    <t>2021-09-24</t>
  </si>
  <si>
    <t>L0047</t>
  </si>
  <si>
    <t>2019-12-27</t>
  </si>
  <si>
    <t>L0048</t>
  </si>
  <si>
    <t>2024-07-30</t>
  </si>
  <si>
    <t>L0049</t>
  </si>
  <si>
    <t>L0050</t>
  </si>
  <si>
    <t>2023-06-06</t>
  </si>
  <si>
    <t>L0051</t>
  </si>
  <si>
    <t>L0052</t>
  </si>
  <si>
    <t>2021-11-03</t>
  </si>
  <si>
    <t>L0053</t>
  </si>
  <si>
    <t>2020-10-25</t>
  </si>
  <si>
    <t>L0054</t>
  </si>
  <si>
    <t>L0055</t>
  </si>
  <si>
    <t>2019-09-28</t>
  </si>
  <si>
    <t>L0056</t>
  </si>
  <si>
    <t>2023-05-18</t>
  </si>
  <si>
    <t>L0057</t>
  </si>
  <si>
    <t>2022-12-26</t>
  </si>
  <si>
    <t>L0058</t>
  </si>
  <si>
    <t>2025-06-04</t>
  </si>
  <si>
    <t>L0059</t>
  </si>
  <si>
    <t>2025-07-26</t>
  </si>
  <si>
    <t>L0060</t>
  </si>
  <si>
    <t>2024-08-01</t>
  </si>
  <si>
    <t>L0061</t>
  </si>
  <si>
    <t>2019-01-04</t>
  </si>
  <si>
    <t>L0062</t>
  </si>
  <si>
    <t>2024-10-29</t>
  </si>
  <si>
    <t>L0063</t>
  </si>
  <si>
    <t>2019-08-30</t>
  </si>
  <si>
    <t>L0064</t>
  </si>
  <si>
    <t>2023-11-30</t>
  </si>
  <si>
    <t>L0065</t>
  </si>
  <si>
    <t>2022-11-03</t>
  </si>
  <si>
    <t>L0066</t>
  </si>
  <si>
    <t>2024-04-16</t>
  </si>
  <si>
    <t>L0067</t>
  </si>
  <si>
    <t>2019-09-03</t>
  </si>
  <si>
    <t>L0068</t>
  </si>
  <si>
    <t>2021-11-19</t>
  </si>
  <si>
    <t>L0069</t>
  </si>
  <si>
    <t>2023-03-12</t>
  </si>
  <si>
    <t>L0070</t>
  </si>
  <si>
    <t>2021-09-25</t>
  </si>
  <si>
    <t>L0071</t>
  </si>
  <si>
    <t>L0072</t>
  </si>
  <si>
    <t>2019-04-09</t>
  </si>
  <si>
    <t>L0073</t>
  </si>
  <si>
    <t>2020-01-10</t>
  </si>
  <si>
    <t>L0074</t>
  </si>
  <si>
    <t>L0075</t>
  </si>
  <si>
    <t>2022-04-17</t>
  </si>
  <si>
    <t>L0076</t>
  </si>
  <si>
    <t>2024-10-04</t>
  </si>
  <si>
    <t>L0077</t>
  </si>
  <si>
    <t>2024-10-30</t>
  </si>
  <si>
    <t>L0078</t>
  </si>
  <si>
    <t>L0079</t>
  </si>
  <si>
    <t>2022-08-27</t>
  </si>
  <si>
    <t>L0080</t>
  </si>
  <si>
    <t>2024-01-02</t>
  </si>
  <si>
    <t>L0081</t>
  </si>
  <si>
    <t>2021-02-04</t>
  </si>
  <si>
    <t>L0082</t>
  </si>
  <si>
    <t>L0083</t>
  </si>
  <si>
    <t>2025-08-21</t>
  </si>
  <si>
    <t>L0084</t>
  </si>
  <si>
    <t>2024-05-06</t>
  </si>
  <si>
    <t>L0085</t>
  </si>
  <si>
    <t>2019-03-23</t>
  </si>
  <si>
    <t>L0086</t>
  </si>
  <si>
    <t>2023-05-21</t>
  </si>
  <si>
    <t>L0087</t>
  </si>
  <si>
    <t>2024-05-18</t>
  </si>
  <si>
    <t>L0088</t>
  </si>
  <si>
    <t>2019-01-18</t>
  </si>
  <si>
    <t>L0089</t>
  </si>
  <si>
    <t>2022-07-05</t>
  </si>
  <si>
    <t>L0090</t>
  </si>
  <si>
    <t>2019-02-10</t>
  </si>
  <si>
    <t>L0091</t>
  </si>
  <si>
    <t>2019-11-19</t>
  </si>
  <si>
    <t>L0092</t>
  </si>
  <si>
    <t>2019-08-09</t>
  </si>
  <si>
    <t>L0093</t>
  </si>
  <si>
    <t>2025-05-06</t>
  </si>
  <si>
    <t>L0094</t>
  </si>
  <si>
    <t>2024-01-01</t>
  </si>
  <si>
    <t>L0095</t>
  </si>
  <si>
    <t>2022-10-26</t>
  </si>
  <si>
    <t>L0096</t>
  </si>
  <si>
    <t>2023-06-17</t>
  </si>
  <si>
    <t>L0097</t>
  </si>
  <si>
    <t>L0098</t>
  </si>
  <si>
    <t>L0099</t>
  </si>
  <si>
    <t>2023-07-03</t>
  </si>
  <si>
    <t>L0100</t>
  </si>
  <si>
    <t>2019-10-15</t>
  </si>
  <si>
    <t>L0101</t>
  </si>
  <si>
    <t>2022-02-24</t>
  </si>
  <si>
    <t>L0102</t>
  </si>
  <si>
    <t>2021-05-09</t>
  </si>
  <si>
    <t>L0103</t>
  </si>
  <si>
    <t>2025-06-23</t>
  </si>
  <si>
    <t>L0104</t>
  </si>
  <si>
    <t>2025-09-01</t>
  </si>
  <si>
    <t>L0105</t>
  </si>
  <si>
    <t>L0106</t>
  </si>
  <si>
    <t>L0107</t>
  </si>
  <si>
    <t>2025-03-14</t>
  </si>
  <si>
    <t>L0108</t>
  </si>
  <si>
    <t>2024-07-28</t>
  </si>
  <si>
    <t>L0109</t>
  </si>
  <si>
    <t>2025-02-21</t>
  </si>
  <si>
    <t>L0110</t>
  </si>
  <si>
    <t>L0111</t>
  </si>
  <si>
    <t>2019-12-29</t>
  </si>
  <si>
    <t>L0112</t>
  </si>
  <si>
    <t>2019-01-02</t>
  </si>
  <si>
    <t>L0113</t>
  </si>
  <si>
    <t>2019-06-02</t>
  </si>
  <si>
    <t>L0114</t>
  </si>
  <si>
    <t>2025-04-06</t>
  </si>
  <si>
    <t>L0115</t>
  </si>
  <si>
    <t>2020-05-13</t>
  </si>
  <si>
    <t>L0116</t>
  </si>
  <si>
    <t>L0117</t>
  </si>
  <si>
    <t>2019-04-13</t>
  </si>
  <si>
    <t>L0118</t>
  </si>
  <si>
    <t>2021-08-02</t>
  </si>
  <si>
    <t>L0119</t>
  </si>
  <si>
    <t>2019-04-02</t>
  </si>
  <si>
    <t>L0120</t>
  </si>
  <si>
    <t>L0121</t>
  </si>
  <si>
    <t>L0122</t>
  </si>
  <si>
    <t>2020-06-01</t>
  </si>
  <si>
    <t>L0123</t>
  </si>
  <si>
    <t>L0124</t>
  </si>
  <si>
    <t>2024-01-13</t>
  </si>
  <si>
    <t>L0125</t>
  </si>
  <si>
    <t>2025-07-03</t>
  </si>
  <si>
    <t>L0126</t>
  </si>
  <si>
    <t>2023-12-06</t>
  </si>
  <si>
    <t>L0127</t>
  </si>
  <si>
    <t>2021-12-31</t>
  </si>
  <si>
    <t>L0128</t>
  </si>
  <si>
    <t>L0129</t>
  </si>
  <si>
    <t>2020-11-03</t>
  </si>
  <si>
    <t>L0130</t>
  </si>
  <si>
    <t>2020-10-08</t>
  </si>
  <si>
    <t>L0131</t>
  </si>
  <si>
    <t>2021-10-17</t>
  </si>
  <si>
    <t>L0132</t>
  </si>
  <si>
    <t>2022-06-17</t>
  </si>
  <si>
    <t>L0133</t>
  </si>
  <si>
    <t>2022-09-10</t>
  </si>
  <si>
    <t>L0134</t>
  </si>
  <si>
    <t>2024-01-15</t>
  </si>
  <si>
    <t>L0135</t>
  </si>
  <si>
    <t>2019-01-22</t>
  </si>
  <si>
    <t>L0136</t>
  </si>
  <si>
    <t>2020-01-26</t>
  </si>
  <si>
    <t>L0137</t>
  </si>
  <si>
    <t>2025-08-04</t>
  </si>
  <si>
    <t>L0138</t>
  </si>
  <si>
    <t>L0139</t>
  </si>
  <si>
    <t>2020-06-02</t>
  </si>
  <si>
    <t>L0140</t>
  </si>
  <si>
    <t>2019-12-26</t>
  </si>
  <si>
    <t>L0141</t>
  </si>
  <si>
    <t>2023-06-25</t>
  </si>
  <si>
    <t>L0142</t>
  </si>
  <si>
    <t>2021-11-13</t>
  </si>
  <si>
    <t>L0143</t>
  </si>
  <si>
    <t>2021-01-13</t>
  </si>
  <si>
    <t>L0144</t>
  </si>
  <si>
    <t>2021-10-24</t>
  </si>
  <si>
    <t>L0145</t>
  </si>
  <si>
    <t>L0146</t>
  </si>
  <si>
    <t>2020-03-07</t>
  </si>
  <si>
    <t>L0147</t>
  </si>
  <si>
    <t>L0148</t>
  </si>
  <si>
    <t>2024-04-12</t>
  </si>
  <si>
    <t>L0149</t>
  </si>
  <si>
    <t>L0150</t>
  </si>
  <si>
    <t>2021-09-29</t>
  </si>
  <si>
    <t>L0151</t>
  </si>
  <si>
    <t>L0152</t>
  </si>
  <si>
    <t>2021-02-18</t>
  </si>
  <si>
    <t>L0153</t>
  </si>
  <si>
    <t>2022-01-06</t>
  </si>
  <si>
    <t>L0154</t>
  </si>
  <si>
    <t>L0155</t>
  </si>
  <si>
    <t>2023-08-05</t>
  </si>
  <si>
    <t>L0156</t>
  </si>
  <si>
    <t>2024-05-26</t>
  </si>
  <si>
    <t>L0157</t>
  </si>
  <si>
    <t>2020-06-06</t>
  </si>
  <si>
    <t>L0158</t>
  </si>
  <si>
    <t>2021-01-29</t>
  </si>
  <si>
    <t>L0159</t>
  </si>
  <si>
    <t>L0160</t>
  </si>
  <si>
    <t>2021-04-24</t>
  </si>
  <si>
    <t>L0161</t>
  </si>
  <si>
    <t>2022-03-15</t>
  </si>
  <si>
    <t>L0162</t>
  </si>
  <si>
    <t>2023-09-23</t>
  </si>
  <si>
    <t>L0163</t>
  </si>
  <si>
    <t>2021-10-19</t>
  </si>
  <si>
    <t>L0164</t>
  </si>
  <si>
    <t>L0165</t>
  </si>
  <si>
    <t>2019-01-30</t>
  </si>
  <si>
    <t>L0166</t>
  </si>
  <si>
    <t>2024-06-29</t>
  </si>
  <si>
    <t>L0167</t>
  </si>
  <si>
    <t>2020-08-16</t>
  </si>
  <si>
    <t>L0168</t>
  </si>
  <si>
    <t>2021-03-03</t>
  </si>
  <si>
    <t>L0169</t>
  </si>
  <si>
    <t>2020-05-25</t>
  </si>
  <si>
    <t>L0170</t>
  </si>
  <si>
    <t>2022-12-11</t>
  </si>
  <si>
    <t>L0171</t>
  </si>
  <si>
    <t>2020-04-20</t>
  </si>
  <si>
    <t>L0172</t>
  </si>
  <si>
    <t>L0173</t>
  </si>
  <si>
    <t>2019-02-02</t>
  </si>
  <si>
    <t>L0174</t>
  </si>
  <si>
    <t>2024-01-10</t>
  </si>
  <si>
    <t>L0175</t>
  </si>
  <si>
    <t>L0176</t>
  </si>
  <si>
    <t>2019-04-22</t>
  </si>
  <si>
    <t>L0177</t>
  </si>
  <si>
    <t>L0178</t>
  </si>
  <si>
    <t>2024-03-11</t>
  </si>
  <si>
    <t>L0179</t>
  </si>
  <si>
    <t>2022-09-09</t>
  </si>
  <si>
    <t>L0180</t>
  </si>
  <si>
    <t>2023-03-26</t>
  </si>
  <si>
    <t>L0181</t>
  </si>
  <si>
    <t>L0182</t>
  </si>
  <si>
    <t>2024-08-12</t>
  </si>
  <si>
    <t>L0183</t>
  </si>
  <si>
    <t>2021-08-28</t>
  </si>
  <si>
    <t>L0184</t>
  </si>
  <si>
    <t>2022-05-17</t>
  </si>
  <si>
    <t>L0185</t>
  </si>
  <si>
    <t>2023-01-20</t>
  </si>
  <si>
    <t>L0186</t>
  </si>
  <si>
    <t>2025-08-22</t>
  </si>
  <si>
    <t>L0187</t>
  </si>
  <si>
    <t>L0188</t>
  </si>
  <si>
    <t>2022-04-27</t>
  </si>
  <si>
    <t>L0189</t>
  </si>
  <si>
    <t>2025-05-20</t>
  </si>
  <si>
    <t>L0190</t>
  </si>
  <si>
    <t>L0191</t>
  </si>
  <si>
    <t>2020-01-21</t>
  </si>
  <si>
    <t>L0192</t>
  </si>
  <si>
    <t>2020-12-23</t>
  </si>
  <si>
    <t>L0193</t>
  </si>
  <si>
    <t>2021-03-27</t>
  </si>
  <si>
    <t>L0194</t>
  </si>
  <si>
    <t>2024-03-15</t>
  </si>
  <si>
    <t>L0195</t>
  </si>
  <si>
    <t>2024-12-26</t>
  </si>
  <si>
    <t>L0196</t>
  </si>
  <si>
    <t>L0197</t>
  </si>
  <si>
    <t>2021-04-03</t>
  </si>
  <si>
    <t>L0198</t>
  </si>
  <si>
    <t>2023-12-14</t>
  </si>
  <si>
    <t>L0199</t>
  </si>
  <si>
    <t>2021-02-05</t>
  </si>
  <si>
    <t>L0200</t>
  </si>
  <si>
    <t>2023-11-24</t>
  </si>
  <si>
    <t>L0201</t>
  </si>
  <si>
    <t>2020-03-26</t>
  </si>
  <si>
    <t>L0202</t>
  </si>
  <si>
    <t>2020-12-21</t>
  </si>
  <si>
    <t>L0203</t>
  </si>
  <si>
    <t>2023-03-31</t>
  </si>
  <si>
    <t>L0204</t>
  </si>
  <si>
    <t>2019-08-03</t>
  </si>
  <si>
    <t>L0205</t>
  </si>
  <si>
    <t>2019-05-01</t>
  </si>
  <si>
    <t>L0206</t>
  </si>
  <si>
    <t>2019-12-08</t>
  </si>
  <si>
    <t>L0207</t>
  </si>
  <si>
    <t>2022-04-08</t>
  </si>
  <si>
    <t>L0208</t>
  </si>
  <si>
    <t>L0209</t>
  </si>
  <si>
    <t>2025-06-07</t>
  </si>
  <si>
    <t>L0210</t>
  </si>
  <si>
    <t>L0211</t>
  </si>
  <si>
    <t>2021-06-01</t>
  </si>
  <si>
    <t>L0212</t>
  </si>
  <si>
    <t>2023-10-15</t>
  </si>
  <si>
    <t>L0213</t>
  </si>
  <si>
    <t>2021-12-20</t>
  </si>
  <si>
    <t>L0214</t>
  </si>
  <si>
    <t>2021-01-01</t>
  </si>
  <si>
    <t>L0215</t>
  </si>
  <si>
    <t>2023-05-13</t>
  </si>
  <si>
    <t>L0216</t>
  </si>
  <si>
    <t>L0217</t>
  </si>
  <si>
    <t>2025-07-16</t>
  </si>
  <si>
    <t>L0218</t>
  </si>
  <si>
    <t>2025-05-27</t>
  </si>
  <si>
    <t>L0219</t>
  </si>
  <si>
    <t>L0220</t>
  </si>
  <si>
    <t>2020-09-16</t>
  </si>
  <si>
    <t>L0221</t>
  </si>
  <si>
    <t>2023-10-04</t>
  </si>
  <si>
    <t>L0222</t>
  </si>
  <si>
    <t>2021-12-08</t>
  </si>
  <si>
    <t>L0223</t>
  </si>
  <si>
    <t>2019-10-22</t>
  </si>
  <si>
    <t>L0224</t>
  </si>
  <si>
    <t>2025-07-28</t>
  </si>
  <si>
    <t>L0225</t>
  </si>
  <si>
    <t>2022-11-29</t>
  </si>
  <si>
    <t>L0226</t>
  </si>
  <si>
    <t>2025-09-03</t>
  </si>
  <si>
    <t>L0227</t>
  </si>
  <si>
    <t>2019-11-01</t>
  </si>
  <si>
    <t>L0228</t>
  </si>
  <si>
    <t>2023-11-29</t>
  </si>
  <si>
    <t>L0229</t>
  </si>
  <si>
    <t>2020-05-08</t>
  </si>
  <si>
    <t>L0230</t>
  </si>
  <si>
    <t>2023-08-21</t>
  </si>
  <si>
    <t>L0231</t>
  </si>
  <si>
    <t>2025-06-20</t>
  </si>
  <si>
    <t>L0232</t>
  </si>
  <si>
    <t>2022-12-17</t>
  </si>
  <si>
    <t>L0233</t>
  </si>
  <si>
    <t>2025-04-08</t>
  </si>
  <si>
    <t>L0234</t>
  </si>
  <si>
    <t>2022-06-13</t>
  </si>
  <si>
    <t>L0235</t>
  </si>
  <si>
    <t>2022-09-26</t>
  </si>
  <si>
    <t>L0236</t>
  </si>
  <si>
    <t>L0237</t>
  </si>
  <si>
    <t>2022-01-13</t>
  </si>
  <si>
    <t>L0238</t>
  </si>
  <si>
    <t>2025-06-15</t>
  </si>
  <si>
    <t>L0239</t>
  </si>
  <si>
    <t>2020-12-05</t>
  </si>
  <si>
    <t>L0240</t>
  </si>
  <si>
    <t>2020-06-23</t>
  </si>
  <si>
    <t>L0241</t>
  </si>
  <si>
    <t>L0242</t>
  </si>
  <si>
    <t>2023-09-12</t>
  </si>
  <si>
    <t>L0243</t>
  </si>
  <si>
    <t>L0244</t>
  </si>
  <si>
    <t>2023-02-13</t>
  </si>
  <si>
    <t>L0245</t>
  </si>
  <si>
    <t>L0246</t>
  </si>
  <si>
    <t>L0247</t>
  </si>
  <si>
    <t>2021-10-22</t>
  </si>
  <si>
    <t>L0248</t>
  </si>
  <si>
    <t>2023-11-22</t>
  </si>
  <si>
    <t>L0249</t>
  </si>
  <si>
    <t>2021-03-18</t>
  </si>
  <si>
    <t>L0250</t>
  </si>
  <si>
    <t>2019-12-11</t>
  </si>
  <si>
    <t>L0251</t>
  </si>
  <si>
    <t>L0252</t>
  </si>
  <si>
    <t>2021-01-22</t>
  </si>
  <si>
    <t>L0253</t>
  </si>
  <si>
    <t>2024-12-06</t>
  </si>
  <si>
    <t>L0254</t>
  </si>
  <si>
    <t>2023-10-29</t>
  </si>
  <si>
    <t>L0255</t>
  </si>
  <si>
    <t>L0256</t>
  </si>
  <si>
    <t>2019-05-10</t>
  </si>
  <si>
    <t>L0257</t>
  </si>
  <si>
    <t>2024-01-14</t>
  </si>
  <si>
    <t>L0258</t>
  </si>
  <si>
    <t>2021-07-04</t>
  </si>
  <si>
    <t>L0259</t>
  </si>
  <si>
    <t>L0260</t>
  </si>
  <si>
    <t>2024-06-30</t>
  </si>
  <si>
    <t>L0261</t>
  </si>
  <si>
    <t>L0262</t>
  </si>
  <si>
    <t>2024-04-09</t>
  </si>
  <si>
    <t>L0263</t>
  </si>
  <si>
    <t>2025-09-10</t>
  </si>
  <si>
    <t>L0264</t>
  </si>
  <si>
    <t>L0265</t>
  </si>
  <si>
    <t>2024-09-23</t>
  </si>
  <si>
    <t>L0266</t>
  </si>
  <si>
    <t>2025-03-12</t>
  </si>
  <si>
    <t>L0267</t>
  </si>
  <si>
    <t>2021-10-03</t>
  </si>
  <si>
    <t>L0268</t>
  </si>
  <si>
    <t>2023-11-04</t>
  </si>
  <si>
    <t>L0269</t>
  </si>
  <si>
    <t>L0270</t>
  </si>
  <si>
    <t>2021-08-15</t>
  </si>
  <si>
    <t>L0271</t>
  </si>
  <si>
    <t>2020-04-16</t>
  </si>
  <si>
    <t>L0272</t>
  </si>
  <si>
    <t>2025-08-13</t>
  </si>
  <si>
    <t>L0273</t>
  </si>
  <si>
    <t>2020-11-10</t>
  </si>
  <si>
    <t>L0274</t>
  </si>
  <si>
    <t>L0275</t>
  </si>
  <si>
    <t>2021-04-27</t>
  </si>
  <si>
    <t>L0276</t>
  </si>
  <si>
    <t>2022-12-18</t>
  </si>
  <si>
    <t>L0277</t>
  </si>
  <si>
    <t>L0278</t>
  </si>
  <si>
    <t>2025-06-12</t>
  </si>
  <si>
    <t>L0279</t>
  </si>
  <si>
    <t>L0280</t>
  </si>
  <si>
    <t>2019-07-13</t>
  </si>
  <si>
    <t>L0281</t>
  </si>
  <si>
    <t>2019-04-15</t>
  </si>
  <si>
    <t>L0282</t>
  </si>
  <si>
    <t>2023-04-15</t>
  </si>
  <si>
    <t>L0283</t>
  </si>
  <si>
    <t>2022-09-08</t>
  </si>
  <si>
    <t>L0284</t>
  </si>
  <si>
    <t>2019-01-21</t>
  </si>
  <si>
    <t>L0285</t>
  </si>
  <si>
    <t>2023-12-22</t>
  </si>
  <si>
    <t>L0286</t>
  </si>
  <si>
    <t>L0287</t>
  </si>
  <si>
    <t>2023-06-10</t>
  </si>
  <si>
    <t>L0288</t>
  </si>
  <si>
    <t>2022-12-07</t>
  </si>
  <si>
    <t>L0289</t>
  </si>
  <si>
    <t>2021-03-19</t>
  </si>
  <si>
    <t>L0290</t>
  </si>
  <si>
    <t>2021-02-02</t>
  </si>
  <si>
    <t>L0291</t>
  </si>
  <si>
    <t>2022-09-17</t>
  </si>
  <si>
    <t>L0292</t>
  </si>
  <si>
    <t>2022-05-26</t>
  </si>
  <si>
    <t>L0293</t>
  </si>
  <si>
    <t>L0294</t>
  </si>
  <si>
    <t>2021-07-23</t>
  </si>
  <si>
    <t>L0295</t>
  </si>
  <si>
    <t>2022-08-06</t>
  </si>
  <si>
    <t>L0296</t>
  </si>
  <si>
    <t>L0297</t>
  </si>
  <si>
    <t>2019-08-27</t>
  </si>
  <si>
    <t>L0298</t>
  </si>
  <si>
    <t>2025-08-03</t>
  </si>
  <si>
    <t>L0299</t>
  </si>
  <si>
    <t>2023-04-08</t>
  </si>
  <si>
    <t>L0300</t>
  </si>
  <si>
    <t>2024-07-27</t>
  </si>
  <si>
    <t>L0301</t>
  </si>
  <si>
    <t>2019-12-03</t>
  </si>
  <si>
    <t>L0302</t>
  </si>
  <si>
    <t>2023-01-22</t>
  </si>
  <si>
    <t>L0303</t>
  </si>
  <si>
    <t>2024-09-20</t>
  </si>
  <si>
    <t>L0304</t>
  </si>
  <si>
    <t>L0305</t>
  </si>
  <si>
    <t>2025-02-16</t>
  </si>
  <si>
    <t>L0306</t>
  </si>
  <si>
    <t>L0307</t>
  </si>
  <si>
    <t>2021-04-10</t>
  </si>
  <si>
    <t>L0308</t>
  </si>
  <si>
    <t>2024-12-17</t>
  </si>
  <si>
    <t>L0309</t>
  </si>
  <si>
    <t>2021-08-19</t>
  </si>
  <si>
    <t>L0310</t>
  </si>
  <si>
    <t>2022-08-10</t>
  </si>
  <si>
    <t>L0311</t>
  </si>
  <si>
    <t>2023-01-01</t>
  </si>
  <si>
    <t>L0312</t>
  </si>
  <si>
    <t>2021-02-01</t>
  </si>
  <si>
    <t>L0313</t>
  </si>
  <si>
    <t>2020-06-29</t>
  </si>
  <si>
    <t>L0314</t>
  </si>
  <si>
    <t>L0315</t>
  </si>
  <si>
    <t>2024-02-10</t>
  </si>
  <si>
    <t>L0316</t>
  </si>
  <si>
    <t>2020-04-19</t>
  </si>
  <si>
    <t>L0317</t>
  </si>
  <si>
    <t>2023-03-03</t>
  </si>
  <si>
    <t>L0318</t>
  </si>
  <si>
    <t>2024-09-10</t>
  </si>
  <si>
    <t>L0319</t>
  </si>
  <si>
    <t>2023-09-20</t>
  </si>
  <si>
    <t>L0320</t>
  </si>
  <si>
    <t>TransactionID</t>
  </si>
  <si>
    <t>TransactionDate</t>
  </si>
  <si>
    <t>TransactionType</t>
  </si>
  <si>
    <t>Amount</t>
  </si>
  <si>
    <t>T00001</t>
  </si>
  <si>
    <t>2025-09-23</t>
  </si>
  <si>
    <t>Withdrawal</t>
  </si>
  <si>
    <t>T00002</t>
  </si>
  <si>
    <t>2025-09-29</t>
  </si>
  <si>
    <t>T00003</t>
  </si>
  <si>
    <t>2025-09-28</t>
  </si>
  <si>
    <t>Bill Payment</t>
  </si>
  <si>
    <t>T00004</t>
  </si>
  <si>
    <t>2026-08-31</t>
  </si>
  <si>
    <t>Fund Transfer</t>
  </si>
  <si>
    <t>T00005</t>
  </si>
  <si>
    <t>2026-02-27</t>
  </si>
  <si>
    <t>T00006</t>
  </si>
  <si>
    <t>2026-03-01</t>
  </si>
  <si>
    <t>T00007</t>
  </si>
  <si>
    <t>2026-06-28</t>
  </si>
  <si>
    <t>EMI Payment</t>
  </si>
  <si>
    <t>T00008</t>
  </si>
  <si>
    <t>2026-07-22</t>
  </si>
  <si>
    <t>T00009</t>
  </si>
  <si>
    <t>2026-05-15</t>
  </si>
  <si>
    <t>T00010</t>
  </si>
  <si>
    <t>2026-01-10</t>
  </si>
  <si>
    <t>T00011</t>
  </si>
  <si>
    <t>2026-02-01</t>
  </si>
  <si>
    <t>T00012</t>
  </si>
  <si>
    <t>2025-12-30</t>
  </si>
  <si>
    <t>T00013</t>
  </si>
  <si>
    <t>2026-04-01</t>
  </si>
  <si>
    <t>T00014</t>
  </si>
  <si>
    <t>2026-02-14</t>
  </si>
  <si>
    <t>T00015</t>
  </si>
  <si>
    <t>2025-12-01</t>
  </si>
  <si>
    <t>T00016</t>
  </si>
  <si>
    <t>2025-12-03</t>
  </si>
  <si>
    <t>T00017</t>
  </si>
  <si>
    <t>2026-05-16</t>
  </si>
  <si>
    <t>T00018</t>
  </si>
  <si>
    <t>2026-04-03</t>
  </si>
  <si>
    <t>T00019</t>
  </si>
  <si>
    <t>2026-04-29</t>
  </si>
  <si>
    <t>T00020</t>
  </si>
  <si>
    <t>2025-11-27</t>
  </si>
  <si>
    <t>T00021</t>
  </si>
  <si>
    <t>2026-05-08</t>
  </si>
  <si>
    <t>Deposit</t>
  </si>
  <si>
    <t>T00022</t>
  </si>
  <si>
    <t>2026-01-05</t>
  </si>
  <si>
    <t>T00023</t>
  </si>
  <si>
    <t>2025-11-05</t>
  </si>
  <si>
    <t>T00024</t>
  </si>
  <si>
    <t>2026-03-16</t>
  </si>
  <si>
    <t>T00025</t>
  </si>
  <si>
    <t>2026-01-12</t>
  </si>
  <si>
    <t>T00026</t>
  </si>
  <si>
    <t>2026-01-22</t>
  </si>
  <si>
    <t>T00027</t>
  </si>
  <si>
    <t>2026-05-20</t>
  </si>
  <si>
    <t>T00028</t>
  </si>
  <si>
    <t>2026-03-03</t>
  </si>
  <si>
    <t>T00029</t>
  </si>
  <si>
    <t>2026-08-26</t>
  </si>
  <si>
    <t>T00030</t>
  </si>
  <si>
    <t>2026-02-07</t>
  </si>
  <si>
    <t>T00031</t>
  </si>
  <si>
    <t>2025-09-09</t>
  </si>
  <si>
    <t>T00032</t>
  </si>
  <si>
    <t>2026-07-25</t>
  </si>
  <si>
    <t>T00033</t>
  </si>
  <si>
    <t>2026-04-16</t>
  </si>
  <si>
    <t>T00034</t>
  </si>
  <si>
    <t>2026-04-12</t>
  </si>
  <si>
    <t>T00035</t>
  </si>
  <si>
    <t>2026-08-20</t>
  </si>
  <si>
    <t>T00036</t>
  </si>
  <si>
    <t>2026-06-26</t>
  </si>
  <si>
    <t>T00037</t>
  </si>
  <si>
    <t>2025-11-11</t>
  </si>
  <si>
    <t>T00038</t>
  </si>
  <si>
    <t>2026-03-12</t>
  </si>
  <si>
    <t>T00039</t>
  </si>
  <si>
    <t>2025-09-14</t>
  </si>
  <si>
    <t>T00040</t>
  </si>
  <si>
    <t>2026-08-10</t>
  </si>
  <si>
    <t>T00041</t>
  </si>
  <si>
    <t>2026-06-24</t>
  </si>
  <si>
    <t>T00042</t>
  </si>
  <si>
    <t>2026-05-29</t>
  </si>
  <si>
    <t>T00043</t>
  </si>
  <si>
    <t>T00044</t>
  </si>
  <si>
    <t>2026-05-30</t>
  </si>
  <si>
    <t>T00045</t>
  </si>
  <si>
    <t>2025-09-04</t>
  </si>
  <si>
    <t>T00046</t>
  </si>
  <si>
    <t>2025-09-16</t>
  </si>
  <si>
    <t>T00047</t>
  </si>
  <si>
    <t>2026-03-04</t>
  </si>
  <si>
    <t>T00048</t>
  </si>
  <si>
    <t>2026-07-05</t>
  </si>
  <si>
    <t>T00049</t>
  </si>
  <si>
    <t>2025-10-06</t>
  </si>
  <si>
    <t>T00050</t>
  </si>
  <si>
    <t>T00051</t>
  </si>
  <si>
    <t>2025-10-19</t>
  </si>
  <si>
    <t>T00052</t>
  </si>
  <si>
    <t>2026-04-21</t>
  </si>
  <si>
    <t>T00053</t>
  </si>
  <si>
    <t>T00054</t>
  </si>
  <si>
    <t>2025-10-23</t>
  </si>
  <si>
    <t>T00055</t>
  </si>
  <si>
    <t>2026-08-09</t>
  </si>
  <si>
    <t>T00056</t>
  </si>
  <si>
    <t>2026-01-13</t>
  </si>
  <si>
    <t>T00057</t>
  </si>
  <si>
    <t>2025-12-28</t>
  </si>
  <si>
    <t>T00058</t>
  </si>
  <si>
    <t>2026-07-16</t>
  </si>
  <si>
    <t>T00059</t>
  </si>
  <si>
    <t>2026-05-14</t>
  </si>
  <si>
    <t>T00060</t>
  </si>
  <si>
    <t>2026-02-13</t>
  </si>
  <si>
    <t>T00061</t>
  </si>
  <si>
    <t>2025-12-05</t>
  </si>
  <si>
    <t>T00062</t>
  </si>
  <si>
    <t>2026-07-19</t>
  </si>
  <si>
    <t>T00063</t>
  </si>
  <si>
    <t>2026-02-26</t>
  </si>
  <si>
    <t>T00064</t>
  </si>
  <si>
    <t>2026-08-13</t>
  </si>
  <si>
    <t>T00065</t>
  </si>
  <si>
    <t>2026-07-09</t>
  </si>
  <si>
    <t>T00066</t>
  </si>
  <si>
    <t>2025-09-22</t>
  </si>
  <si>
    <t>T00067</t>
  </si>
  <si>
    <t>T00068</t>
  </si>
  <si>
    <t>2025-12-26</t>
  </si>
  <si>
    <t>T00069</t>
  </si>
  <si>
    <t>2026-02-16</t>
  </si>
  <si>
    <t>T00070</t>
  </si>
  <si>
    <t>2026-05-27</t>
  </si>
  <si>
    <t>T00071</t>
  </si>
  <si>
    <t>T00072</t>
  </si>
  <si>
    <t>2026-04-15</t>
  </si>
  <si>
    <t>T00073</t>
  </si>
  <si>
    <t>2026-02-20</t>
  </si>
  <si>
    <t>T00074</t>
  </si>
  <si>
    <t>2026-02-19</t>
  </si>
  <si>
    <t>T00075</t>
  </si>
  <si>
    <t>2026-07-13</t>
  </si>
  <si>
    <t>T00076</t>
  </si>
  <si>
    <t>2026-07-08</t>
  </si>
  <si>
    <t>T00077</t>
  </si>
  <si>
    <t>2026-02-17</t>
  </si>
  <si>
    <t>T00078</t>
  </si>
  <si>
    <t>2026-03-05</t>
  </si>
  <si>
    <t>T00079</t>
  </si>
  <si>
    <t>2026-01-07</t>
  </si>
  <si>
    <t>T00080</t>
  </si>
  <si>
    <t>2025-10-17</t>
  </si>
  <si>
    <t>T00081</t>
  </si>
  <si>
    <t>2025-12-04</t>
  </si>
  <si>
    <t>T00082</t>
  </si>
  <si>
    <t>2026-06-08</t>
  </si>
  <si>
    <t>T00083</t>
  </si>
  <si>
    <t>2026-05-03</t>
  </si>
  <si>
    <t>T00084</t>
  </si>
  <si>
    <t>2025-10-04</t>
  </si>
  <si>
    <t>T00085</t>
  </si>
  <si>
    <t>2026-05-01</t>
  </si>
  <si>
    <t>T00086</t>
  </si>
  <si>
    <t>2026-04-08</t>
  </si>
  <si>
    <t>T00087</t>
  </si>
  <si>
    <t>2025-09-19</t>
  </si>
  <si>
    <t>T00088</t>
  </si>
  <si>
    <t>2026-02-06</t>
  </si>
  <si>
    <t>T00089</t>
  </si>
  <si>
    <t>2025-12-12</t>
  </si>
  <si>
    <t>T00090</t>
  </si>
  <si>
    <t>2026-08-22</t>
  </si>
  <si>
    <t>T00091</t>
  </si>
  <si>
    <t>T00092</t>
  </si>
  <si>
    <t>2026-02-22</t>
  </si>
  <si>
    <t>T00093</t>
  </si>
  <si>
    <t>2025-11-09</t>
  </si>
  <si>
    <t>T00094</t>
  </si>
  <si>
    <t>2026-03-24</t>
  </si>
  <si>
    <t>T00095</t>
  </si>
  <si>
    <t>2026-03-21</t>
  </si>
  <si>
    <t>T00096</t>
  </si>
  <si>
    <t>2026-01-17</t>
  </si>
  <si>
    <t>T00097</t>
  </si>
  <si>
    <t>2026-04-05</t>
  </si>
  <si>
    <t>T00098</t>
  </si>
  <si>
    <t>T00099</t>
  </si>
  <si>
    <t>2025-11-29</t>
  </si>
  <si>
    <t>T00100</t>
  </si>
  <si>
    <t>2025-12-23</t>
  </si>
  <si>
    <t>T00101</t>
  </si>
  <si>
    <t>2026-06-11</t>
  </si>
  <si>
    <t>T00102</t>
  </si>
  <si>
    <t>2026-03-31</t>
  </si>
  <si>
    <t>T00103</t>
  </si>
  <si>
    <t>2026-01-06</t>
  </si>
  <si>
    <t>T00104</t>
  </si>
  <si>
    <t>2026-02-08</t>
  </si>
  <si>
    <t>T00105</t>
  </si>
  <si>
    <t>T00106</t>
  </si>
  <si>
    <t>2026-06-19</t>
  </si>
  <si>
    <t>T00107</t>
  </si>
  <si>
    <t>2025-10-12</t>
  </si>
  <si>
    <t>T00108</t>
  </si>
  <si>
    <t>T00109</t>
  </si>
  <si>
    <t>T00110</t>
  </si>
  <si>
    <t>T00111</t>
  </si>
  <si>
    <t>T00112</t>
  </si>
  <si>
    <t>2026-05-19</t>
  </si>
  <si>
    <t>T00113</t>
  </si>
  <si>
    <t>T00114</t>
  </si>
  <si>
    <t>2026-07-31</t>
  </si>
  <si>
    <t>T00115</t>
  </si>
  <si>
    <t>T00116</t>
  </si>
  <si>
    <t>2026-02-10</t>
  </si>
  <si>
    <t>T00117</t>
  </si>
  <si>
    <t>2026-06-25</t>
  </si>
  <si>
    <t>T00118</t>
  </si>
  <si>
    <t>2026-04-24</t>
  </si>
  <si>
    <t>T00119</t>
  </si>
  <si>
    <t>2026-06-20</t>
  </si>
  <si>
    <t>T00120</t>
  </si>
  <si>
    <t>2025-10-09</t>
  </si>
  <si>
    <t>T00121</t>
  </si>
  <si>
    <t>2026-05-04</t>
  </si>
  <si>
    <t>T00122</t>
  </si>
  <si>
    <t>T00123</t>
  </si>
  <si>
    <t>2026-06-02</t>
  </si>
  <si>
    <t>T00124</t>
  </si>
  <si>
    <t>T00125</t>
  </si>
  <si>
    <t>2026-02-12</t>
  </si>
  <si>
    <t>T00126</t>
  </si>
  <si>
    <t>2026-06-13</t>
  </si>
  <si>
    <t>T00127</t>
  </si>
  <si>
    <t>2026-01-08</t>
  </si>
  <si>
    <t>T00128</t>
  </si>
  <si>
    <t>T00129</t>
  </si>
  <si>
    <t>2025-09-02</t>
  </si>
  <si>
    <t>T00130</t>
  </si>
  <si>
    <t>T00131</t>
  </si>
  <si>
    <t>2025-10-22</t>
  </si>
  <si>
    <t>T00132</t>
  </si>
  <si>
    <t>2025-09-25</t>
  </si>
  <si>
    <t>T00133</t>
  </si>
  <si>
    <t>T00134</t>
  </si>
  <si>
    <t>2026-07-28</t>
  </si>
  <si>
    <t>T00135</t>
  </si>
  <si>
    <t>T00136</t>
  </si>
  <si>
    <t>T00137</t>
  </si>
  <si>
    <t>2026-08-23</t>
  </si>
  <si>
    <t>T00138</t>
  </si>
  <si>
    <t>T00139</t>
  </si>
  <si>
    <t>T00140</t>
  </si>
  <si>
    <t>2026-01-18</t>
  </si>
  <si>
    <t>T00141</t>
  </si>
  <si>
    <t>2026-08-14</t>
  </si>
  <si>
    <t>T00142</t>
  </si>
  <si>
    <t>2026-03-08</t>
  </si>
  <si>
    <t>T00143</t>
  </si>
  <si>
    <t>T00144</t>
  </si>
  <si>
    <t>2026-02-02</t>
  </si>
  <si>
    <t>T00145</t>
  </si>
  <si>
    <t>2026-01-16</t>
  </si>
  <si>
    <t>T00146</t>
  </si>
  <si>
    <t>2026-08-02</t>
  </si>
  <si>
    <t>T00147</t>
  </si>
  <si>
    <t>2026-05-13</t>
  </si>
  <si>
    <t>T00148</t>
  </si>
  <si>
    <t>2026-06-12</t>
  </si>
  <si>
    <t>T00149</t>
  </si>
  <si>
    <t>T00150</t>
  </si>
  <si>
    <t>2025-12-19</t>
  </si>
  <si>
    <t>T00151</t>
  </si>
  <si>
    <t>T00152</t>
  </si>
  <si>
    <t>2025-10-01</t>
  </si>
  <si>
    <t>T00153</t>
  </si>
  <si>
    <t>T00154</t>
  </si>
  <si>
    <t>T00155</t>
  </si>
  <si>
    <t>2025-11-24</t>
  </si>
  <si>
    <t>T00156</t>
  </si>
  <si>
    <t>T00157</t>
  </si>
  <si>
    <t>T00158</t>
  </si>
  <si>
    <t>2026-06-23</t>
  </si>
  <si>
    <t>T00159</t>
  </si>
  <si>
    <t>T00160</t>
  </si>
  <si>
    <t>T00161</t>
  </si>
  <si>
    <t>2026-08-24</t>
  </si>
  <si>
    <t>T00162</t>
  </si>
  <si>
    <t>2026-05-31</t>
  </si>
  <si>
    <t>T00163</t>
  </si>
  <si>
    <t>T00164</t>
  </si>
  <si>
    <t>T00165</t>
  </si>
  <si>
    <t>2026-01-30</t>
  </si>
  <si>
    <t>T00166</t>
  </si>
  <si>
    <t>2025-12-18</t>
  </si>
  <si>
    <t>T00167</t>
  </si>
  <si>
    <t>2026-04-26</t>
  </si>
  <si>
    <t>T00168</t>
  </si>
  <si>
    <t>2025-09-05</t>
  </si>
  <si>
    <t>T00169</t>
  </si>
  <si>
    <t>T00170</t>
  </si>
  <si>
    <t>T00171</t>
  </si>
  <si>
    <t>2025-11-01</t>
  </si>
  <si>
    <t>T00172</t>
  </si>
  <si>
    <t>2026-02-05</t>
  </si>
  <si>
    <t>T00173</t>
  </si>
  <si>
    <t>2026-01-14</t>
  </si>
  <si>
    <t>T00174</t>
  </si>
  <si>
    <t>2025-11-04</t>
  </si>
  <si>
    <t>T00175</t>
  </si>
  <si>
    <t>T00176</t>
  </si>
  <si>
    <t>2025-12-09</t>
  </si>
  <si>
    <t>T00177</t>
  </si>
  <si>
    <t>2026-05-18</t>
  </si>
  <si>
    <t>T00178</t>
  </si>
  <si>
    <t>T00179</t>
  </si>
  <si>
    <t>2026-08-11</t>
  </si>
  <si>
    <t>T00180</t>
  </si>
  <si>
    <t>2025-10-16</t>
  </si>
  <si>
    <t>T00181</t>
  </si>
  <si>
    <t>T00182</t>
  </si>
  <si>
    <t>2026-08-12</t>
  </si>
  <si>
    <t>T00183</t>
  </si>
  <si>
    <t>T00184</t>
  </si>
  <si>
    <t>2026-03-15</t>
  </si>
  <si>
    <t>T00185</t>
  </si>
  <si>
    <t>2026-03-06</t>
  </si>
  <si>
    <t>T00186</t>
  </si>
  <si>
    <t>T00187</t>
  </si>
  <si>
    <t>T00188</t>
  </si>
  <si>
    <t>T00189</t>
  </si>
  <si>
    <t>2025-10-08</t>
  </si>
  <si>
    <t>T00190</t>
  </si>
  <si>
    <t>2026-06-05</t>
  </si>
  <si>
    <t>T00191</t>
  </si>
  <si>
    <t>2026-06-03</t>
  </si>
  <si>
    <t>T00192</t>
  </si>
  <si>
    <t>T00193</t>
  </si>
  <si>
    <t>T00194</t>
  </si>
  <si>
    <t>T00195</t>
  </si>
  <si>
    <t>T00196</t>
  </si>
  <si>
    <t>2026-08-03</t>
  </si>
  <si>
    <t>T00197</t>
  </si>
  <si>
    <t>T00198</t>
  </si>
  <si>
    <t>2026-04-02</t>
  </si>
  <si>
    <t>T00199</t>
  </si>
  <si>
    <t>T00200</t>
  </si>
  <si>
    <t>2026-03-11</t>
  </si>
  <si>
    <t>T00201</t>
  </si>
  <si>
    <t>2026-03-20</t>
  </si>
  <si>
    <t>T00202</t>
  </si>
  <si>
    <t>2025-11-12</t>
  </si>
  <si>
    <t>T00203</t>
  </si>
  <si>
    <t>2026-05-23</t>
  </si>
  <si>
    <t>T00204</t>
  </si>
  <si>
    <t>2025-10-25</t>
  </si>
  <si>
    <t>T00205</t>
  </si>
  <si>
    <t>2026-07-23</t>
  </si>
  <si>
    <t>T00206</t>
  </si>
  <si>
    <t>2026-01-19</t>
  </si>
  <si>
    <t>T00207</t>
  </si>
  <si>
    <t>2026-07-04</t>
  </si>
  <si>
    <t>T00208</t>
  </si>
  <si>
    <t>T00209</t>
  </si>
  <si>
    <t>T00210</t>
  </si>
  <si>
    <t>2025-10-05</t>
  </si>
  <si>
    <t>T00211</t>
  </si>
  <si>
    <t>T00212</t>
  </si>
  <si>
    <t>T00213</t>
  </si>
  <si>
    <t>T00214</t>
  </si>
  <si>
    <t>T00215</t>
  </si>
  <si>
    <t>T00216</t>
  </si>
  <si>
    <t>T00217</t>
  </si>
  <si>
    <t>T00218</t>
  </si>
  <si>
    <t>T00219</t>
  </si>
  <si>
    <t>2026-06-29</t>
  </si>
  <si>
    <t>T00220</t>
  </si>
  <si>
    <t>2026-09-01</t>
  </si>
  <si>
    <t>T00221</t>
  </si>
  <si>
    <t>T00222</t>
  </si>
  <si>
    <t>T00223</t>
  </si>
  <si>
    <t>T00224</t>
  </si>
  <si>
    <t>T00225</t>
  </si>
  <si>
    <t>T00226</t>
  </si>
  <si>
    <t>T00227</t>
  </si>
  <si>
    <t>T00228</t>
  </si>
  <si>
    <t>2026-02-23</t>
  </si>
  <si>
    <t>T00229</t>
  </si>
  <si>
    <t>2025-12-27</t>
  </si>
  <si>
    <t>T00230</t>
  </si>
  <si>
    <t>2025-11-10</t>
  </si>
  <si>
    <t>T00231</t>
  </si>
  <si>
    <t>2025-10-13</t>
  </si>
  <si>
    <t>T00232</t>
  </si>
  <si>
    <t>2025-12-06</t>
  </si>
  <si>
    <t>T00233</t>
  </si>
  <si>
    <t>2025-10-02</t>
  </si>
  <si>
    <t>T00234</t>
  </si>
  <si>
    <t>T00235</t>
  </si>
  <si>
    <t>T00236</t>
  </si>
  <si>
    <t>T00237</t>
  </si>
  <si>
    <t>2025-10-26</t>
  </si>
  <si>
    <t>T00238</t>
  </si>
  <si>
    <t>2025-11-18</t>
  </si>
  <si>
    <t>T00239</t>
  </si>
  <si>
    <t>T00240</t>
  </si>
  <si>
    <t>T00241</t>
  </si>
  <si>
    <t>2025-09-17</t>
  </si>
  <si>
    <t>T00242</t>
  </si>
  <si>
    <t>2026-04-25</t>
  </si>
  <si>
    <t>T00243</t>
  </si>
  <si>
    <t>T00244</t>
  </si>
  <si>
    <t>T00245</t>
  </si>
  <si>
    <t>T00246</t>
  </si>
  <si>
    <t>2026-04-28</t>
  </si>
  <si>
    <t>T00247</t>
  </si>
  <si>
    <t>2026-06-07</t>
  </si>
  <si>
    <t>T00248</t>
  </si>
  <si>
    <t>2025-11-08</t>
  </si>
  <si>
    <t>T00249</t>
  </si>
  <si>
    <t>2026-03-13</t>
  </si>
  <si>
    <t>T00250</t>
  </si>
  <si>
    <t>T00251</t>
  </si>
  <si>
    <t>2025-10-24</t>
  </si>
  <si>
    <t>T00252</t>
  </si>
  <si>
    <t>2026-07-01</t>
  </si>
  <si>
    <t>T00253</t>
  </si>
  <si>
    <t>T00254</t>
  </si>
  <si>
    <t>2025-12-13</t>
  </si>
  <si>
    <t>T00255</t>
  </si>
  <si>
    <t>2025-11-15</t>
  </si>
  <si>
    <t>T00256</t>
  </si>
  <si>
    <t>T00257</t>
  </si>
  <si>
    <t>2025-11-16</t>
  </si>
  <si>
    <t>T00258</t>
  </si>
  <si>
    <t>2026-02-21</t>
  </si>
  <si>
    <t>T00259</t>
  </si>
  <si>
    <t>2026-07-06</t>
  </si>
  <si>
    <t>T00260</t>
  </si>
  <si>
    <t>2026-05-17</t>
  </si>
  <si>
    <t>T00261</t>
  </si>
  <si>
    <t>2026-08-08</t>
  </si>
  <si>
    <t>T00262</t>
  </si>
  <si>
    <t>2026-01-04</t>
  </si>
  <si>
    <t>T00263</t>
  </si>
  <si>
    <t>2026-01-01</t>
  </si>
  <si>
    <t>T00264</t>
  </si>
  <si>
    <t>T00265</t>
  </si>
  <si>
    <t>T00266</t>
  </si>
  <si>
    <t>2025-10-18</t>
  </si>
  <si>
    <t>T00267</t>
  </si>
  <si>
    <t>2025-12-31</t>
  </si>
  <si>
    <t>T00268</t>
  </si>
  <si>
    <t>T00269</t>
  </si>
  <si>
    <t>2026-01-03</t>
  </si>
  <si>
    <t>T00270</t>
  </si>
  <si>
    <t>2026-06-14</t>
  </si>
  <si>
    <t>T00271</t>
  </si>
  <si>
    <t>T00272</t>
  </si>
  <si>
    <t>2026-08-18</t>
  </si>
  <si>
    <t>T00273</t>
  </si>
  <si>
    <t>2026-04-14</t>
  </si>
  <si>
    <t>T00274</t>
  </si>
  <si>
    <t>T00275</t>
  </si>
  <si>
    <t>2026-06-30</t>
  </si>
  <si>
    <t>T00276</t>
  </si>
  <si>
    <t>2026-08-01</t>
  </si>
  <si>
    <t>T00277</t>
  </si>
  <si>
    <t>T00278</t>
  </si>
  <si>
    <t>2026-05-05</t>
  </si>
  <si>
    <t>T00279</t>
  </si>
  <si>
    <t>T00280</t>
  </si>
  <si>
    <t>T00281</t>
  </si>
  <si>
    <t>2026-04-22</t>
  </si>
  <si>
    <t>T00282</t>
  </si>
  <si>
    <t>2025-10-31</t>
  </si>
  <si>
    <t>T00283</t>
  </si>
  <si>
    <t>T00284</t>
  </si>
  <si>
    <t>2025-11-03</t>
  </si>
  <si>
    <t>T00285</t>
  </si>
  <si>
    <t>2026-03-02</t>
  </si>
  <si>
    <t>T00286</t>
  </si>
  <si>
    <t>2026-06-10</t>
  </si>
  <si>
    <t>T00287</t>
  </si>
  <si>
    <t>T00288</t>
  </si>
  <si>
    <t>2026-03-19</t>
  </si>
  <si>
    <t>T00289</t>
  </si>
  <si>
    <t>2025-09-18</t>
  </si>
  <si>
    <t>T00290</t>
  </si>
  <si>
    <t>2026-04-17</t>
  </si>
  <si>
    <t>T00291</t>
  </si>
  <si>
    <t>T00292</t>
  </si>
  <si>
    <t>T00293</t>
  </si>
  <si>
    <t>T00294</t>
  </si>
  <si>
    <t>T00295</t>
  </si>
  <si>
    <t>T00296</t>
  </si>
  <si>
    <t>T00297</t>
  </si>
  <si>
    <t>T00298</t>
  </si>
  <si>
    <t>T00299</t>
  </si>
  <si>
    <t>T00300</t>
  </si>
  <si>
    <t>T00301</t>
  </si>
  <si>
    <t>2026-08-17</t>
  </si>
  <si>
    <t>T00302</t>
  </si>
  <si>
    <t>2026-02-18</t>
  </si>
  <si>
    <t>T00303</t>
  </si>
  <si>
    <t>2026-04-07</t>
  </si>
  <si>
    <t>T00304</t>
  </si>
  <si>
    <t>T00305</t>
  </si>
  <si>
    <t>T00306</t>
  </si>
  <si>
    <t>T00307</t>
  </si>
  <si>
    <t>2026-04-06</t>
  </si>
  <si>
    <t>T00308</t>
  </si>
  <si>
    <t>T00309</t>
  </si>
  <si>
    <t>T00310</t>
  </si>
  <si>
    <t>T00311</t>
  </si>
  <si>
    <t>T00312</t>
  </si>
  <si>
    <t>T00313</t>
  </si>
  <si>
    <t>T00314</t>
  </si>
  <si>
    <t>2026-03-07</t>
  </si>
  <si>
    <t>T00315</t>
  </si>
  <si>
    <t>T00316</t>
  </si>
  <si>
    <t>T00317</t>
  </si>
  <si>
    <t>2025-11-17</t>
  </si>
  <si>
    <t>T00318</t>
  </si>
  <si>
    <t>2026-05-28</t>
  </si>
  <si>
    <t>T00319</t>
  </si>
  <si>
    <t>T00320</t>
  </si>
  <si>
    <t>2026-07-24</t>
  </si>
  <si>
    <t>T00321</t>
  </si>
  <si>
    <t>T00322</t>
  </si>
  <si>
    <t>T00323</t>
  </si>
  <si>
    <t>T00324</t>
  </si>
  <si>
    <t>2026-04-09</t>
  </si>
  <si>
    <t>T00325</t>
  </si>
  <si>
    <t>T00326</t>
  </si>
  <si>
    <t>2026-01-26</t>
  </si>
  <si>
    <t>T00327</t>
  </si>
  <si>
    <t>T00328</t>
  </si>
  <si>
    <t>T00329</t>
  </si>
  <si>
    <t>2026-08-04</t>
  </si>
  <si>
    <t>T00330</t>
  </si>
  <si>
    <t>T00331</t>
  </si>
  <si>
    <t>T00332</t>
  </si>
  <si>
    <t>T00333</t>
  </si>
  <si>
    <t>2026-02-11</t>
  </si>
  <si>
    <t>T00334</t>
  </si>
  <si>
    <t>2026-03-27</t>
  </si>
  <si>
    <t>T00335</t>
  </si>
  <si>
    <t>2026-07-21</t>
  </si>
  <si>
    <t>T00336</t>
  </si>
  <si>
    <t>2026-06-01</t>
  </si>
  <si>
    <t>T00337</t>
  </si>
  <si>
    <t>T00338</t>
  </si>
  <si>
    <t>2026-05-25</t>
  </si>
  <si>
    <t>T00339</t>
  </si>
  <si>
    <t>2025-10-03</t>
  </si>
  <si>
    <t>T00340</t>
  </si>
  <si>
    <t>2026-01-02</t>
  </si>
  <si>
    <t>T00341</t>
  </si>
  <si>
    <t>T00342</t>
  </si>
  <si>
    <t>2025-09-24</t>
  </si>
  <si>
    <t>T00343</t>
  </si>
  <si>
    <t>2025-12-11</t>
  </si>
  <si>
    <t>T00344</t>
  </si>
  <si>
    <t>2025-10-28</t>
  </si>
  <si>
    <t>T00345</t>
  </si>
  <si>
    <t>2025-12-24</t>
  </si>
  <si>
    <t>T00346</t>
  </si>
  <si>
    <t>2026-07-03</t>
  </si>
  <si>
    <t>T00347</t>
  </si>
  <si>
    <t>T00348</t>
  </si>
  <si>
    <t>T00349</t>
  </si>
  <si>
    <t>T00350</t>
  </si>
  <si>
    <t>2025-11-06</t>
  </si>
  <si>
    <t>T00351</t>
  </si>
  <si>
    <t>T00352</t>
  </si>
  <si>
    <t>T00353</t>
  </si>
  <si>
    <t>T00354</t>
  </si>
  <si>
    <t>T00355</t>
  </si>
  <si>
    <t>T00356</t>
  </si>
  <si>
    <t>2026-05-12</t>
  </si>
  <si>
    <t>T00357</t>
  </si>
  <si>
    <t>T00358</t>
  </si>
  <si>
    <t>T00359</t>
  </si>
  <si>
    <t>T00360</t>
  </si>
  <si>
    <t>T00361</t>
  </si>
  <si>
    <t>T00362</t>
  </si>
  <si>
    <t>2026-05-24</t>
  </si>
  <si>
    <t>T00363</t>
  </si>
  <si>
    <t>2026-08-25</t>
  </si>
  <si>
    <t>T00364</t>
  </si>
  <si>
    <t>2026-05-21</t>
  </si>
  <si>
    <t>T00365</t>
  </si>
  <si>
    <t>T00366</t>
  </si>
  <si>
    <t>2026-02-04</t>
  </si>
  <si>
    <t>T00367</t>
  </si>
  <si>
    <t>2025-11-22</t>
  </si>
  <si>
    <t>T00368</t>
  </si>
  <si>
    <t>T00369</t>
  </si>
  <si>
    <t>T00370</t>
  </si>
  <si>
    <t>2025-12-14</t>
  </si>
  <si>
    <t>T00371</t>
  </si>
  <si>
    <t>2026-01-27</t>
  </si>
  <si>
    <t>T00372</t>
  </si>
  <si>
    <t>T00373</t>
  </si>
  <si>
    <t>T00374</t>
  </si>
  <si>
    <t>T00375</t>
  </si>
  <si>
    <t>T00376</t>
  </si>
  <si>
    <t>T00377</t>
  </si>
  <si>
    <t>T00378</t>
  </si>
  <si>
    <t>T00379</t>
  </si>
  <si>
    <t>2026-05-11</t>
  </si>
  <si>
    <t>T00380</t>
  </si>
  <si>
    <t>T00381</t>
  </si>
  <si>
    <t>2025-10-29</t>
  </si>
  <si>
    <t>T00382</t>
  </si>
  <si>
    <t>T00383</t>
  </si>
  <si>
    <t>2026-03-18</t>
  </si>
  <si>
    <t>T00384</t>
  </si>
  <si>
    <t>T00385</t>
  </si>
  <si>
    <t>T00386</t>
  </si>
  <si>
    <t>2026-04-10</t>
  </si>
  <si>
    <t>T00387</t>
  </si>
  <si>
    <t>T00388</t>
  </si>
  <si>
    <t>T00389</t>
  </si>
  <si>
    <t>2026-04-30</t>
  </si>
  <si>
    <t>T00390</t>
  </si>
  <si>
    <t>T00391</t>
  </si>
  <si>
    <t>T00392</t>
  </si>
  <si>
    <t>T00393</t>
  </si>
  <si>
    <t>2025-09-21</t>
  </si>
  <si>
    <t>T00394</t>
  </si>
  <si>
    <t>2026-05-09</t>
  </si>
  <si>
    <t>T00395</t>
  </si>
  <si>
    <t>T00396</t>
  </si>
  <si>
    <t>T00397</t>
  </si>
  <si>
    <t>2026-03-29</t>
  </si>
  <si>
    <t>T00398</t>
  </si>
  <si>
    <t>2026-05-07</t>
  </si>
  <si>
    <t>T00399</t>
  </si>
  <si>
    <t>2025-12-07</t>
  </si>
  <si>
    <t>T00400</t>
  </si>
  <si>
    <t>2026-06-27</t>
  </si>
  <si>
    <t>T00401</t>
  </si>
  <si>
    <t>T00402</t>
  </si>
  <si>
    <t>2025-11-23</t>
  </si>
  <si>
    <t>T00403</t>
  </si>
  <si>
    <t>T00404</t>
  </si>
  <si>
    <t>2026-07-07</t>
  </si>
  <si>
    <t>T00405</t>
  </si>
  <si>
    <t>2025-12-21</t>
  </si>
  <si>
    <t>T00406</t>
  </si>
  <si>
    <t>2026-08-30</t>
  </si>
  <si>
    <t>T00407</t>
  </si>
  <si>
    <t>2026-06-21</t>
  </si>
  <si>
    <t>T00408</t>
  </si>
  <si>
    <t>2025-11-28</t>
  </si>
  <si>
    <t>T00409</t>
  </si>
  <si>
    <t>2026-06-16</t>
  </si>
  <si>
    <t>T00410</t>
  </si>
  <si>
    <t>2025-12-08</t>
  </si>
  <si>
    <t>T00411</t>
  </si>
  <si>
    <t>2025-11-21</t>
  </si>
  <si>
    <t>T00412</t>
  </si>
  <si>
    <t>T00413</t>
  </si>
  <si>
    <t>T00414</t>
  </si>
  <si>
    <t>T00415</t>
  </si>
  <si>
    <t>2026-08-05</t>
  </si>
  <si>
    <t>T00416</t>
  </si>
  <si>
    <t>2026-05-02</t>
  </si>
  <si>
    <t>T00417</t>
  </si>
  <si>
    <t>T00418</t>
  </si>
  <si>
    <t>T00419</t>
  </si>
  <si>
    <t>T00420</t>
  </si>
  <si>
    <t>T00421</t>
  </si>
  <si>
    <t>T00422</t>
  </si>
  <si>
    <t>T00423</t>
  </si>
  <si>
    <t>T00424</t>
  </si>
  <si>
    <t>T00425</t>
  </si>
  <si>
    <t>T00426</t>
  </si>
  <si>
    <t>2026-03-28</t>
  </si>
  <si>
    <t>T00427</t>
  </si>
  <si>
    <t>T00428</t>
  </si>
  <si>
    <t>T00429</t>
  </si>
  <si>
    <t>2025-10-27</t>
  </si>
  <si>
    <t>T00430</t>
  </si>
  <si>
    <t>T00431</t>
  </si>
  <si>
    <t>T00432</t>
  </si>
  <si>
    <t>2025-12-02</t>
  </si>
  <si>
    <t>T00433</t>
  </si>
  <si>
    <t>T00434</t>
  </si>
  <si>
    <t>T00435</t>
  </si>
  <si>
    <t>T00436</t>
  </si>
  <si>
    <t>T00437</t>
  </si>
  <si>
    <t>T00438</t>
  </si>
  <si>
    <t>T00439</t>
  </si>
  <si>
    <t>T00440</t>
  </si>
  <si>
    <t>2025-09-27</t>
  </si>
  <si>
    <t>T00441</t>
  </si>
  <si>
    <t>T00442</t>
  </si>
  <si>
    <t>T00443</t>
  </si>
  <si>
    <t>T00444</t>
  </si>
  <si>
    <t>T00445</t>
  </si>
  <si>
    <t>2026-08-19</t>
  </si>
  <si>
    <t>T00446</t>
  </si>
  <si>
    <t>T00447</t>
  </si>
  <si>
    <t>2025-11-07</t>
  </si>
  <si>
    <t>T00448</t>
  </si>
  <si>
    <t>T00449</t>
  </si>
  <si>
    <t>2025-12-25</t>
  </si>
  <si>
    <t>T00450</t>
  </si>
  <si>
    <t>2026-03-14</t>
  </si>
  <si>
    <t>T00451</t>
  </si>
  <si>
    <t>2025-09-12</t>
  </si>
  <si>
    <t>T00452</t>
  </si>
  <si>
    <t>T00453</t>
  </si>
  <si>
    <t>2026-01-31</t>
  </si>
  <si>
    <t>T00454</t>
  </si>
  <si>
    <t>T00455</t>
  </si>
  <si>
    <t>T00456</t>
  </si>
  <si>
    <t>T00457</t>
  </si>
  <si>
    <t>T00458</t>
  </si>
  <si>
    <t>2025-09-13</t>
  </si>
  <si>
    <t>T00459</t>
  </si>
  <si>
    <t>2026-01-23</t>
  </si>
  <si>
    <t>T00460</t>
  </si>
  <si>
    <t>T00461</t>
  </si>
  <si>
    <t>2026-04-13</t>
  </si>
  <si>
    <t>T00462</t>
  </si>
  <si>
    <t>T00463</t>
  </si>
  <si>
    <t>T00464</t>
  </si>
  <si>
    <t>T00465</t>
  </si>
  <si>
    <t>T00466</t>
  </si>
  <si>
    <t>2026-06-06</t>
  </si>
  <si>
    <t>T00467</t>
  </si>
  <si>
    <t>2026-03-22</t>
  </si>
  <si>
    <t>T00468</t>
  </si>
  <si>
    <t>T00469</t>
  </si>
  <si>
    <t>2026-02-09</t>
  </si>
  <si>
    <t>T00470</t>
  </si>
  <si>
    <t>T00471</t>
  </si>
  <si>
    <t>T00472</t>
  </si>
  <si>
    <t>T00473</t>
  </si>
  <si>
    <t>T00474</t>
  </si>
  <si>
    <t>T00475</t>
  </si>
  <si>
    <t>T00476</t>
  </si>
  <si>
    <t>T00477</t>
  </si>
  <si>
    <t>2026-03-30</t>
  </si>
  <si>
    <t>T00478</t>
  </si>
  <si>
    <t>T00479</t>
  </si>
  <si>
    <t>T00480</t>
  </si>
  <si>
    <t>2026-05-22</t>
  </si>
  <si>
    <t>T00481</t>
  </si>
  <si>
    <t>T00482</t>
  </si>
  <si>
    <t>2025-09-30</t>
  </si>
  <si>
    <t>T00483</t>
  </si>
  <si>
    <t>T00484</t>
  </si>
  <si>
    <t>T00485</t>
  </si>
  <si>
    <t>T00486</t>
  </si>
  <si>
    <t>T00487</t>
  </si>
  <si>
    <t>T00488</t>
  </si>
  <si>
    <t>T00489</t>
  </si>
  <si>
    <t>2026-02-15</t>
  </si>
  <si>
    <t>T00490</t>
  </si>
  <si>
    <t>T00491</t>
  </si>
  <si>
    <t>T00492</t>
  </si>
  <si>
    <t>T00493</t>
  </si>
  <si>
    <t>T00494</t>
  </si>
  <si>
    <t>2026-03-10</t>
  </si>
  <si>
    <t>T00495</t>
  </si>
  <si>
    <t>T00496</t>
  </si>
  <si>
    <t>T00497</t>
  </si>
  <si>
    <t>2026-06-17</t>
  </si>
  <si>
    <t>T00498</t>
  </si>
  <si>
    <t>T00499</t>
  </si>
  <si>
    <t>T00500</t>
  </si>
  <si>
    <t>T00501</t>
  </si>
  <si>
    <t>T00502</t>
  </si>
  <si>
    <t>T00503</t>
  </si>
  <si>
    <t>T00504</t>
  </si>
  <si>
    <t>2026-08-27</t>
  </si>
  <si>
    <t>T00505</t>
  </si>
  <si>
    <t>2026-01-21</t>
  </si>
  <si>
    <t>T00506</t>
  </si>
  <si>
    <t>2025-09-26</t>
  </si>
  <si>
    <t>T00507</t>
  </si>
  <si>
    <t>T00508</t>
  </si>
  <si>
    <t>2026-04-11</t>
  </si>
  <si>
    <t>T00509</t>
  </si>
  <si>
    <t>2026-07-15</t>
  </si>
  <si>
    <t>T00510</t>
  </si>
  <si>
    <t>T00511</t>
  </si>
  <si>
    <t>T00512</t>
  </si>
  <si>
    <t>T00513</t>
  </si>
  <si>
    <t>T00514</t>
  </si>
  <si>
    <t>2026-03-23</t>
  </si>
  <si>
    <t>T00515</t>
  </si>
  <si>
    <t>T00516</t>
  </si>
  <si>
    <t>T00517</t>
  </si>
  <si>
    <t>T00518</t>
  </si>
  <si>
    <t>T00519</t>
  </si>
  <si>
    <t>T00520</t>
  </si>
  <si>
    <t>T00521</t>
  </si>
  <si>
    <t>2026-04-18</t>
  </si>
  <si>
    <t>T00522</t>
  </si>
  <si>
    <t>T00523</t>
  </si>
  <si>
    <t>T00524</t>
  </si>
  <si>
    <t>T00525</t>
  </si>
  <si>
    <t>T00526</t>
  </si>
  <si>
    <t>T00527</t>
  </si>
  <si>
    <t>2026-04-23</t>
  </si>
  <si>
    <t>T00528</t>
  </si>
  <si>
    <t>T00529</t>
  </si>
  <si>
    <t>T00530</t>
  </si>
  <si>
    <t>T00531</t>
  </si>
  <si>
    <t>T00532</t>
  </si>
  <si>
    <t>2026-08-06</t>
  </si>
  <si>
    <t>T00533</t>
  </si>
  <si>
    <t>T00534</t>
  </si>
  <si>
    <t>T00535</t>
  </si>
  <si>
    <t>T00536</t>
  </si>
  <si>
    <t>T00537</t>
  </si>
  <si>
    <t>2026-01-29</t>
  </si>
  <si>
    <t>T00538</t>
  </si>
  <si>
    <t>T00539</t>
  </si>
  <si>
    <t>T00540</t>
  </si>
  <si>
    <t>T00541</t>
  </si>
  <si>
    <t>2025-12-16</t>
  </si>
  <si>
    <t>T00542</t>
  </si>
  <si>
    <t>2026-01-09</t>
  </si>
  <si>
    <t>T00543</t>
  </si>
  <si>
    <t>2025-11-19</t>
  </si>
  <si>
    <t>T00544</t>
  </si>
  <si>
    <t>T00545</t>
  </si>
  <si>
    <t>T00546</t>
  </si>
  <si>
    <t>T00547</t>
  </si>
  <si>
    <t>2026-07-29</t>
  </si>
  <si>
    <t>T00548</t>
  </si>
  <si>
    <t>T00549</t>
  </si>
  <si>
    <t>T00550</t>
  </si>
  <si>
    <t>T00551</t>
  </si>
  <si>
    <t>T00552</t>
  </si>
  <si>
    <t>T00553</t>
  </si>
  <si>
    <t>2025-12-10</t>
  </si>
  <si>
    <t>T00554</t>
  </si>
  <si>
    <t>2025-11-02</t>
  </si>
  <si>
    <t>T00555</t>
  </si>
  <si>
    <t>T00556</t>
  </si>
  <si>
    <t>T00557</t>
  </si>
  <si>
    <t>2025-11-13</t>
  </si>
  <si>
    <t>T00558</t>
  </si>
  <si>
    <t>T00559</t>
  </si>
  <si>
    <t>T00560</t>
  </si>
  <si>
    <t>T00561</t>
  </si>
  <si>
    <t>T00562</t>
  </si>
  <si>
    <t>2026-01-20</t>
  </si>
  <si>
    <t>T00563</t>
  </si>
  <si>
    <t>T00564</t>
  </si>
  <si>
    <t>2026-02-03</t>
  </si>
  <si>
    <t>T00565</t>
  </si>
  <si>
    <t>T00566</t>
  </si>
  <si>
    <t>2026-06-09</t>
  </si>
  <si>
    <t>T00567</t>
  </si>
  <si>
    <t>T00568</t>
  </si>
  <si>
    <t>T00569</t>
  </si>
  <si>
    <t>T00570</t>
  </si>
  <si>
    <t>T00571</t>
  </si>
  <si>
    <t>T00572</t>
  </si>
  <si>
    <t>2026-01-28</t>
  </si>
  <si>
    <t>T00573</t>
  </si>
  <si>
    <t>2026-07-10</t>
  </si>
  <si>
    <t>T00574</t>
  </si>
  <si>
    <t>T00575</t>
  </si>
  <si>
    <t>T00576</t>
  </si>
  <si>
    <t>T00577</t>
  </si>
  <si>
    <t>T00578</t>
  </si>
  <si>
    <t>T00579</t>
  </si>
  <si>
    <t>T00580</t>
  </si>
  <si>
    <t>T00581</t>
  </si>
  <si>
    <t>2026-01-25</t>
  </si>
  <si>
    <t>T00582</t>
  </si>
  <si>
    <t>T00583</t>
  </si>
  <si>
    <t>T00584</t>
  </si>
  <si>
    <t>T00585</t>
  </si>
  <si>
    <t>T00586</t>
  </si>
  <si>
    <t>T00587</t>
  </si>
  <si>
    <t>T00588</t>
  </si>
  <si>
    <t>T00589</t>
  </si>
  <si>
    <t>2025-09-07</t>
  </si>
  <si>
    <t>T00590</t>
  </si>
  <si>
    <t>T00591</t>
  </si>
  <si>
    <t>T00592</t>
  </si>
  <si>
    <t>T00593</t>
  </si>
  <si>
    <t>2026-01-24</t>
  </si>
  <si>
    <t>T00594</t>
  </si>
  <si>
    <t>T00595</t>
  </si>
  <si>
    <t>2026-05-10</t>
  </si>
  <si>
    <t>T00596</t>
  </si>
  <si>
    <t>2025-12-20</t>
  </si>
  <si>
    <t>T00597</t>
  </si>
  <si>
    <t>T00598</t>
  </si>
  <si>
    <t>T00599</t>
  </si>
  <si>
    <t>2025-10-15</t>
  </si>
  <si>
    <t>T00600</t>
  </si>
  <si>
    <t>T00601</t>
  </si>
  <si>
    <t>T00602</t>
  </si>
  <si>
    <t>T00603</t>
  </si>
  <si>
    <t>T00604</t>
  </si>
  <si>
    <t>T00605</t>
  </si>
  <si>
    <t>T00606</t>
  </si>
  <si>
    <t>T00607</t>
  </si>
  <si>
    <t>T00608</t>
  </si>
  <si>
    <t>T00609</t>
  </si>
  <si>
    <t>T00610</t>
  </si>
  <si>
    <t>T00611</t>
  </si>
  <si>
    <t>T00612</t>
  </si>
  <si>
    <t>T00613</t>
  </si>
  <si>
    <t>2025-09-06</t>
  </si>
  <si>
    <t>T00614</t>
  </si>
  <si>
    <t>T00615</t>
  </si>
  <si>
    <t>T00616</t>
  </si>
  <si>
    <t>T00617</t>
  </si>
  <si>
    <t>T00618</t>
  </si>
  <si>
    <t>T00619</t>
  </si>
  <si>
    <t>T00620</t>
  </si>
  <si>
    <t>T00621</t>
  </si>
  <si>
    <t>2026-03-09</t>
  </si>
  <si>
    <t>T00622</t>
  </si>
  <si>
    <t>T00623</t>
  </si>
  <si>
    <t>T00624</t>
  </si>
  <si>
    <t>T00625</t>
  </si>
  <si>
    <t>T00626</t>
  </si>
  <si>
    <t>T00627</t>
  </si>
  <si>
    <t>T00628</t>
  </si>
  <si>
    <t>T00629</t>
  </si>
  <si>
    <t>2026-07-30</t>
  </si>
  <si>
    <t>T00630</t>
  </si>
  <si>
    <t>T00631</t>
  </si>
  <si>
    <t>T00632</t>
  </si>
  <si>
    <t>2026-07-20</t>
  </si>
  <si>
    <t>T00633</t>
  </si>
  <si>
    <t>T00634</t>
  </si>
  <si>
    <t>T00635</t>
  </si>
  <si>
    <t>T00636</t>
  </si>
  <si>
    <t>T00637</t>
  </si>
  <si>
    <t>T00638</t>
  </si>
  <si>
    <t>T00639</t>
  </si>
  <si>
    <t>T00640</t>
  </si>
  <si>
    <t>T00641</t>
  </si>
  <si>
    <t>T00642</t>
  </si>
  <si>
    <t>T00643</t>
  </si>
  <si>
    <t>T00644</t>
  </si>
  <si>
    <t>2026-04-20</t>
  </si>
  <si>
    <t>T00645</t>
  </si>
  <si>
    <t>T00646</t>
  </si>
  <si>
    <t>T00647</t>
  </si>
  <si>
    <t>T00648</t>
  </si>
  <si>
    <t>T00649</t>
  </si>
  <si>
    <t>T00650</t>
  </si>
  <si>
    <t>T00651</t>
  </si>
  <si>
    <t>T00652</t>
  </si>
  <si>
    <t>T00653</t>
  </si>
  <si>
    <t>T00654</t>
  </si>
  <si>
    <t>2026-03-26</t>
  </si>
  <si>
    <t>T00655</t>
  </si>
  <si>
    <t>T00656</t>
  </si>
  <si>
    <t>T00657</t>
  </si>
  <si>
    <t>T00658</t>
  </si>
  <si>
    <t>T00659</t>
  </si>
  <si>
    <t>2026-07-17</t>
  </si>
  <si>
    <t>T00660</t>
  </si>
  <si>
    <t>T00661</t>
  </si>
  <si>
    <t>2026-08-07</t>
  </si>
  <si>
    <t>T00662</t>
  </si>
  <si>
    <t>T00663</t>
  </si>
  <si>
    <t>T00664</t>
  </si>
  <si>
    <t>T00665</t>
  </si>
  <si>
    <t>T00666</t>
  </si>
  <si>
    <t>2025-12-15</t>
  </si>
  <si>
    <t>T00667</t>
  </si>
  <si>
    <t>2026-06-15</t>
  </si>
  <si>
    <t>T00668</t>
  </si>
  <si>
    <t>T00669</t>
  </si>
  <si>
    <t>T00670</t>
  </si>
  <si>
    <t>T00671</t>
  </si>
  <si>
    <t>T00672</t>
  </si>
  <si>
    <t>2026-08-28</t>
  </si>
  <si>
    <t>T00673</t>
  </si>
  <si>
    <t>T00674</t>
  </si>
  <si>
    <t>T00675</t>
  </si>
  <si>
    <t>T00676</t>
  </si>
  <si>
    <t>T00677</t>
  </si>
  <si>
    <t>T00678</t>
  </si>
  <si>
    <t>T00679</t>
  </si>
  <si>
    <t>T00680</t>
  </si>
  <si>
    <t>T00681</t>
  </si>
  <si>
    <t>T00682</t>
  </si>
  <si>
    <t>T00683</t>
  </si>
  <si>
    <t>T00684</t>
  </si>
  <si>
    <t>T00685</t>
  </si>
  <si>
    <t>T00686</t>
  </si>
  <si>
    <t>2025-09-20</t>
  </si>
  <si>
    <t>T00687</t>
  </si>
  <si>
    <t>T00688</t>
  </si>
  <si>
    <t>T00689</t>
  </si>
  <si>
    <t>T00690</t>
  </si>
  <si>
    <t>T00691</t>
  </si>
  <si>
    <t>T00692</t>
  </si>
  <si>
    <t>T00693</t>
  </si>
  <si>
    <t>T00694</t>
  </si>
  <si>
    <t>2025-09-08</t>
  </si>
  <si>
    <t>T00695</t>
  </si>
  <si>
    <t>T00696</t>
  </si>
  <si>
    <t>T00697</t>
  </si>
  <si>
    <t>T00698</t>
  </si>
  <si>
    <t>T00699</t>
  </si>
  <si>
    <t>T00700</t>
  </si>
  <si>
    <t>2026-08-21</t>
  </si>
  <si>
    <t>T00701</t>
  </si>
  <si>
    <t>T00702</t>
  </si>
  <si>
    <t>T00703</t>
  </si>
  <si>
    <t>T00704</t>
  </si>
  <si>
    <t>T00705</t>
  </si>
  <si>
    <t>T00706</t>
  </si>
  <si>
    <t>T00707</t>
  </si>
  <si>
    <t>T00708</t>
  </si>
  <si>
    <t>T00709</t>
  </si>
  <si>
    <t>T00710</t>
  </si>
  <si>
    <t>T00711</t>
  </si>
  <si>
    <t>T00712</t>
  </si>
  <si>
    <t>T00713</t>
  </si>
  <si>
    <t>T00714</t>
  </si>
  <si>
    <t>T00715</t>
  </si>
  <si>
    <t>T00716</t>
  </si>
  <si>
    <t>T00717</t>
  </si>
  <si>
    <t>T00718</t>
  </si>
  <si>
    <t>T00719</t>
  </si>
  <si>
    <t>2025-12-29</t>
  </si>
  <si>
    <t>T00720</t>
  </si>
  <si>
    <t>T00721</t>
  </si>
  <si>
    <t>T00722</t>
  </si>
  <si>
    <t>T00723</t>
  </si>
  <si>
    <t>T00724</t>
  </si>
  <si>
    <t>T00725</t>
  </si>
  <si>
    <t>T00726</t>
  </si>
  <si>
    <t>T00727</t>
  </si>
  <si>
    <t>T00728</t>
  </si>
  <si>
    <t>T00729</t>
  </si>
  <si>
    <t>T00730</t>
  </si>
  <si>
    <t>T00731</t>
  </si>
  <si>
    <t>T00732</t>
  </si>
  <si>
    <t>T00733</t>
  </si>
  <si>
    <t>T00734</t>
  </si>
  <si>
    <t>T00735</t>
  </si>
  <si>
    <t>T00736</t>
  </si>
  <si>
    <t>T00737</t>
  </si>
  <si>
    <t>T00738</t>
  </si>
  <si>
    <t>T00739</t>
  </si>
  <si>
    <t>T00740</t>
  </si>
  <si>
    <t>T00741</t>
  </si>
  <si>
    <t>T00742</t>
  </si>
  <si>
    <t>T00743</t>
  </si>
  <si>
    <t>2025-10-10</t>
  </si>
  <si>
    <t>T00744</t>
  </si>
  <si>
    <t>T00745</t>
  </si>
  <si>
    <t>T00746</t>
  </si>
  <si>
    <t>T00747</t>
  </si>
  <si>
    <t>T00748</t>
  </si>
  <si>
    <t>T00749</t>
  </si>
  <si>
    <t>T00750</t>
  </si>
  <si>
    <t>T00751</t>
  </si>
  <si>
    <t>T00752</t>
  </si>
  <si>
    <t>T00753</t>
  </si>
  <si>
    <t>T00754</t>
  </si>
  <si>
    <t>T00755</t>
  </si>
  <si>
    <t>T00756</t>
  </si>
  <si>
    <t>T00757</t>
  </si>
  <si>
    <t>2026-04-27</t>
  </si>
  <si>
    <t>T00758</t>
  </si>
  <si>
    <t>2025-11-26</t>
  </si>
  <si>
    <t>T00759</t>
  </si>
  <si>
    <t>2026-06-22</t>
  </si>
  <si>
    <t>T00760</t>
  </si>
  <si>
    <t>T00761</t>
  </si>
  <si>
    <t>T00762</t>
  </si>
  <si>
    <t>T00763</t>
  </si>
  <si>
    <t>T00764</t>
  </si>
  <si>
    <t>T00765</t>
  </si>
  <si>
    <t>2025-11-25</t>
  </si>
  <si>
    <t>T00766</t>
  </si>
  <si>
    <t>T00767</t>
  </si>
  <si>
    <t>T00768</t>
  </si>
  <si>
    <t>T00769</t>
  </si>
  <si>
    <t>T00770</t>
  </si>
  <si>
    <t>T00771</t>
  </si>
  <si>
    <t>T00772</t>
  </si>
  <si>
    <t>T00773</t>
  </si>
  <si>
    <t>T00774</t>
  </si>
  <si>
    <t>T00775</t>
  </si>
  <si>
    <t>T00776</t>
  </si>
  <si>
    <t>T00777</t>
  </si>
  <si>
    <t>2026-07-14</t>
  </si>
  <si>
    <t>T00778</t>
  </si>
  <si>
    <t>T00779</t>
  </si>
  <si>
    <t>T00780</t>
  </si>
  <si>
    <t>T00781</t>
  </si>
  <si>
    <t>T00782</t>
  </si>
  <si>
    <t>T00783</t>
  </si>
  <si>
    <t>T00784</t>
  </si>
  <si>
    <t>T00785</t>
  </si>
  <si>
    <t>T00786</t>
  </si>
  <si>
    <t>T00787</t>
  </si>
  <si>
    <t>T00788</t>
  </si>
  <si>
    <t>T00789</t>
  </si>
  <si>
    <t>T00790</t>
  </si>
  <si>
    <t>T00791</t>
  </si>
  <si>
    <t>2026-08-16</t>
  </si>
  <si>
    <t>T00792</t>
  </si>
  <si>
    <t>T00793</t>
  </si>
  <si>
    <t>T00794</t>
  </si>
  <si>
    <t>T00795</t>
  </si>
  <si>
    <t>T00796</t>
  </si>
  <si>
    <t>T00797</t>
  </si>
  <si>
    <t>T00798</t>
  </si>
  <si>
    <t>T00799</t>
  </si>
  <si>
    <t>T00800</t>
  </si>
  <si>
    <t>T00801</t>
  </si>
  <si>
    <t>T00802</t>
  </si>
  <si>
    <t>T00803</t>
  </si>
  <si>
    <t>T00804</t>
  </si>
  <si>
    <t>T00805</t>
  </si>
  <si>
    <t>2025-09-11</t>
  </si>
  <si>
    <t>T00806</t>
  </si>
  <si>
    <t>T00807</t>
  </si>
  <si>
    <t>T00808</t>
  </si>
  <si>
    <t>T00809</t>
  </si>
  <si>
    <t>T00810</t>
  </si>
  <si>
    <t>T00811</t>
  </si>
  <si>
    <t>T00812</t>
  </si>
  <si>
    <t>T00813</t>
  </si>
  <si>
    <t>T00814</t>
  </si>
  <si>
    <t>T00815</t>
  </si>
  <si>
    <t>T00816</t>
  </si>
  <si>
    <t>T00817</t>
  </si>
  <si>
    <t>T00818</t>
  </si>
  <si>
    <t>T00819</t>
  </si>
  <si>
    <t>T00820</t>
  </si>
  <si>
    <t>T00821</t>
  </si>
  <si>
    <t>T00822</t>
  </si>
  <si>
    <t>2026-05-26</t>
  </si>
  <si>
    <t>T00823</t>
  </si>
  <si>
    <t>T00824</t>
  </si>
  <si>
    <t>T00825</t>
  </si>
  <si>
    <t>2025-10-07</t>
  </si>
  <si>
    <t>T00826</t>
  </si>
  <si>
    <t>T00827</t>
  </si>
  <si>
    <t>T00828</t>
  </si>
  <si>
    <t>T00829</t>
  </si>
  <si>
    <t>T00830</t>
  </si>
  <si>
    <t>T00831</t>
  </si>
  <si>
    <t>T00832</t>
  </si>
  <si>
    <t>T00833</t>
  </si>
  <si>
    <t>T00834</t>
  </si>
  <si>
    <t>2026-01-15</t>
  </si>
  <si>
    <t>T00835</t>
  </si>
  <si>
    <t>T00836</t>
  </si>
  <si>
    <t>T00837</t>
  </si>
  <si>
    <t>T00838</t>
  </si>
  <si>
    <t>T00839</t>
  </si>
  <si>
    <t>T00840</t>
  </si>
  <si>
    <t>2026-07-12</t>
  </si>
  <si>
    <t>T00841</t>
  </si>
  <si>
    <t>T00842</t>
  </si>
  <si>
    <t>T00843</t>
  </si>
  <si>
    <t>T00844</t>
  </si>
  <si>
    <t>T00845</t>
  </si>
  <si>
    <t>T00846</t>
  </si>
  <si>
    <t>T00847</t>
  </si>
  <si>
    <t>T00848</t>
  </si>
  <si>
    <t>T00849</t>
  </si>
  <si>
    <t>T00850</t>
  </si>
  <si>
    <t>T00851</t>
  </si>
  <si>
    <t>T00852</t>
  </si>
  <si>
    <t>T00853</t>
  </si>
  <si>
    <t>T00854</t>
  </si>
  <si>
    <t>2025-11-30</t>
  </si>
  <si>
    <t>T00855</t>
  </si>
  <si>
    <t>T00856</t>
  </si>
  <si>
    <t>T00857</t>
  </si>
  <si>
    <t>T00858</t>
  </si>
  <si>
    <t>T00859</t>
  </si>
  <si>
    <t>T00860</t>
  </si>
  <si>
    <t>T00861</t>
  </si>
  <si>
    <t>T00862</t>
  </si>
  <si>
    <t>T00863</t>
  </si>
  <si>
    <t>T00864</t>
  </si>
  <si>
    <t>T00865</t>
  </si>
  <si>
    <t>T00866</t>
  </si>
  <si>
    <t>T00867</t>
  </si>
  <si>
    <t>2026-01-11</t>
  </si>
  <si>
    <t>T00868</t>
  </si>
  <si>
    <t>T00869</t>
  </si>
  <si>
    <t>T00870</t>
  </si>
  <si>
    <t>T00871</t>
  </si>
  <si>
    <t>T00872</t>
  </si>
  <si>
    <t>T00873</t>
  </si>
  <si>
    <t>T00874</t>
  </si>
  <si>
    <t>T00875</t>
  </si>
  <si>
    <t>T00876</t>
  </si>
  <si>
    <t>T00877</t>
  </si>
  <si>
    <t>T00878</t>
  </si>
  <si>
    <t>T00879</t>
  </si>
  <si>
    <t>T00880</t>
  </si>
  <si>
    <t>T00881</t>
  </si>
  <si>
    <t>T00882</t>
  </si>
  <si>
    <t>T00883</t>
  </si>
  <si>
    <t>2025-10-14</t>
  </si>
  <si>
    <t>T00884</t>
  </si>
  <si>
    <t>T00885</t>
  </si>
  <si>
    <t>T00886</t>
  </si>
  <si>
    <t>T00887</t>
  </si>
  <si>
    <t>T00888</t>
  </si>
  <si>
    <t>T00889</t>
  </si>
  <si>
    <t>T00890</t>
  </si>
  <si>
    <t>T00891</t>
  </si>
  <si>
    <t>T00892</t>
  </si>
  <si>
    <t>T00893</t>
  </si>
  <si>
    <t>T00894</t>
  </si>
  <si>
    <t>2026-07-18</t>
  </si>
  <si>
    <t>T00895</t>
  </si>
  <si>
    <t>T00896</t>
  </si>
  <si>
    <t>T00897</t>
  </si>
  <si>
    <t>T00898</t>
  </si>
  <si>
    <t>2026-04-19</t>
  </si>
  <si>
    <t>T00899</t>
  </si>
  <si>
    <t>T00900</t>
  </si>
  <si>
    <t>T00901</t>
  </si>
  <si>
    <t>T00902</t>
  </si>
  <si>
    <t>2025-12-17</t>
  </si>
  <si>
    <t>T00903</t>
  </si>
  <si>
    <t>T00904</t>
  </si>
  <si>
    <t>T00905</t>
  </si>
  <si>
    <t>2026-08-15</t>
  </si>
  <si>
    <t>T00906</t>
  </si>
  <si>
    <t>T00907</t>
  </si>
  <si>
    <t>T00908</t>
  </si>
  <si>
    <t>T00909</t>
  </si>
  <si>
    <t>T00910</t>
  </si>
  <si>
    <t>T00911</t>
  </si>
  <si>
    <t>T00912</t>
  </si>
  <si>
    <t>T00913</t>
  </si>
  <si>
    <t>T00914</t>
  </si>
  <si>
    <t>2025-11-20</t>
  </si>
  <si>
    <t>T00915</t>
  </si>
  <si>
    <t>T00916</t>
  </si>
  <si>
    <t>T00917</t>
  </si>
  <si>
    <t>T00918</t>
  </si>
  <si>
    <t>T00919</t>
  </si>
  <si>
    <t>T00920</t>
  </si>
  <si>
    <t>T00921</t>
  </si>
  <si>
    <t>T00922</t>
  </si>
  <si>
    <t>T00923</t>
  </si>
  <si>
    <t>T00924</t>
  </si>
  <si>
    <t>T00925</t>
  </si>
  <si>
    <t>T00926</t>
  </si>
  <si>
    <t>2026-02-28</t>
  </si>
  <si>
    <t>T00927</t>
  </si>
  <si>
    <t>T00928</t>
  </si>
  <si>
    <t>T00929</t>
  </si>
  <si>
    <t>T00930</t>
  </si>
  <si>
    <t>T00931</t>
  </si>
  <si>
    <t>T00932</t>
  </si>
  <si>
    <t>T00933</t>
  </si>
  <si>
    <t>T00934</t>
  </si>
  <si>
    <t>T00935</t>
  </si>
  <si>
    <t>T00936</t>
  </si>
  <si>
    <t>T00937</t>
  </si>
  <si>
    <t>T00938</t>
  </si>
  <si>
    <t>T00939</t>
  </si>
  <si>
    <t>T00940</t>
  </si>
  <si>
    <t>T00941</t>
  </si>
  <si>
    <t>T00942</t>
  </si>
  <si>
    <t>T00943</t>
  </si>
  <si>
    <t>T00944</t>
  </si>
  <si>
    <t>T00945</t>
  </si>
  <si>
    <t>T00946</t>
  </si>
  <si>
    <t>T00947</t>
  </si>
  <si>
    <t>2025-12-22</t>
  </si>
  <si>
    <t>T00948</t>
  </si>
  <si>
    <t>T00949</t>
  </si>
  <si>
    <t>T00950</t>
  </si>
  <si>
    <t>T00951</t>
  </si>
  <si>
    <t>T00952</t>
  </si>
  <si>
    <t>T00953</t>
  </si>
  <si>
    <t>T00954</t>
  </si>
  <si>
    <t>T00955</t>
  </si>
  <si>
    <t>T00956</t>
  </si>
  <si>
    <t>2026-03-17</t>
  </si>
  <si>
    <t>T00957</t>
  </si>
  <si>
    <t>T00958</t>
  </si>
  <si>
    <t>T00959</t>
  </si>
  <si>
    <t>T00960</t>
  </si>
  <si>
    <t>T00961</t>
  </si>
  <si>
    <t>T00962</t>
  </si>
  <si>
    <t>T00963</t>
  </si>
  <si>
    <t>T00964</t>
  </si>
  <si>
    <t>T00965</t>
  </si>
  <si>
    <t>T00966</t>
  </si>
  <si>
    <t>T00967</t>
  </si>
  <si>
    <t>T00968</t>
  </si>
  <si>
    <t>T00969</t>
  </si>
  <si>
    <t>2026-08-29</t>
  </si>
  <si>
    <t>T00970</t>
  </si>
  <si>
    <t>T00971</t>
  </si>
  <si>
    <t>T00972</t>
  </si>
  <si>
    <t>T00973</t>
  </si>
  <si>
    <t>T00974</t>
  </si>
  <si>
    <t>T00975</t>
  </si>
  <si>
    <t>T00976</t>
  </si>
  <si>
    <t>T00977</t>
  </si>
  <si>
    <t>T00978</t>
  </si>
  <si>
    <t>T00979</t>
  </si>
  <si>
    <t>T00980</t>
  </si>
  <si>
    <t>T00981</t>
  </si>
  <si>
    <t>T00982</t>
  </si>
  <si>
    <t>T00983</t>
  </si>
  <si>
    <t>T00984</t>
  </si>
  <si>
    <t>T00985</t>
  </si>
  <si>
    <t>T00986</t>
  </si>
  <si>
    <t>T00987</t>
  </si>
  <si>
    <t>T00988</t>
  </si>
  <si>
    <t>T00989</t>
  </si>
  <si>
    <t>T00990</t>
  </si>
  <si>
    <t>T00991</t>
  </si>
  <si>
    <t>T00992</t>
  </si>
  <si>
    <t>T00993</t>
  </si>
  <si>
    <t>T00994</t>
  </si>
  <si>
    <t>T00995</t>
  </si>
  <si>
    <t>T00996</t>
  </si>
  <si>
    <t>T00997</t>
  </si>
  <si>
    <t>T00998</t>
  </si>
  <si>
    <t>T00999</t>
  </si>
  <si>
    <t>T01000</t>
  </si>
  <si>
    <t>T01001</t>
  </si>
  <si>
    <t>T01002</t>
  </si>
  <si>
    <t>T01003</t>
  </si>
  <si>
    <t>T01004</t>
  </si>
  <si>
    <t>T01005</t>
  </si>
  <si>
    <t>T01006</t>
  </si>
  <si>
    <t>T01007</t>
  </si>
  <si>
    <t>T01008</t>
  </si>
  <si>
    <t>T01009</t>
  </si>
  <si>
    <t>T01010</t>
  </si>
  <si>
    <t>T01011</t>
  </si>
  <si>
    <t>T01012</t>
  </si>
  <si>
    <t>T01013</t>
  </si>
  <si>
    <t>2025-10-21</t>
  </si>
  <si>
    <t>T01014</t>
  </si>
  <si>
    <t>T01015</t>
  </si>
  <si>
    <t>T01016</t>
  </si>
  <si>
    <t>T01017</t>
  </si>
  <si>
    <t>T01018</t>
  </si>
  <si>
    <t>T01019</t>
  </si>
  <si>
    <t>T01020</t>
  </si>
  <si>
    <t>T01021</t>
  </si>
  <si>
    <t>2026-07-27</t>
  </si>
  <si>
    <t>T01022</t>
  </si>
  <si>
    <t>T01023</t>
  </si>
  <si>
    <t>T01024</t>
  </si>
  <si>
    <t>T01025</t>
  </si>
  <si>
    <t>T01026</t>
  </si>
  <si>
    <t>2026-02-25</t>
  </si>
  <si>
    <t>T01027</t>
  </si>
  <si>
    <t>T01028</t>
  </si>
  <si>
    <t>T01029</t>
  </si>
  <si>
    <t>2026-03-25</t>
  </si>
  <si>
    <t>T01030</t>
  </si>
  <si>
    <t>T01031</t>
  </si>
  <si>
    <t>T01032</t>
  </si>
  <si>
    <t>T01033</t>
  </si>
  <si>
    <t>T01034</t>
  </si>
  <si>
    <t>T01035</t>
  </si>
  <si>
    <t>T01036</t>
  </si>
  <si>
    <t>T01037</t>
  </si>
  <si>
    <t>T01038</t>
  </si>
  <si>
    <t>T01039</t>
  </si>
  <si>
    <t>T01040</t>
  </si>
  <si>
    <t>T01041</t>
  </si>
  <si>
    <t>T01042</t>
  </si>
  <si>
    <t>T01043</t>
  </si>
  <si>
    <t>T01044</t>
  </si>
  <si>
    <t>T01045</t>
  </si>
  <si>
    <t>T01046</t>
  </si>
  <si>
    <t>T01047</t>
  </si>
  <si>
    <t>T01048</t>
  </si>
  <si>
    <t>T01049</t>
  </si>
  <si>
    <t>T01050</t>
  </si>
  <si>
    <t>T01051</t>
  </si>
  <si>
    <t>T01052</t>
  </si>
  <si>
    <t>T01053</t>
  </si>
  <si>
    <t>T01054</t>
  </si>
  <si>
    <t>T01055</t>
  </si>
  <si>
    <t>T01056</t>
  </si>
  <si>
    <t>T01057</t>
  </si>
  <si>
    <t>T01058</t>
  </si>
  <si>
    <t>T01059</t>
  </si>
  <si>
    <t>T01060</t>
  </si>
  <si>
    <t>T01061</t>
  </si>
  <si>
    <t>T01062</t>
  </si>
  <si>
    <t>T01063</t>
  </si>
  <si>
    <t>T01064</t>
  </si>
  <si>
    <t>T01065</t>
  </si>
  <si>
    <t>T01066</t>
  </si>
  <si>
    <t>T01067</t>
  </si>
  <si>
    <t>T01068</t>
  </si>
  <si>
    <t>T01069</t>
  </si>
  <si>
    <t>T01070</t>
  </si>
  <si>
    <t>T01071</t>
  </si>
  <si>
    <t>T01072</t>
  </si>
  <si>
    <t>T01073</t>
  </si>
  <si>
    <t>T01074</t>
  </si>
  <si>
    <t>T01075</t>
  </si>
  <si>
    <t>T01076</t>
  </si>
  <si>
    <t>T01077</t>
  </si>
  <si>
    <t>T01078</t>
  </si>
  <si>
    <t>T01079</t>
  </si>
  <si>
    <t>T01080</t>
  </si>
  <si>
    <t>T01081</t>
  </si>
  <si>
    <t>T01082</t>
  </si>
  <si>
    <t>T01083</t>
  </si>
  <si>
    <t>T01084</t>
  </si>
  <si>
    <t>T01085</t>
  </si>
  <si>
    <t>T01086</t>
  </si>
  <si>
    <t>T01087</t>
  </si>
  <si>
    <t>T01088</t>
  </si>
  <si>
    <t>T01089</t>
  </si>
  <si>
    <t>2025-09-15</t>
  </si>
  <si>
    <t>T01090</t>
  </si>
  <si>
    <t>T01091</t>
  </si>
  <si>
    <t>T01092</t>
  </si>
  <si>
    <t>T01093</t>
  </si>
  <si>
    <t>T01094</t>
  </si>
  <si>
    <t>T01095</t>
  </si>
  <si>
    <t>T01096</t>
  </si>
  <si>
    <t>T01097</t>
  </si>
  <si>
    <t>T01098</t>
  </si>
  <si>
    <t>T01099</t>
  </si>
  <si>
    <t>T01100</t>
  </si>
  <si>
    <t>T01101</t>
  </si>
  <si>
    <t>T01102</t>
  </si>
  <si>
    <t>T01103</t>
  </si>
  <si>
    <t>T01104</t>
  </si>
  <si>
    <t>T01105</t>
  </si>
  <si>
    <t>T01106</t>
  </si>
  <si>
    <t>T01107</t>
  </si>
  <si>
    <t>T01108</t>
  </si>
  <si>
    <t>T01109</t>
  </si>
  <si>
    <t>T01110</t>
  </si>
  <si>
    <t>T01111</t>
  </si>
  <si>
    <t>T01112</t>
  </si>
  <si>
    <t>T01113</t>
  </si>
  <si>
    <t>T01114</t>
  </si>
  <si>
    <t>T01115</t>
  </si>
  <si>
    <t>T01116</t>
  </si>
  <si>
    <t>T01117</t>
  </si>
  <si>
    <t>T01118</t>
  </si>
  <si>
    <t>T01119</t>
  </si>
  <si>
    <t>T01120</t>
  </si>
  <si>
    <t>T01121</t>
  </si>
  <si>
    <t>T01122</t>
  </si>
  <si>
    <t>T01123</t>
  </si>
  <si>
    <t>T01124</t>
  </si>
  <si>
    <t>T01125</t>
  </si>
  <si>
    <t>T01126</t>
  </si>
  <si>
    <t>T01127</t>
  </si>
  <si>
    <t>T01128</t>
  </si>
  <si>
    <t>T01129</t>
  </si>
  <si>
    <t>T01130</t>
  </si>
  <si>
    <t>T01131</t>
  </si>
  <si>
    <t>T01132</t>
  </si>
  <si>
    <t>T01133</t>
  </si>
  <si>
    <t>T01134</t>
  </si>
  <si>
    <t>T01135</t>
  </si>
  <si>
    <t>T01136</t>
  </si>
  <si>
    <t>T01137</t>
  </si>
  <si>
    <t>T01138</t>
  </si>
  <si>
    <t>T01139</t>
  </si>
  <si>
    <t>T01140</t>
  </si>
  <si>
    <t>T01141</t>
  </si>
  <si>
    <t>T01142</t>
  </si>
  <si>
    <t>T01143</t>
  </si>
  <si>
    <t>T01144</t>
  </si>
  <si>
    <t>T01145</t>
  </si>
  <si>
    <t>T01146</t>
  </si>
  <si>
    <t>T01147</t>
  </si>
  <si>
    <t>T01148</t>
  </si>
  <si>
    <t>T01149</t>
  </si>
  <si>
    <t>T01150</t>
  </si>
  <si>
    <t>T01151</t>
  </si>
  <si>
    <t>T01152</t>
  </si>
  <si>
    <t>T01153</t>
  </si>
  <si>
    <t>T01154</t>
  </si>
  <si>
    <t>T01155</t>
  </si>
  <si>
    <t>T01156</t>
  </si>
  <si>
    <t>T01157</t>
  </si>
  <si>
    <t>T01158</t>
  </si>
  <si>
    <t>T01159</t>
  </si>
  <si>
    <t>T01160</t>
  </si>
  <si>
    <t>T01161</t>
  </si>
  <si>
    <t>T01162</t>
  </si>
  <si>
    <t>T01163</t>
  </si>
  <si>
    <t>T01164</t>
  </si>
  <si>
    <t>T01165</t>
  </si>
  <si>
    <t>T01166</t>
  </si>
  <si>
    <t>T01167</t>
  </si>
  <si>
    <t>T01168</t>
  </si>
  <si>
    <t>T01169</t>
  </si>
  <si>
    <t>T01170</t>
  </si>
  <si>
    <t>2026-04-04</t>
  </si>
  <si>
    <t>T01171</t>
  </si>
  <si>
    <t>T01172</t>
  </si>
  <si>
    <t>T01173</t>
  </si>
  <si>
    <t>T01174</t>
  </si>
  <si>
    <t>T01175</t>
  </si>
  <si>
    <t>T01176</t>
  </si>
  <si>
    <t>T01177</t>
  </si>
  <si>
    <t>T01178</t>
  </si>
  <si>
    <t>T01179</t>
  </si>
  <si>
    <t>T01180</t>
  </si>
  <si>
    <t>T01181</t>
  </si>
  <si>
    <t>T01182</t>
  </si>
  <si>
    <t>T01183</t>
  </si>
  <si>
    <t>T01184</t>
  </si>
  <si>
    <t>T01185</t>
  </si>
  <si>
    <t>T01186</t>
  </si>
  <si>
    <t>T01187</t>
  </si>
  <si>
    <t>T01188</t>
  </si>
  <si>
    <t>T01189</t>
  </si>
  <si>
    <t>T01190</t>
  </si>
  <si>
    <t>T01191</t>
  </si>
  <si>
    <t>T01192</t>
  </si>
  <si>
    <t>T01193</t>
  </si>
  <si>
    <t>T01194</t>
  </si>
  <si>
    <t>T01195</t>
  </si>
  <si>
    <t>T01196</t>
  </si>
  <si>
    <t>T01197</t>
  </si>
  <si>
    <t>T01198</t>
  </si>
  <si>
    <t>T01199</t>
  </si>
  <si>
    <t>T01200</t>
  </si>
  <si>
    <t>T01201</t>
  </si>
  <si>
    <t>T01202</t>
  </si>
  <si>
    <t>T01203</t>
  </si>
  <si>
    <t>T01204</t>
  </si>
  <si>
    <t>T01205</t>
  </si>
  <si>
    <t>T01206</t>
  </si>
  <si>
    <t>T01207</t>
  </si>
  <si>
    <t>T01208</t>
  </si>
  <si>
    <t>T01209</t>
  </si>
  <si>
    <t>T01210</t>
  </si>
  <si>
    <t>T01211</t>
  </si>
  <si>
    <t>T01212</t>
  </si>
  <si>
    <t>T01213</t>
  </si>
  <si>
    <t>T01214</t>
  </si>
  <si>
    <t>T01215</t>
  </si>
  <si>
    <t>T01216</t>
  </si>
  <si>
    <t>T01217</t>
  </si>
  <si>
    <t>T01218</t>
  </si>
  <si>
    <t>T01219</t>
  </si>
  <si>
    <t>T01220</t>
  </si>
  <si>
    <t>2025-10-30</t>
  </si>
  <si>
    <t>T01221</t>
  </si>
  <si>
    <t>T01222</t>
  </si>
  <si>
    <t>T01223</t>
  </si>
  <si>
    <t>T01224</t>
  </si>
  <si>
    <t>T01225</t>
  </si>
  <si>
    <t>T01226</t>
  </si>
  <si>
    <t>T01227</t>
  </si>
  <si>
    <t>T01228</t>
  </si>
  <si>
    <t>T01229</t>
  </si>
  <si>
    <t>T01230</t>
  </si>
  <si>
    <t>T01231</t>
  </si>
  <si>
    <t>T01232</t>
  </si>
  <si>
    <t>T01233</t>
  </si>
  <si>
    <t>T01234</t>
  </si>
  <si>
    <t>T01235</t>
  </si>
  <si>
    <t>T01236</t>
  </si>
  <si>
    <t>T01237</t>
  </si>
  <si>
    <t>T01238</t>
  </si>
  <si>
    <t>T01239</t>
  </si>
  <si>
    <t>T01240</t>
  </si>
  <si>
    <t>T01241</t>
  </si>
  <si>
    <t>T01242</t>
  </si>
  <si>
    <t>T01243</t>
  </si>
  <si>
    <t>T01244</t>
  </si>
  <si>
    <t>T01245</t>
  </si>
  <si>
    <t>T01246</t>
  </si>
  <si>
    <t>T01247</t>
  </si>
  <si>
    <t>T01248</t>
  </si>
  <si>
    <t>T01249</t>
  </si>
  <si>
    <t>T01250</t>
  </si>
  <si>
    <t>T01251</t>
  </si>
  <si>
    <t>T01252</t>
  </si>
  <si>
    <t>T01253</t>
  </si>
  <si>
    <t>T01254</t>
  </si>
  <si>
    <t>T01255</t>
  </si>
  <si>
    <t>T01256</t>
  </si>
  <si>
    <t>T01257</t>
  </si>
  <si>
    <t>T01258</t>
  </si>
  <si>
    <t>T01259</t>
  </si>
  <si>
    <t>2026-07-02</t>
  </si>
  <si>
    <t>T01260</t>
  </si>
  <si>
    <t>T01261</t>
  </si>
  <si>
    <t>T01262</t>
  </si>
  <si>
    <t>T01263</t>
  </si>
  <si>
    <t>T01264</t>
  </si>
  <si>
    <t>T01265</t>
  </si>
  <si>
    <t>T01266</t>
  </si>
  <si>
    <t>T01267</t>
  </si>
  <si>
    <t>T01268</t>
  </si>
  <si>
    <t>T01269</t>
  </si>
  <si>
    <t>T01270</t>
  </si>
  <si>
    <t>T01271</t>
  </si>
  <si>
    <t>T01272</t>
  </si>
  <si>
    <t>T01273</t>
  </si>
  <si>
    <t>T01274</t>
  </si>
  <si>
    <t>T01275</t>
  </si>
  <si>
    <t>T01276</t>
  </si>
  <si>
    <t>T01277</t>
  </si>
  <si>
    <t>T01278</t>
  </si>
  <si>
    <t>T01279</t>
  </si>
  <si>
    <t>T01280</t>
  </si>
  <si>
    <t>T01281</t>
  </si>
  <si>
    <t>T01282</t>
  </si>
  <si>
    <t>T01283</t>
  </si>
  <si>
    <t>T01284</t>
  </si>
  <si>
    <t>T01285</t>
  </si>
  <si>
    <t>T01286</t>
  </si>
  <si>
    <t>T01287</t>
  </si>
  <si>
    <t>T01288</t>
  </si>
  <si>
    <t>T01289</t>
  </si>
  <si>
    <t>T01290</t>
  </si>
  <si>
    <t>T01291</t>
  </si>
  <si>
    <t>T01292</t>
  </si>
  <si>
    <t>T01293</t>
  </si>
  <si>
    <t>T01294</t>
  </si>
  <si>
    <t>T01295</t>
  </si>
  <si>
    <t>T01296</t>
  </si>
  <si>
    <t>T01297</t>
  </si>
  <si>
    <t>T01298</t>
  </si>
  <si>
    <t>T01299</t>
  </si>
  <si>
    <t>T01300</t>
  </si>
  <si>
    <t>T01301</t>
  </si>
  <si>
    <t>T01302</t>
  </si>
  <si>
    <t>T01303</t>
  </si>
  <si>
    <t>T01304</t>
  </si>
  <si>
    <t>T01305</t>
  </si>
  <si>
    <t>T01306</t>
  </si>
  <si>
    <t>T01307</t>
  </si>
  <si>
    <t>T01308</t>
  </si>
  <si>
    <t>T01309</t>
  </si>
  <si>
    <t>T01310</t>
  </si>
  <si>
    <t>T01311</t>
  </si>
  <si>
    <t>T01312</t>
  </si>
  <si>
    <t>T01313</t>
  </si>
  <si>
    <t>T01314</t>
  </si>
  <si>
    <t>T01315</t>
  </si>
  <si>
    <t>T01316</t>
  </si>
  <si>
    <t>T01317</t>
  </si>
  <si>
    <t>T01318</t>
  </si>
  <si>
    <t>T01319</t>
  </si>
  <si>
    <t>T01320</t>
  </si>
  <si>
    <t>T01321</t>
  </si>
  <si>
    <t>T01322</t>
  </si>
  <si>
    <t>T01323</t>
  </si>
  <si>
    <t>T01324</t>
  </si>
  <si>
    <t>T01325</t>
  </si>
  <si>
    <t>T01326</t>
  </si>
  <si>
    <t>T01327</t>
  </si>
  <si>
    <t>T01328</t>
  </si>
  <si>
    <t>T01329</t>
  </si>
  <si>
    <t>T01330</t>
  </si>
  <si>
    <t>T01331</t>
  </si>
  <si>
    <t>T01332</t>
  </si>
  <si>
    <t>T01333</t>
  </si>
  <si>
    <t>T01334</t>
  </si>
  <si>
    <t>T01335</t>
  </si>
  <si>
    <t>T01336</t>
  </si>
  <si>
    <t>T01337</t>
  </si>
  <si>
    <t>T01338</t>
  </si>
  <si>
    <t>T01339</t>
  </si>
  <si>
    <t>T01340</t>
  </si>
  <si>
    <t>T01341</t>
  </si>
  <si>
    <t>T01342</t>
  </si>
  <si>
    <t>T01343</t>
  </si>
  <si>
    <t>T01344</t>
  </si>
  <si>
    <t>T01345</t>
  </si>
  <si>
    <t>T01346</t>
  </si>
  <si>
    <t>T01347</t>
  </si>
  <si>
    <t>T01348</t>
  </si>
  <si>
    <t>T01349</t>
  </si>
  <si>
    <t>T01350</t>
  </si>
  <si>
    <t>T01351</t>
  </si>
  <si>
    <t>T01352</t>
  </si>
  <si>
    <t>T01353</t>
  </si>
  <si>
    <t>T01354</t>
  </si>
  <si>
    <t>T01355</t>
  </si>
  <si>
    <t>T01356</t>
  </si>
  <si>
    <t>T01357</t>
  </si>
  <si>
    <t>T01358</t>
  </si>
  <si>
    <t>T01359</t>
  </si>
  <si>
    <t>T01360</t>
  </si>
  <si>
    <t>T01361</t>
  </si>
  <si>
    <t>T01362</t>
  </si>
  <si>
    <t>T01363</t>
  </si>
  <si>
    <t>T01364</t>
  </si>
  <si>
    <t>T01365</t>
  </si>
  <si>
    <t>T01366</t>
  </si>
  <si>
    <t>T01367</t>
  </si>
  <si>
    <t>T01368</t>
  </si>
  <si>
    <t>T01369</t>
  </si>
  <si>
    <t>T01370</t>
  </si>
  <si>
    <t>T01371</t>
  </si>
  <si>
    <t>T01372</t>
  </si>
  <si>
    <t>T01373</t>
  </si>
  <si>
    <t>T01374</t>
  </si>
  <si>
    <t>T01375</t>
  </si>
  <si>
    <t>T01376</t>
  </si>
  <si>
    <t>T01377</t>
  </si>
  <si>
    <t>T01378</t>
  </si>
  <si>
    <t>T01379</t>
  </si>
  <si>
    <t>T01380</t>
  </si>
  <si>
    <t>T01381</t>
  </si>
  <si>
    <t>T01382</t>
  </si>
  <si>
    <t>T01383</t>
  </si>
  <si>
    <t>T01384</t>
  </si>
  <si>
    <t>T01385</t>
  </si>
  <si>
    <t>T01386</t>
  </si>
  <si>
    <t>T01387</t>
  </si>
  <si>
    <t>2026-06-04</t>
  </si>
  <si>
    <t>T01388</t>
  </si>
  <si>
    <t>T01389</t>
  </si>
  <si>
    <t>T01390</t>
  </si>
  <si>
    <t>T01391</t>
  </si>
  <si>
    <t>T01392</t>
  </si>
  <si>
    <t>T01393</t>
  </si>
  <si>
    <t>T01394</t>
  </si>
  <si>
    <t>2026-07-26</t>
  </si>
  <si>
    <t>T01395</t>
  </si>
  <si>
    <t>T01396</t>
  </si>
  <si>
    <t>T01397</t>
  </si>
  <si>
    <t>T01398</t>
  </si>
  <si>
    <t>T01399</t>
  </si>
  <si>
    <t>T01400</t>
  </si>
  <si>
    <t>T01401</t>
  </si>
  <si>
    <t>T01402</t>
  </si>
  <si>
    <t>T01403</t>
  </si>
  <si>
    <t>T01404</t>
  </si>
  <si>
    <t>T01405</t>
  </si>
  <si>
    <t>T01406</t>
  </si>
  <si>
    <t>T01407</t>
  </si>
  <si>
    <t>T01408</t>
  </si>
  <si>
    <t>T01409</t>
  </si>
  <si>
    <t>T01410</t>
  </si>
  <si>
    <t>T01411</t>
  </si>
  <si>
    <t>T01412</t>
  </si>
  <si>
    <t>T01413</t>
  </si>
  <si>
    <t>T01414</t>
  </si>
  <si>
    <t>T01415</t>
  </si>
  <si>
    <t>T01416</t>
  </si>
  <si>
    <t>T01417</t>
  </si>
  <si>
    <t>T01418</t>
  </si>
  <si>
    <t>T01419</t>
  </si>
  <si>
    <t>T01420</t>
  </si>
  <si>
    <t>T01421</t>
  </si>
  <si>
    <t>T01422</t>
  </si>
  <si>
    <t>T01423</t>
  </si>
  <si>
    <t>T01424</t>
  </si>
  <si>
    <t>T01425</t>
  </si>
  <si>
    <t>T01426</t>
  </si>
  <si>
    <t>T01427</t>
  </si>
  <si>
    <t>T01428</t>
  </si>
  <si>
    <t>T01429</t>
  </si>
  <si>
    <t>T01430</t>
  </si>
  <si>
    <t>2025-10-20</t>
  </si>
  <si>
    <t>T01431</t>
  </si>
  <si>
    <t>T01432</t>
  </si>
  <si>
    <t>T01433</t>
  </si>
  <si>
    <t>T01434</t>
  </si>
  <si>
    <t>T01435</t>
  </si>
  <si>
    <t>T01436</t>
  </si>
  <si>
    <t>T01437</t>
  </si>
  <si>
    <t>T01438</t>
  </si>
  <si>
    <t>T01439</t>
  </si>
  <si>
    <t>T01440</t>
  </si>
  <si>
    <t>T01441</t>
  </si>
  <si>
    <t>T01442</t>
  </si>
  <si>
    <t>T01443</t>
  </si>
  <si>
    <t>T01444</t>
  </si>
  <si>
    <t>T01445</t>
  </si>
  <si>
    <t>T01446</t>
  </si>
  <si>
    <t>T01447</t>
  </si>
  <si>
    <t>T01448</t>
  </si>
  <si>
    <t>T01449</t>
  </si>
  <si>
    <t>T01450</t>
  </si>
  <si>
    <t>T01451</t>
  </si>
  <si>
    <t>T01452</t>
  </si>
  <si>
    <t>T01453</t>
  </si>
  <si>
    <t>T01454</t>
  </si>
  <si>
    <t>T01455</t>
  </si>
  <si>
    <t>T01456</t>
  </si>
  <si>
    <t>T01457</t>
  </si>
  <si>
    <t>T01458</t>
  </si>
  <si>
    <t>T01459</t>
  </si>
  <si>
    <t>T01460</t>
  </si>
  <si>
    <t>T01461</t>
  </si>
  <si>
    <t>T01462</t>
  </si>
  <si>
    <t>T01463</t>
  </si>
  <si>
    <t>T01464</t>
  </si>
  <si>
    <t>T01465</t>
  </si>
  <si>
    <t>T01466</t>
  </si>
  <si>
    <t>T01467</t>
  </si>
  <si>
    <t>T01468</t>
  </si>
  <si>
    <t>T01469</t>
  </si>
  <si>
    <t>T01470</t>
  </si>
  <si>
    <t>T01471</t>
  </si>
  <si>
    <t>T01472</t>
  </si>
  <si>
    <t>T01473</t>
  </si>
  <si>
    <t>T01474</t>
  </si>
  <si>
    <t>T01475</t>
  </si>
  <si>
    <t>T01476</t>
  </si>
  <si>
    <t>T01477</t>
  </si>
  <si>
    <t>T01478</t>
  </si>
  <si>
    <t>T01479</t>
  </si>
  <si>
    <t>2026-07-11</t>
  </si>
  <si>
    <t>T01480</t>
  </si>
  <si>
    <t>T01481</t>
  </si>
  <si>
    <t>T01482</t>
  </si>
  <si>
    <t>T01483</t>
  </si>
  <si>
    <t>T01484</t>
  </si>
  <si>
    <t>T01485</t>
  </si>
  <si>
    <t>T01486</t>
  </si>
  <si>
    <t>T01487</t>
  </si>
  <si>
    <t>T01488</t>
  </si>
  <si>
    <t>T01489</t>
  </si>
  <si>
    <t>T01490</t>
  </si>
  <si>
    <t>T01491</t>
  </si>
  <si>
    <t>T01492</t>
  </si>
  <si>
    <t>T01493</t>
  </si>
  <si>
    <t>T01494</t>
  </si>
  <si>
    <t>T01495</t>
  </si>
  <si>
    <t>T01496</t>
  </si>
  <si>
    <t>T01497</t>
  </si>
  <si>
    <t>T01498</t>
  </si>
  <si>
    <t>T01499</t>
  </si>
  <si>
    <t>T01500</t>
  </si>
  <si>
    <t>T01501</t>
  </si>
  <si>
    <t>T01502</t>
  </si>
  <si>
    <t>T01503</t>
  </si>
  <si>
    <t>T01504</t>
  </si>
  <si>
    <t>T01505</t>
  </si>
  <si>
    <t>T01506</t>
  </si>
  <si>
    <t>T01507</t>
  </si>
  <si>
    <t>T01508</t>
  </si>
  <si>
    <t>T01509</t>
  </si>
  <si>
    <t>T01510</t>
  </si>
  <si>
    <t>T01511</t>
  </si>
  <si>
    <t>T01512</t>
  </si>
  <si>
    <t>T01513</t>
  </si>
  <si>
    <t>T01514</t>
  </si>
  <si>
    <t>T01515</t>
  </si>
  <si>
    <t>T01516</t>
  </si>
  <si>
    <t>T01517</t>
  </si>
  <si>
    <t>T01518</t>
  </si>
  <si>
    <t>T01519</t>
  </si>
  <si>
    <t>T01520</t>
  </si>
  <si>
    <t>T01521</t>
  </si>
  <si>
    <t>T01522</t>
  </si>
  <si>
    <t>T01523</t>
  </si>
  <si>
    <t>T01524</t>
  </si>
  <si>
    <t>T01525</t>
  </si>
  <si>
    <t>T01526</t>
  </si>
  <si>
    <t>T01527</t>
  </si>
  <si>
    <t>T01528</t>
  </si>
  <si>
    <t>T01529</t>
  </si>
  <si>
    <t>T01530</t>
  </si>
  <si>
    <t>T01531</t>
  </si>
  <si>
    <t>T01532</t>
  </si>
  <si>
    <t>T01533</t>
  </si>
  <si>
    <t>T01534</t>
  </si>
  <si>
    <t>T01535</t>
  </si>
  <si>
    <t>T01536</t>
  </si>
  <si>
    <t>T01537</t>
  </si>
  <si>
    <t>T01538</t>
  </si>
  <si>
    <t>T01539</t>
  </si>
  <si>
    <t>T01540</t>
  </si>
  <si>
    <t>T01541</t>
  </si>
  <si>
    <t>T01542</t>
  </si>
  <si>
    <t>T01543</t>
  </si>
  <si>
    <t>T01544</t>
  </si>
  <si>
    <t>T01545</t>
  </si>
  <si>
    <t>T01546</t>
  </si>
  <si>
    <t>T01547</t>
  </si>
  <si>
    <t>T01548</t>
  </si>
  <si>
    <t>T01549</t>
  </si>
  <si>
    <t>T01550</t>
  </si>
  <si>
    <t>T01551</t>
  </si>
  <si>
    <t>T01552</t>
  </si>
  <si>
    <t>T01553</t>
  </si>
  <si>
    <t>2026-05-06</t>
  </si>
  <si>
    <t>T01554</t>
  </si>
  <si>
    <t>T01555</t>
  </si>
  <si>
    <t>T01556</t>
  </si>
  <si>
    <t>T01557</t>
  </si>
  <si>
    <t>T01558</t>
  </si>
  <si>
    <t>T01559</t>
  </si>
  <si>
    <t>T01560</t>
  </si>
  <si>
    <t>T01561</t>
  </si>
  <si>
    <t>T01562</t>
  </si>
  <si>
    <t>T01563</t>
  </si>
  <si>
    <t>T01564</t>
  </si>
  <si>
    <t>T01565</t>
  </si>
  <si>
    <t>T01566</t>
  </si>
  <si>
    <t>T01567</t>
  </si>
  <si>
    <t>T01568</t>
  </si>
  <si>
    <t>T01569</t>
  </si>
  <si>
    <t>T01570</t>
  </si>
  <si>
    <t>T01571</t>
  </si>
  <si>
    <t>T01572</t>
  </si>
  <si>
    <t>T01573</t>
  </si>
  <si>
    <t>T01574</t>
  </si>
  <si>
    <t>T01575</t>
  </si>
  <si>
    <t>T01576</t>
  </si>
  <si>
    <t>T01577</t>
  </si>
  <si>
    <t>T01578</t>
  </si>
  <si>
    <t>T01579</t>
  </si>
  <si>
    <t>T01580</t>
  </si>
  <si>
    <t>T01581</t>
  </si>
  <si>
    <t>T01582</t>
  </si>
  <si>
    <t>T01583</t>
  </si>
  <si>
    <t>T01584</t>
  </si>
  <si>
    <t>T01585</t>
  </si>
  <si>
    <t>T01586</t>
  </si>
  <si>
    <t>T01587</t>
  </si>
  <si>
    <t>T01588</t>
  </si>
  <si>
    <t>T01589</t>
  </si>
  <si>
    <t>T01590</t>
  </si>
  <si>
    <t>T01591</t>
  </si>
  <si>
    <t>T01592</t>
  </si>
  <si>
    <t>T01593</t>
  </si>
  <si>
    <t>T01594</t>
  </si>
  <si>
    <t>T01595</t>
  </si>
  <si>
    <t>T01596</t>
  </si>
  <si>
    <t>T01597</t>
  </si>
  <si>
    <t>T01598</t>
  </si>
  <si>
    <t>T01599</t>
  </si>
  <si>
    <t>T01600</t>
  </si>
  <si>
    <t>T01601</t>
  </si>
  <si>
    <t>T01602</t>
  </si>
  <si>
    <t>T01603</t>
  </si>
  <si>
    <t>T01604</t>
  </si>
  <si>
    <t>T01605</t>
  </si>
  <si>
    <t>T01606</t>
  </si>
  <si>
    <t>T01607</t>
  </si>
  <si>
    <t>T01608</t>
  </si>
  <si>
    <t>T01609</t>
  </si>
  <si>
    <t>T01610</t>
  </si>
  <si>
    <t>T01611</t>
  </si>
  <si>
    <t>T01612</t>
  </si>
  <si>
    <t>T01613</t>
  </si>
  <si>
    <t>T01614</t>
  </si>
  <si>
    <t>T01615</t>
  </si>
  <si>
    <t>T01616</t>
  </si>
  <si>
    <t>T01617</t>
  </si>
  <si>
    <t>T01618</t>
  </si>
  <si>
    <t>T01619</t>
  </si>
  <si>
    <t>T01620</t>
  </si>
  <si>
    <t>T01621</t>
  </si>
  <si>
    <t>T01622</t>
  </si>
  <si>
    <t>T01623</t>
  </si>
  <si>
    <t>T01624</t>
  </si>
  <si>
    <t>T01625</t>
  </si>
  <si>
    <t>T01626</t>
  </si>
  <si>
    <t>T01627</t>
  </si>
  <si>
    <t>2025-11-14</t>
  </si>
  <si>
    <t>T01628</t>
  </si>
  <si>
    <t>T01629</t>
  </si>
  <si>
    <t>T01630</t>
  </si>
  <si>
    <t>T01631</t>
  </si>
  <si>
    <t>T01632</t>
  </si>
  <si>
    <t>T01633</t>
  </si>
  <si>
    <t>T01634</t>
  </si>
  <si>
    <t>T01635</t>
  </si>
  <si>
    <t>T01636</t>
  </si>
  <si>
    <t>T01637</t>
  </si>
  <si>
    <t>T01638</t>
  </si>
  <si>
    <t>T01639</t>
  </si>
  <si>
    <t>T01640</t>
  </si>
  <si>
    <t>T01641</t>
  </si>
  <si>
    <t>T01642</t>
  </si>
  <si>
    <t>T01643</t>
  </si>
  <si>
    <t>T01644</t>
  </si>
  <si>
    <t>T01645</t>
  </si>
  <si>
    <t>T01646</t>
  </si>
  <si>
    <t>T01647</t>
  </si>
  <si>
    <t>T01648</t>
  </si>
  <si>
    <t>T01649</t>
  </si>
  <si>
    <t>T01650</t>
  </si>
  <si>
    <t>T01651</t>
  </si>
  <si>
    <t>T01652</t>
  </si>
  <si>
    <t>T01653</t>
  </si>
  <si>
    <t>T01654</t>
  </si>
  <si>
    <t>T01655</t>
  </si>
  <si>
    <t>T01656</t>
  </si>
  <si>
    <t>T01657</t>
  </si>
  <si>
    <t>T01658</t>
  </si>
  <si>
    <t>T01659</t>
  </si>
  <si>
    <t>T01660</t>
  </si>
  <si>
    <t>T01661</t>
  </si>
  <si>
    <t>T01662</t>
  </si>
  <si>
    <t>T01663</t>
  </si>
  <si>
    <t>T01664</t>
  </si>
  <si>
    <t>T01665</t>
  </si>
  <si>
    <t>T01666</t>
  </si>
  <si>
    <t>T01667</t>
  </si>
  <si>
    <t>T01668</t>
  </si>
  <si>
    <t>T01669</t>
  </si>
  <si>
    <t>T01670</t>
  </si>
  <si>
    <t>T01671</t>
  </si>
  <si>
    <t>T01672</t>
  </si>
  <si>
    <t>T01673</t>
  </si>
  <si>
    <t>T01674</t>
  </si>
  <si>
    <t>T01675</t>
  </si>
  <si>
    <t>T01676</t>
  </si>
  <si>
    <t>T01677</t>
  </si>
  <si>
    <t>T01678</t>
  </si>
  <si>
    <t>T01679</t>
  </si>
  <si>
    <t>T01680</t>
  </si>
  <si>
    <t>T01681</t>
  </si>
  <si>
    <t>T01682</t>
  </si>
  <si>
    <t>T01683</t>
  </si>
  <si>
    <t>T01684</t>
  </si>
  <si>
    <t>T01685</t>
  </si>
  <si>
    <t>T01686</t>
  </si>
  <si>
    <t>T01687</t>
  </si>
  <si>
    <t>T01688</t>
  </si>
  <si>
    <t>T01689</t>
  </si>
  <si>
    <t>T01690</t>
  </si>
  <si>
    <t>T01691</t>
  </si>
  <si>
    <t>T01692</t>
  </si>
  <si>
    <t>T01693</t>
  </si>
  <si>
    <t>T01694</t>
  </si>
  <si>
    <t>T01695</t>
  </si>
  <si>
    <t>T01696</t>
  </si>
  <si>
    <t>T01697</t>
  </si>
  <si>
    <t>T01698</t>
  </si>
  <si>
    <t>T01699</t>
  </si>
  <si>
    <t>T01700</t>
  </si>
  <si>
    <t>T01701</t>
  </si>
  <si>
    <t>T01702</t>
  </si>
  <si>
    <t>T01703</t>
  </si>
  <si>
    <t>T01704</t>
  </si>
  <si>
    <t>T01705</t>
  </si>
  <si>
    <t>T01706</t>
  </si>
  <si>
    <t>T01707</t>
  </si>
  <si>
    <t>T01708</t>
  </si>
  <si>
    <t>T01709</t>
  </si>
  <si>
    <t>T01710</t>
  </si>
  <si>
    <t>T01711</t>
  </si>
  <si>
    <t>T01712</t>
  </si>
  <si>
    <t>T01713</t>
  </si>
  <si>
    <t>T01714</t>
  </si>
  <si>
    <t>T01715</t>
  </si>
  <si>
    <t>T01716</t>
  </si>
  <si>
    <t>T01717</t>
  </si>
  <si>
    <t>T01718</t>
  </si>
  <si>
    <t>T01719</t>
  </si>
  <si>
    <t>T01720</t>
  </si>
  <si>
    <t>T01721</t>
  </si>
  <si>
    <t>T01722</t>
  </si>
  <si>
    <t>2025-10-11</t>
  </si>
  <si>
    <t>T01723</t>
  </si>
  <si>
    <t>T01724</t>
  </si>
  <si>
    <t>T01725</t>
  </si>
  <si>
    <t>T01726</t>
  </si>
  <si>
    <t>T01727</t>
  </si>
  <si>
    <t>T01728</t>
  </si>
  <si>
    <t>T01729</t>
  </si>
  <si>
    <t>T01730</t>
  </si>
  <si>
    <t>T01731</t>
  </si>
  <si>
    <t>T01732</t>
  </si>
  <si>
    <t>T01733</t>
  </si>
  <si>
    <t>T01734</t>
  </si>
  <si>
    <t>2026-06-18</t>
  </si>
  <si>
    <t>T01735</t>
  </si>
  <si>
    <t>T01736</t>
  </si>
  <si>
    <t>T01737</t>
  </si>
  <si>
    <t>T01738</t>
  </si>
  <si>
    <t>T01739</t>
  </si>
  <si>
    <t>T01740</t>
  </si>
  <si>
    <t>T01741</t>
  </si>
  <si>
    <t>T01742</t>
  </si>
  <si>
    <t>T01743</t>
  </si>
  <si>
    <t>T01744</t>
  </si>
  <si>
    <t>T01745</t>
  </si>
  <si>
    <t>T01746</t>
  </si>
  <si>
    <t>T01747</t>
  </si>
  <si>
    <t>T01748</t>
  </si>
  <si>
    <t>T01749</t>
  </si>
  <si>
    <t>T01750</t>
  </si>
  <si>
    <t>T01751</t>
  </si>
  <si>
    <t>T01752</t>
  </si>
  <si>
    <t>T01753</t>
  </si>
  <si>
    <t>T01754</t>
  </si>
  <si>
    <t>T01755</t>
  </si>
  <si>
    <t>T01756</t>
  </si>
  <si>
    <t>T01757</t>
  </si>
  <si>
    <t>T01758</t>
  </si>
  <si>
    <t>T01759</t>
  </si>
  <si>
    <t>T01760</t>
  </si>
  <si>
    <t>T01761</t>
  </si>
  <si>
    <t>T01762</t>
  </si>
  <si>
    <t>T01763</t>
  </si>
  <si>
    <t>T01764</t>
  </si>
  <si>
    <t>T01765</t>
  </si>
  <si>
    <t>T01766</t>
  </si>
  <si>
    <t>T01767</t>
  </si>
  <si>
    <t>T01768</t>
  </si>
  <si>
    <t>T01769</t>
  </si>
  <si>
    <t>T01770</t>
  </si>
  <si>
    <t>T01771</t>
  </si>
  <si>
    <t>T01772</t>
  </si>
  <si>
    <t>T01773</t>
  </si>
  <si>
    <t>T01774</t>
  </si>
  <si>
    <t>T01775</t>
  </si>
  <si>
    <t>T01776</t>
  </si>
  <si>
    <t>T01777</t>
  </si>
  <si>
    <t>T01778</t>
  </si>
  <si>
    <t>T01779</t>
  </si>
  <si>
    <t>T01780</t>
  </si>
  <si>
    <t>T01781</t>
  </si>
  <si>
    <t>T01782</t>
  </si>
  <si>
    <t>T01783</t>
  </si>
  <si>
    <t>T01784</t>
  </si>
  <si>
    <t>T01785</t>
  </si>
  <si>
    <t>T01786</t>
  </si>
  <si>
    <t>T01787</t>
  </si>
  <si>
    <t>T01788</t>
  </si>
  <si>
    <t>T01789</t>
  </si>
  <si>
    <t>T01790</t>
  </si>
  <si>
    <t>T01791</t>
  </si>
  <si>
    <t>T01792</t>
  </si>
  <si>
    <t>T01793</t>
  </si>
  <si>
    <t>T01794</t>
  </si>
  <si>
    <t>T01795</t>
  </si>
  <si>
    <t>T01796</t>
  </si>
  <si>
    <t>T01797</t>
  </si>
  <si>
    <t>T01798</t>
  </si>
  <si>
    <t>T01799</t>
  </si>
  <si>
    <t>T01800</t>
  </si>
  <si>
    <t>T01801</t>
  </si>
  <si>
    <t>T01802</t>
  </si>
  <si>
    <t>T01803</t>
  </si>
  <si>
    <t>T01804</t>
  </si>
  <si>
    <t>T01805</t>
  </si>
  <si>
    <t>T01806</t>
  </si>
  <si>
    <t>T01807</t>
  </si>
  <si>
    <t>T01808</t>
  </si>
  <si>
    <t>T01809</t>
  </si>
  <si>
    <t>T01810</t>
  </si>
  <si>
    <t>T01811</t>
  </si>
  <si>
    <t>T01812</t>
  </si>
  <si>
    <t>T01813</t>
  </si>
  <si>
    <t>T01814</t>
  </si>
  <si>
    <t>T01815</t>
  </si>
  <si>
    <t>T01816</t>
  </si>
  <si>
    <t>T01817</t>
  </si>
  <si>
    <t>T01818</t>
  </si>
  <si>
    <t>T01819</t>
  </si>
  <si>
    <t>T01820</t>
  </si>
  <si>
    <t>T01821</t>
  </si>
  <si>
    <t>T01822</t>
  </si>
  <si>
    <t>T01823</t>
  </si>
  <si>
    <t>T01824</t>
  </si>
  <si>
    <t>T01825</t>
  </si>
  <si>
    <t>T01826</t>
  </si>
  <si>
    <t>T01827</t>
  </si>
  <si>
    <t>T01828</t>
  </si>
  <si>
    <t>T01829</t>
  </si>
  <si>
    <t>T01830</t>
  </si>
  <si>
    <t>T01831</t>
  </si>
  <si>
    <t>T01832</t>
  </si>
  <si>
    <t>T01833</t>
  </si>
  <si>
    <t>T01834</t>
  </si>
  <si>
    <t>T01835</t>
  </si>
  <si>
    <t>T01836</t>
  </si>
  <si>
    <t>T01837</t>
  </si>
  <si>
    <t>T01838</t>
  </si>
  <si>
    <t>T01839</t>
  </si>
  <si>
    <t>T01840</t>
  </si>
  <si>
    <t>T01841</t>
  </si>
  <si>
    <t>T01842</t>
  </si>
  <si>
    <t>T01843</t>
  </si>
  <si>
    <t>T01844</t>
  </si>
  <si>
    <t>T01845</t>
  </si>
  <si>
    <t>T01846</t>
  </si>
  <si>
    <t>T01847</t>
  </si>
  <si>
    <t>T01848</t>
  </si>
  <si>
    <t>T01849</t>
  </si>
  <si>
    <t>T01850</t>
  </si>
  <si>
    <t>T01851</t>
  </si>
  <si>
    <t>T01852</t>
  </si>
  <si>
    <t>T01853</t>
  </si>
  <si>
    <t>T01854</t>
  </si>
  <si>
    <t>T01855</t>
  </si>
  <si>
    <t>T01856</t>
  </si>
  <si>
    <t>T01857</t>
  </si>
  <si>
    <t>T01858</t>
  </si>
  <si>
    <t>T01859</t>
  </si>
  <si>
    <t>T01860</t>
  </si>
  <si>
    <t>T01861</t>
  </si>
  <si>
    <t>T01862</t>
  </si>
  <si>
    <t>T01863</t>
  </si>
  <si>
    <t>T01864</t>
  </si>
  <si>
    <t>T01865</t>
  </si>
  <si>
    <t>T01866</t>
  </si>
  <si>
    <t>T01867</t>
  </si>
  <si>
    <t>T01868</t>
  </si>
  <si>
    <t>T01869</t>
  </si>
  <si>
    <t>T01870</t>
  </si>
  <si>
    <t>T01871</t>
  </si>
  <si>
    <t>T01872</t>
  </si>
  <si>
    <t>T01873</t>
  </si>
  <si>
    <t>T01874</t>
  </si>
  <si>
    <t>T01875</t>
  </si>
  <si>
    <t>T01876</t>
  </si>
  <si>
    <t>T01877</t>
  </si>
  <si>
    <t>T01878</t>
  </si>
  <si>
    <t>T01879</t>
  </si>
  <si>
    <t>T01880</t>
  </si>
  <si>
    <t>T01881</t>
  </si>
  <si>
    <t>T01882</t>
  </si>
  <si>
    <t>T01883</t>
  </si>
  <si>
    <t>T01884</t>
  </si>
  <si>
    <t>T01885</t>
  </si>
  <si>
    <t>T01886</t>
  </si>
  <si>
    <t>T01887</t>
  </si>
  <si>
    <t>T01888</t>
  </si>
  <si>
    <t>T01889</t>
  </si>
  <si>
    <t>T01890</t>
  </si>
  <si>
    <t>T01891</t>
  </si>
  <si>
    <t>T01892</t>
  </si>
  <si>
    <t>T01893</t>
  </si>
  <si>
    <t>T01894</t>
  </si>
  <si>
    <t>T01895</t>
  </si>
  <si>
    <t>T01896</t>
  </si>
  <si>
    <t>T01897</t>
  </si>
  <si>
    <t>T01898</t>
  </si>
  <si>
    <t>T01899</t>
  </si>
  <si>
    <t>T01900</t>
  </si>
  <si>
    <t>T01901</t>
  </si>
  <si>
    <t>T01902</t>
  </si>
  <si>
    <t>T01903</t>
  </si>
  <si>
    <t>T01904</t>
  </si>
  <si>
    <t>T01905</t>
  </si>
  <si>
    <t>T01906</t>
  </si>
  <si>
    <t>T01907</t>
  </si>
  <si>
    <t>T01908</t>
  </si>
  <si>
    <t>T01909</t>
  </si>
  <si>
    <t>T01910</t>
  </si>
  <si>
    <t>T01911</t>
  </si>
  <si>
    <t>T01912</t>
  </si>
  <si>
    <t>T01913</t>
  </si>
  <si>
    <t>T01914</t>
  </si>
  <si>
    <t>T01915</t>
  </si>
  <si>
    <t>T01916</t>
  </si>
  <si>
    <t>T01917</t>
  </si>
  <si>
    <t>T01918</t>
  </si>
  <si>
    <t>T01919</t>
  </si>
  <si>
    <t>T01920</t>
  </si>
  <si>
    <t>T01921</t>
  </si>
  <si>
    <t>T01922</t>
  </si>
  <si>
    <t>T01923</t>
  </si>
  <si>
    <t>T01924</t>
  </si>
  <si>
    <t>T01925</t>
  </si>
  <si>
    <t>T01926</t>
  </si>
  <si>
    <t>T01927</t>
  </si>
  <si>
    <t>T01928</t>
  </si>
  <si>
    <t>T01929</t>
  </si>
  <si>
    <t>T01930</t>
  </si>
  <si>
    <t>T01931</t>
  </si>
  <si>
    <t>T01932</t>
  </si>
  <si>
    <t>T01933</t>
  </si>
  <si>
    <t>T01934</t>
  </si>
  <si>
    <t>T01935</t>
  </si>
  <si>
    <t>T01936</t>
  </si>
  <si>
    <t>T01937</t>
  </si>
  <si>
    <t>T01938</t>
  </si>
  <si>
    <t>T01939</t>
  </si>
  <si>
    <t>T01940</t>
  </si>
  <si>
    <t>T01941</t>
  </si>
  <si>
    <t>T01942</t>
  </si>
  <si>
    <t>T01943</t>
  </si>
  <si>
    <t>T01944</t>
  </si>
  <si>
    <t>T01945</t>
  </si>
  <si>
    <t>T01946</t>
  </si>
  <si>
    <t>T01947</t>
  </si>
  <si>
    <t>T01948</t>
  </si>
  <si>
    <t>T01949</t>
  </si>
  <si>
    <t>T01950</t>
  </si>
  <si>
    <t>T01951</t>
  </si>
  <si>
    <t>T01952</t>
  </si>
  <si>
    <t>T01953</t>
  </si>
  <si>
    <t>T01954</t>
  </si>
  <si>
    <t>T01955</t>
  </si>
  <si>
    <t>T01956</t>
  </si>
  <si>
    <t>T01957</t>
  </si>
  <si>
    <t>T01958</t>
  </si>
  <si>
    <t>T01959</t>
  </si>
  <si>
    <t>T01960</t>
  </si>
  <si>
    <t>T01961</t>
  </si>
  <si>
    <t>T01962</t>
  </si>
  <si>
    <t>T01963</t>
  </si>
  <si>
    <t>T01964</t>
  </si>
  <si>
    <t>T01965</t>
  </si>
  <si>
    <t>T01966</t>
  </si>
  <si>
    <t>T01967</t>
  </si>
  <si>
    <t>T01968</t>
  </si>
  <si>
    <t>T01969</t>
  </si>
  <si>
    <t>T01970</t>
  </si>
  <si>
    <t>T01971</t>
  </si>
  <si>
    <t>T01972</t>
  </si>
  <si>
    <t>T01973</t>
  </si>
  <si>
    <t>T01974</t>
  </si>
  <si>
    <t>T01975</t>
  </si>
  <si>
    <t>T01976</t>
  </si>
  <si>
    <t>T01977</t>
  </si>
  <si>
    <t>T01978</t>
  </si>
  <si>
    <t>T01979</t>
  </si>
  <si>
    <t>T01980</t>
  </si>
  <si>
    <t>T01981</t>
  </si>
  <si>
    <t>T01982</t>
  </si>
  <si>
    <t>T01983</t>
  </si>
  <si>
    <t>T01984</t>
  </si>
  <si>
    <t>T01985</t>
  </si>
  <si>
    <t>T01986</t>
  </si>
  <si>
    <t>T01987</t>
  </si>
  <si>
    <t>T01988</t>
  </si>
  <si>
    <t>T01989</t>
  </si>
  <si>
    <t>T01990</t>
  </si>
  <si>
    <t>T01991</t>
  </si>
  <si>
    <t>T01992</t>
  </si>
  <si>
    <t>T01993</t>
  </si>
  <si>
    <t>T01994</t>
  </si>
  <si>
    <t>T01995</t>
  </si>
  <si>
    <t>T01996</t>
  </si>
  <si>
    <t>T01997</t>
  </si>
  <si>
    <t>T01998</t>
  </si>
  <si>
    <t>T01999</t>
  </si>
  <si>
    <t>T02000</t>
  </si>
  <si>
    <t>T02001</t>
  </si>
  <si>
    <t>T02002</t>
  </si>
  <si>
    <t>T02003</t>
  </si>
  <si>
    <t>T02004</t>
  </si>
  <si>
    <t>T02005</t>
  </si>
  <si>
    <t>T02006</t>
  </si>
  <si>
    <t>T02007</t>
  </si>
  <si>
    <t>T02008</t>
  </si>
  <si>
    <t>T02009</t>
  </si>
  <si>
    <t>T02010</t>
  </si>
  <si>
    <t>T02011</t>
  </si>
  <si>
    <t>T02012</t>
  </si>
  <si>
    <t>T02013</t>
  </si>
  <si>
    <t>T02014</t>
  </si>
  <si>
    <t>T02015</t>
  </si>
  <si>
    <t>T02016</t>
  </si>
  <si>
    <t>T02017</t>
  </si>
  <si>
    <t>T02018</t>
  </si>
  <si>
    <t>T02019</t>
  </si>
  <si>
    <t>T02020</t>
  </si>
  <si>
    <t>T02021</t>
  </si>
  <si>
    <t>T02022</t>
  </si>
  <si>
    <t>T02023</t>
  </si>
  <si>
    <t>T02024</t>
  </si>
  <si>
    <t>T02025</t>
  </si>
  <si>
    <t>T02026</t>
  </si>
  <si>
    <t>T02027</t>
  </si>
  <si>
    <t>T02028</t>
  </si>
  <si>
    <t>T02029</t>
  </si>
  <si>
    <t>T02030</t>
  </si>
  <si>
    <t>T02031</t>
  </si>
  <si>
    <t>T02032</t>
  </si>
  <si>
    <t>T02033</t>
  </si>
  <si>
    <t>T02034</t>
  </si>
  <si>
    <t>T02035</t>
  </si>
  <si>
    <t>T02036</t>
  </si>
  <si>
    <t>T02037</t>
  </si>
  <si>
    <t>T02038</t>
  </si>
  <si>
    <t>T02039</t>
  </si>
  <si>
    <t>T02040</t>
  </si>
  <si>
    <t>T02041</t>
  </si>
  <si>
    <t>T02042</t>
  </si>
  <si>
    <t>T02043</t>
  </si>
  <si>
    <t>T02044</t>
  </si>
  <si>
    <t>T02045</t>
  </si>
  <si>
    <t>T02046</t>
  </si>
  <si>
    <t>T02047</t>
  </si>
  <si>
    <t>T02048</t>
  </si>
  <si>
    <t>T02049</t>
  </si>
  <si>
    <t>T02050</t>
  </si>
  <si>
    <t>T02051</t>
  </si>
  <si>
    <t>T02052</t>
  </si>
  <si>
    <t>T02053</t>
  </si>
  <si>
    <t>T02054</t>
  </si>
  <si>
    <t>T02055</t>
  </si>
  <si>
    <t>T02056</t>
  </si>
  <si>
    <t>T02057</t>
  </si>
  <si>
    <t>T02058</t>
  </si>
  <si>
    <t>T02059</t>
  </si>
  <si>
    <t>T02060</t>
  </si>
  <si>
    <t>T02061</t>
  </si>
  <si>
    <t>T02062</t>
  </si>
  <si>
    <t>T02063</t>
  </si>
  <si>
    <t>T02064</t>
  </si>
  <si>
    <t>T02065</t>
  </si>
  <si>
    <t>T02066</t>
  </si>
  <si>
    <t>T02067</t>
  </si>
  <si>
    <t>T02068</t>
  </si>
  <si>
    <t>T02069</t>
  </si>
  <si>
    <t>T02070</t>
  </si>
  <si>
    <t>T02071</t>
  </si>
  <si>
    <t>T02072</t>
  </si>
  <si>
    <t>T02073</t>
  </si>
  <si>
    <t>T02074</t>
  </si>
  <si>
    <t>T02075</t>
  </si>
  <si>
    <t>T02076</t>
  </si>
  <si>
    <t>T02077</t>
  </si>
  <si>
    <t>T02078</t>
  </si>
  <si>
    <t>T02079</t>
  </si>
  <si>
    <t>T02080</t>
  </si>
  <si>
    <t>T02081</t>
  </si>
  <si>
    <t>2026-02-24</t>
  </si>
  <si>
    <t>T02082</t>
  </si>
  <si>
    <t>T02083</t>
  </si>
  <si>
    <t>T02084</t>
  </si>
  <si>
    <t>T02085</t>
  </si>
  <si>
    <t>T02086</t>
  </si>
  <si>
    <t>T02087</t>
  </si>
  <si>
    <t>T02088</t>
  </si>
  <si>
    <t>T02089</t>
  </si>
  <si>
    <t>T02090</t>
  </si>
  <si>
    <t>T02091</t>
  </si>
  <si>
    <t>T02092</t>
  </si>
  <si>
    <t>T02093</t>
  </si>
  <si>
    <t>T02094</t>
  </si>
  <si>
    <t>T02095</t>
  </si>
  <si>
    <t>T02096</t>
  </si>
  <si>
    <t>T02097</t>
  </si>
  <si>
    <t>T02098</t>
  </si>
  <si>
    <t>T02099</t>
  </si>
  <si>
    <t>T02100</t>
  </si>
  <si>
    <t>T02101</t>
  </si>
  <si>
    <t>T02102</t>
  </si>
  <si>
    <t>T02103</t>
  </si>
  <si>
    <t>T02104</t>
  </si>
  <si>
    <t>T02105</t>
  </si>
  <si>
    <t>T02106</t>
  </si>
  <si>
    <t>T02107</t>
  </si>
  <si>
    <t>T02108</t>
  </si>
  <si>
    <t>T02109</t>
  </si>
  <si>
    <t>T02110</t>
  </si>
  <si>
    <t>T02111</t>
  </si>
  <si>
    <t>T02112</t>
  </si>
  <si>
    <t>T02113</t>
  </si>
  <si>
    <t>T02114</t>
  </si>
  <si>
    <t>T02115</t>
  </si>
  <si>
    <t>T02116</t>
  </si>
  <si>
    <t>T02117</t>
  </si>
  <si>
    <t>T02118</t>
  </si>
  <si>
    <t>T02119</t>
  </si>
  <si>
    <t>T02120</t>
  </si>
  <si>
    <t>T02121</t>
  </si>
  <si>
    <t>T02122</t>
  </si>
  <si>
    <t>T02123</t>
  </si>
  <si>
    <t>T02124</t>
  </si>
  <si>
    <t>T02125</t>
  </si>
  <si>
    <t>T02126</t>
  </si>
  <si>
    <t>T02127</t>
  </si>
  <si>
    <t>T02128</t>
  </si>
  <si>
    <t>T02129</t>
  </si>
  <si>
    <t>T02130</t>
  </si>
  <si>
    <t>T02131</t>
  </si>
  <si>
    <t>T02132</t>
  </si>
  <si>
    <t>T02133</t>
  </si>
  <si>
    <t>T02134</t>
  </si>
  <si>
    <t>T02135</t>
  </si>
  <si>
    <t>T02136</t>
  </si>
  <si>
    <t>T02137</t>
  </si>
  <si>
    <t>T02138</t>
  </si>
  <si>
    <t>T02139</t>
  </si>
  <si>
    <t>T02140</t>
  </si>
  <si>
    <t>T02141</t>
  </si>
  <si>
    <t>T02142</t>
  </si>
  <si>
    <t>T02143</t>
  </si>
  <si>
    <t>T02144</t>
  </si>
  <si>
    <t>T02145</t>
  </si>
  <si>
    <t>T02146</t>
  </si>
  <si>
    <t>T02147</t>
  </si>
  <si>
    <t>T02148</t>
  </si>
  <si>
    <t>T02149</t>
  </si>
  <si>
    <t>T02150</t>
  </si>
  <si>
    <t>T02151</t>
  </si>
  <si>
    <t>T02152</t>
  </si>
  <si>
    <t>T02153</t>
  </si>
  <si>
    <t>T02154</t>
  </si>
  <si>
    <t>T02155</t>
  </si>
  <si>
    <t>T02156</t>
  </si>
  <si>
    <t>T02157</t>
  </si>
  <si>
    <t>T02158</t>
  </si>
  <si>
    <t>T02159</t>
  </si>
  <si>
    <t>T02160</t>
  </si>
  <si>
    <t>T02161</t>
  </si>
  <si>
    <t>T02162</t>
  </si>
  <si>
    <t>T02163</t>
  </si>
  <si>
    <t>T02164</t>
  </si>
  <si>
    <t>T02165</t>
  </si>
  <si>
    <t>T02166</t>
  </si>
  <si>
    <t>T02167</t>
  </si>
  <si>
    <t>T02168</t>
  </si>
  <si>
    <t>T02169</t>
  </si>
  <si>
    <t>T02170</t>
  </si>
  <si>
    <t>T02171</t>
  </si>
  <si>
    <t>T02172</t>
  </si>
  <si>
    <t>T02173</t>
  </si>
  <si>
    <t>T02174</t>
  </si>
  <si>
    <t>T02175</t>
  </si>
  <si>
    <t>T02176</t>
  </si>
  <si>
    <t>T02177</t>
  </si>
  <si>
    <t>T02178</t>
  </si>
  <si>
    <t>T02179</t>
  </si>
  <si>
    <t>T02180</t>
  </si>
  <si>
    <t>T02181</t>
  </si>
  <si>
    <t>T02182</t>
  </si>
  <si>
    <t>T02183</t>
  </si>
  <si>
    <t>T02184</t>
  </si>
  <si>
    <t>T02185</t>
  </si>
  <si>
    <t>T02186</t>
  </si>
  <si>
    <t>T02187</t>
  </si>
  <si>
    <t>T02188</t>
  </si>
  <si>
    <t>T02189</t>
  </si>
  <si>
    <t>T02190</t>
  </si>
  <si>
    <t>T02191</t>
  </si>
  <si>
    <t>T02192</t>
  </si>
  <si>
    <t>T02193</t>
  </si>
  <si>
    <t>T02194</t>
  </si>
  <si>
    <t>T02195</t>
  </si>
  <si>
    <t>T02196</t>
  </si>
  <si>
    <t>T02197</t>
  </si>
  <si>
    <t>T02198</t>
  </si>
  <si>
    <t>T02199</t>
  </si>
  <si>
    <t>T02200</t>
  </si>
  <si>
    <t>T02201</t>
  </si>
  <si>
    <t>T02202</t>
  </si>
  <si>
    <t>T02203</t>
  </si>
  <si>
    <t>T02204</t>
  </si>
  <si>
    <t>T02205</t>
  </si>
  <si>
    <t>T02206</t>
  </si>
  <si>
    <t>T02207</t>
  </si>
  <si>
    <t>T02208</t>
  </si>
  <si>
    <t>T02209</t>
  </si>
  <si>
    <t>T02210</t>
  </si>
  <si>
    <t>T02211</t>
  </si>
  <si>
    <t>T02212</t>
  </si>
  <si>
    <t>T02213</t>
  </si>
  <si>
    <t>T02214</t>
  </si>
  <si>
    <t>T02215</t>
  </si>
  <si>
    <t>T02216</t>
  </si>
  <si>
    <t>T02217</t>
  </si>
  <si>
    <t>T02218</t>
  </si>
  <si>
    <t>T02219</t>
  </si>
  <si>
    <t>T02220</t>
  </si>
  <si>
    <t>T02221</t>
  </si>
  <si>
    <t>T02222</t>
  </si>
  <si>
    <t>T02223</t>
  </si>
  <si>
    <t>T02224</t>
  </si>
  <si>
    <t>T02225</t>
  </si>
  <si>
    <t>T02226</t>
  </si>
  <si>
    <t>T02227</t>
  </si>
  <si>
    <t>T02228</t>
  </si>
  <si>
    <t>T02229</t>
  </si>
  <si>
    <t>T02230</t>
  </si>
  <si>
    <t>T02231</t>
  </si>
  <si>
    <t>T02232</t>
  </si>
  <si>
    <t>T02233</t>
  </si>
  <si>
    <t>T02234</t>
  </si>
  <si>
    <t>T02235</t>
  </si>
  <si>
    <t>T02236</t>
  </si>
  <si>
    <t>T02237</t>
  </si>
  <si>
    <t>T02238</t>
  </si>
  <si>
    <t>T02239</t>
  </si>
  <si>
    <t>T02240</t>
  </si>
  <si>
    <t>T02241</t>
  </si>
  <si>
    <t>T02242</t>
  </si>
  <si>
    <t>T02243</t>
  </si>
  <si>
    <t>T02244</t>
  </si>
  <si>
    <t>T02245</t>
  </si>
  <si>
    <t>T02246</t>
  </si>
  <si>
    <t>T02247</t>
  </si>
  <si>
    <t>T02248</t>
  </si>
  <si>
    <t>T02249</t>
  </si>
  <si>
    <t>T02250</t>
  </si>
  <si>
    <t>T02251</t>
  </si>
  <si>
    <t>T02252</t>
  </si>
  <si>
    <t>T02253</t>
  </si>
  <si>
    <t>T02254</t>
  </si>
  <si>
    <t>T02255</t>
  </si>
  <si>
    <t>T02256</t>
  </si>
  <si>
    <t>T02257</t>
  </si>
  <si>
    <t>T02258</t>
  </si>
  <si>
    <t>T02259</t>
  </si>
  <si>
    <t>T02260</t>
  </si>
  <si>
    <t>T02261</t>
  </si>
  <si>
    <t>T02262</t>
  </si>
  <si>
    <t>T02263</t>
  </si>
  <si>
    <t>T02264</t>
  </si>
  <si>
    <t>T02265</t>
  </si>
  <si>
    <t>T02266</t>
  </si>
  <si>
    <t>T02267</t>
  </si>
  <si>
    <t>T02268</t>
  </si>
  <si>
    <t>T02269</t>
  </si>
  <si>
    <t>T02270</t>
  </si>
  <si>
    <t>T02271</t>
  </si>
  <si>
    <t>T02272</t>
  </si>
  <si>
    <t>T02273</t>
  </si>
  <si>
    <t>T02274</t>
  </si>
  <si>
    <t>T02275</t>
  </si>
  <si>
    <t>T02276</t>
  </si>
  <si>
    <t>T02277</t>
  </si>
  <si>
    <t>T02278</t>
  </si>
  <si>
    <t>T02279</t>
  </si>
  <si>
    <t>T02280</t>
  </si>
  <si>
    <t>T02281</t>
  </si>
  <si>
    <t>T02282</t>
  </si>
  <si>
    <t>T02283</t>
  </si>
  <si>
    <t>T02284</t>
  </si>
  <si>
    <t>T02285</t>
  </si>
  <si>
    <t>T02286</t>
  </si>
  <si>
    <t>T02287</t>
  </si>
  <si>
    <t>T02288</t>
  </si>
  <si>
    <t>T02289</t>
  </si>
  <si>
    <t>T02290</t>
  </si>
  <si>
    <t>T02291</t>
  </si>
  <si>
    <t>T02292</t>
  </si>
  <si>
    <t>T02293</t>
  </si>
  <si>
    <t>T02294</t>
  </si>
  <si>
    <t>T02295</t>
  </si>
  <si>
    <t>T02296</t>
  </si>
  <si>
    <t>T02297</t>
  </si>
  <si>
    <t>T02298</t>
  </si>
  <si>
    <t>T02299</t>
  </si>
  <si>
    <t>T02300</t>
  </si>
  <si>
    <t>T02301</t>
  </si>
  <si>
    <t>T02302</t>
  </si>
  <si>
    <t>T02303</t>
  </si>
  <si>
    <t>T02304</t>
  </si>
  <si>
    <t>T02305</t>
  </si>
  <si>
    <t>T02306</t>
  </si>
  <si>
    <t>T02307</t>
  </si>
  <si>
    <t>T02308</t>
  </si>
  <si>
    <t>T02309</t>
  </si>
  <si>
    <t>T02310</t>
  </si>
  <si>
    <t>T02311</t>
  </si>
  <si>
    <t>T02312</t>
  </si>
  <si>
    <t>T02313</t>
  </si>
  <si>
    <t>T02314</t>
  </si>
  <si>
    <t>T02315</t>
  </si>
  <si>
    <t>T02316</t>
  </si>
  <si>
    <t>T02317</t>
  </si>
  <si>
    <t>T02318</t>
  </si>
  <si>
    <t>T02319</t>
  </si>
  <si>
    <t>T02320</t>
  </si>
  <si>
    <t>T02321</t>
  </si>
  <si>
    <t>T02322</t>
  </si>
  <si>
    <t>T02323</t>
  </si>
  <si>
    <t>T02324</t>
  </si>
  <si>
    <t>T02325</t>
  </si>
  <si>
    <t>T02326</t>
  </si>
  <si>
    <t>T02327</t>
  </si>
  <si>
    <t>T02328</t>
  </si>
  <si>
    <t>T02329</t>
  </si>
  <si>
    <t>T02330</t>
  </si>
  <si>
    <t>T02331</t>
  </si>
  <si>
    <t>T02332</t>
  </si>
  <si>
    <t>T02333</t>
  </si>
  <si>
    <t>T02334</t>
  </si>
  <si>
    <t>T02335</t>
  </si>
  <si>
    <t>T02336</t>
  </si>
  <si>
    <t>T02337</t>
  </si>
  <si>
    <t>T02338</t>
  </si>
  <si>
    <t>T02339</t>
  </si>
  <si>
    <t>T02340</t>
  </si>
  <si>
    <t>T02341</t>
  </si>
  <si>
    <t>T02342</t>
  </si>
  <si>
    <t>T02343</t>
  </si>
  <si>
    <t>T02344</t>
  </si>
  <si>
    <t>T02345</t>
  </si>
  <si>
    <t>T02346</t>
  </si>
  <si>
    <t>T02347</t>
  </si>
  <si>
    <t>T02348</t>
  </si>
  <si>
    <t>T02349</t>
  </si>
  <si>
    <t>T02350</t>
  </si>
  <si>
    <t>T02351</t>
  </si>
  <si>
    <t>T02352</t>
  </si>
  <si>
    <t>T02353</t>
  </si>
  <si>
    <t>T02354</t>
  </si>
  <si>
    <t>T02355</t>
  </si>
  <si>
    <t>T02356</t>
  </si>
  <si>
    <t>T02357</t>
  </si>
  <si>
    <t>T02358</t>
  </si>
  <si>
    <t>T02359</t>
  </si>
  <si>
    <t>T02360</t>
  </si>
  <si>
    <t>T02361</t>
  </si>
  <si>
    <t>T02362</t>
  </si>
  <si>
    <t>T02363</t>
  </si>
  <si>
    <t>T02364</t>
  </si>
  <si>
    <t>T02365</t>
  </si>
  <si>
    <t>T02366</t>
  </si>
  <si>
    <t>T02367</t>
  </si>
  <si>
    <t>T02368</t>
  </si>
  <si>
    <t>T02369</t>
  </si>
  <si>
    <t>T02370</t>
  </si>
  <si>
    <t>T02371</t>
  </si>
  <si>
    <t>T02372</t>
  </si>
  <si>
    <t>T02373</t>
  </si>
  <si>
    <t>T02374</t>
  </si>
  <si>
    <t>T02375</t>
  </si>
  <si>
    <t>T02376</t>
  </si>
  <si>
    <t>T02377</t>
  </si>
  <si>
    <t>T02378</t>
  </si>
  <si>
    <t>T02379</t>
  </si>
  <si>
    <t>T02380</t>
  </si>
  <si>
    <t>T02381</t>
  </si>
  <si>
    <t>T02382</t>
  </si>
  <si>
    <t>T02383</t>
  </si>
  <si>
    <t>T02384</t>
  </si>
  <si>
    <t>T02385</t>
  </si>
  <si>
    <t>T02386</t>
  </si>
  <si>
    <t>T02387</t>
  </si>
  <si>
    <t>T02388</t>
  </si>
  <si>
    <t>T02389</t>
  </si>
  <si>
    <t>T02390</t>
  </si>
  <si>
    <t>T02391</t>
  </si>
  <si>
    <t>T02392</t>
  </si>
  <si>
    <t>T02393</t>
  </si>
  <si>
    <t>T02394</t>
  </si>
  <si>
    <t>T02395</t>
  </si>
  <si>
    <t>T02396</t>
  </si>
  <si>
    <t>T02397</t>
  </si>
  <si>
    <t>T02398</t>
  </si>
  <si>
    <t>T02399</t>
  </si>
  <si>
    <t>T02400</t>
  </si>
  <si>
    <t>T02401</t>
  </si>
  <si>
    <t>T02402</t>
  </si>
  <si>
    <t>T02403</t>
  </si>
  <si>
    <t>T02404</t>
  </si>
  <si>
    <t>T02405</t>
  </si>
  <si>
    <t>T02406</t>
  </si>
  <si>
    <t>T02407</t>
  </si>
  <si>
    <t>T02408</t>
  </si>
  <si>
    <t>T02409</t>
  </si>
  <si>
    <t>T02410</t>
  </si>
  <si>
    <t>T02411</t>
  </si>
  <si>
    <t>T02412</t>
  </si>
  <si>
    <t>T02413</t>
  </si>
  <si>
    <t>T02414</t>
  </si>
  <si>
    <t>T02415</t>
  </si>
  <si>
    <t>T02416</t>
  </si>
  <si>
    <t>T02417</t>
  </si>
  <si>
    <t>T02418</t>
  </si>
  <si>
    <t>T02419</t>
  </si>
  <si>
    <t>T02420</t>
  </si>
  <si>
    <t>T02421</t>
  </si>
  <si>
    <t>T02422</t>
  </si>
  <si>
    <t>T02423</t>
  </si>
  <si>
    <t>T02424</t>
  </si>
  <si>
    <t>T02425</t>
  </si>
  <si>
    <t>T02426</t>
  </si>
  <si>
    <t>T02427</t>
  </si>
  <si>
    <t>T02428</t>
  </si>
  <si>
    <t>T02429</t>
  </si>
  <si>
    <t>T02430</t>
  </si>
  <si>
    <t>T02431</t>
  </si>
  <si>
    <t>T02432</t>
  </si>
  <si>
    <t>T02433</t>
  </si>
  <si>
    <t>T02434</t>
  </si>
  <si>
    <t>T02435</t>
  </si>
  <si>
    <t>T02436</t>
  </si>
  <si>
    <t>T02437</t>
  </si>
  <si>
    <t>T02438</t>
  </si>
  <si>
    <t>T02439</t>
  </si>
  <si>
    <t>T02440</t>
  </si>
  <si>
    <t>T02441</t>
  </si>
  <si>
    <t>T02442</t>
  </si>
  <si>
    <t>T02443</t>
  </si>
  <si>
    <t>T02444</t>
  </si>
  <si>
    <t>T02445</t>
  </si>
  <si>
    <t>T02446</t>
  </si>
  <si>
    <t>T02447</t>
  </si>
  <si>
    <t>T02448</t>
  </si>
  <si>
    <t>T02449</t>
  </si>
  <si>
    <t>T02450</t>
  </si>
  <si>
    <t>T02451</t>
  </si>
  <si>
    <t>T02452</t>
  </si>
  <si>
    <t>T02453</t>
  </si>
  <si>
    <t>T02454</t>
  </si>
  <si>
    <t>T02455</t>
  </si>
  <si>
    <t>T02456</t>
  </si>
  <si>
    <t>T02457</t>
  </si>
  <si>
    <t>T02458</t>
  </si>
  <si>
    <t>T02459</t>
  </si>
  <si>
    <t>T02460</t>
  </si>
  <si>
    <t>T02461</t>
  </si>
  <si>
    <t>T02462</t>
  </si>
  <si>
    <t>T02463</t>
  </si>
  <si>
    <t>T02464</t>
  </si>
  <si>
    <t>T02465</t>
  </si>
  <si>
    <t>T02466</t>
  </si>
  <si>
    <t>T02467</t>
  </si>
  <si>
    <t>T02468</t>
  </si>
  <si>
    <t>T02469</t>
  </si>
  <si>
    <t>T02470</t>
  </si>
  <si>
    <t>T02471</t>
  </si>
  <si>
    <t>T02472</t>
  </si>
  <si>
    <t>T02473</t>
  </si>
  <si>
    <t>T02474</t>
  </si>
  <si>
    <t>T02475</t>
  </si>
  <si>
    <t>T02476</t>
  </si>
  <si>
    <t>T02477</t>
  </si>
  <si>
    <t>T02478</t>
  </si>
  <si>
    <t>T02479</t>
  </si>
  <si>
    <t>T02480</t>
  </si>
  <si>
    <t>T02481</t>
  </si>
  <si>
    <t>T02482</t>
  </si>
  <si>
    <t>T02483</t>
  </si>
  <si>
    <t>T02484</t>
  </si>
  <si>
    <t>T02485</t>
  </si>
  <si>
    <t>T02486</t>
  </si>
  <si>
    <t>T02487</t>
  </si>
  <si>
    <t>T02488</t>
  </si>
  <si>
    <t>T02489</t>
  </si>
  <si>
    <t>T02490</t>
  </si>
  <si>
    <t>T02491</t>
  </si>
  <si>
    <t>T02492</t>
  </si>
  <si>
    <t>T02493</t>
  </si>
  <si>
    <t>T02494</t>
  </si>
  <si>
    <t>T02495</t>
  </si>
  <si>
    <t>T02496</t>
  </si>
  <si>
    <t>T02497</t>
  </si>
  <si>
    <t>T02498</t>
  </si>
  <si>
    <t>T02499</t>
  </si>
  <si>
    <t>T02500</t>
  </si>
  <si>
    <t>T02501</t>
  </si>
  <si>
    <t>T02502</t>
  </si>
  <si>
    <t>T02503</t>
  </si>
  <si>
    <t>T02504</t>
  </si>
  <si>
    <t>T02505</t>
  </si>
  <si>
    <t>T02506</t>
  </si>
  <si>
    <t>T02507</t>
  </si>
  <si>
    <t>T02508</t>
  </si>
  <si>
    <t>T02509</t>
  </si>
  <si>
    <t>T02510</t>
  </si>
  <si>
    <t>T02511</t>
  </si>
  <si>
    <t>T02512</t>
  </si>
  <si>
    <t>T02513</t>
  </si>
  <si>
    <t>T02514</t>
  </si>
  <si>
    <t>T02515</t>
  </si>
  <si>
    <t>T02516</t>
  </si>
  <si>
    <t>T02517</t>
  </si>
  <si>
    <t>T02518</t>
  </si>
  <si>
    <t>T02519</t>
  </si>
  <si>
    <t>T02520</t>
  </si>
  <si>
    <t>T02521</t>
  </si>
  <si>
    <t>T02522</t>
  </si>
  <si>
    <t>T02523</t>
  </si>
  <si>
    <t>T02524</t>
  </si>
  <si>
    <t>T02525</t>
  </si>
  <si>
    <t>T02526</t>
  </si>
  <si>
    <t>T02527</t>
  </si>
  <si>
    <t>T02528</t>
  </si>
  <si>
    <t>T02529</t>
  </si>
  <si>
    <t>T02530</t>
  </si>
  <si>
    <t>T02531</t>
  </si>
  <si>
    <t>T02532</t>
  </si>
  <si>
    <t>T02533</t>
  </si>
  <si>
    <t>T02534</t>
  </si>
  <si>
    <t>T02535</t>
  </si>
  <si>
    <t>T02536</t>
  </si>
  <si>
    <t>T02537</t>
  </si>
  <si>
    <t>T02538</t>
  </si>
  <si>
    <t>T02539</t>
  </si>
  <si>
    <t>T02540</t>
  </si>
  <si>
    <t>T02541</t>
  </si>
  <si>
    <t>T02542</t>
  </si>
  <si>
    <t>T02543</t>
  </si>
  <si>
    <t>T02544</t>
  </si>
  <si>
    <t>T02545</t>
  </si>
  <si>
    <t>T02546</t>
  </si>
  <si>
    <t>T02547</t>
  </si>
  <si>
    <t>T02548</t>
  </si>
  <si>
    <t>T02549</t>
  </si>
  <si>
    <t>T02550</t>
  </si>
  <si>
    <t>T02551</t>
  </si>
  <si>
    <t>T02552</t>
  </si>
  <si>
    <t>T02553</t>
  </si>
  <si>
    <t>T02554</t>
  </si>
  <si>
    <t>T02555</t>
  </si>
  <si>
    <t>T02556</t>
  </si>
  <si>
    <t>T02557</t>
  </si>
  <si>
    <t>T02558</t>
  </si>
  <si>
    <t>T02559</t>
  </si>
  <si>
    <t>T02560</t>
  </si>
  <si>
    <t>T02561</t>
  </si>
  <si>
    <t>T02562</t>
  </si>
  <si>
    <t>T02563</t>
  </si>
  <si>
    <t>T02564</t>
  </si>
  <si>
    <t>T02565</t>
  </si>
  <si>
    <t>T02566</t>
  </si>
  <si>
    <t>T02567</t>
  </si>
  <si>
    <t>T02568</t>
  </si>
  <si>
    <t>T02569</t>
  </si>
  <si>
    <t>T02570</t>
  </si>
  <si>
    <t>T02571</t>
  </si>
  <si>
    <t>T02572</t>
  </si>
  <si>
    <t>T02573</t>
  </si>
  <si>
    <t>T02574</t>
  </si>
  <si>
    <t>T02575</t>
  </si>
  <si>
    <t>T02576</t>
  </si>
  <si>
    <t>T02577</t>
  </si>
  <si>
    <t>T02578</t>
  </si>
  <si>
    <t>T02579</t>
  </si>
  <si>
    <t>T02580</t>
  </si>
  <si>
    <t>T02581</t>
  </si>
  <si>
    <t>T02582</t>
  </si>
  <si>
    <t>T02583</t>
  </si>
  <si>
    <t>T02584</t>
  </si>
  <si>
    <t>T02585</t>
  </si>
  <si>
    <t>T02586</t>
  </si>
  <si>
    <t>T02587</t>
  </si>
  <si>
    <t>T02588</t>
  </si>
  <si>
    <t>T02589</t>
  </si>
  <si>
    <t>T02590</t>
  </si>
  <si>
    <t>T02591</t>
  </si>
  <si>
    <t>T02592</t>
  </si>
  <si>
    <t>T02593</t>
  </si>
  <si>
    <t>T02594</t>
  </si>
  <si>
    <t>T02595</t>
  </si>
  <si>
    <t>T02596</t>
  </si>
  <si>
    <t>T02597</t>
  </si>
  <si>
    <t>T02598</t>
  </si>
  <si>
    <t>T02599</t>
  </si>
  <si>
    <t>T02600</t>
  </si>
  <si>
    <t>T02601</t>
  </si>
  <si>
    <t>T02602</t>
  </si>
  <si>
    <t>T02603</t>
  </si>
  <si>
    <t>T02604</t>
  </si>
  <si>
    <t>T02605</t>
  </si>
  <si>
    <t>T02606</t>
  </si>
  <si>
    <t>T02607</t>
  </si>
  <si>
    <t>T02608</t>
  </si>
  <si>
    <t>T02609</t>
  </si>
  <si>
    <t>T02610</t>
  </si>
  <si>
    <t>T02611</t>
  </si>
  <si>
    <t>T02612</t>
  </si>
  <si>
    <t>T02613</t>
  </si>
  <si>
    <t>T02614</t>
  </si>
  <si>
    <t>T02615</t>
  </si>
  <si>
    <t>T02616</t>
  </si>
  <si>
    <t>T02617</t>
  </si>
  <si>
    <t>T02618</t>
  </si>
  <si>
    <t>T02619</t>
  </si>
  <si>
    <t>T02620</t>
  </si>
  <si>
    <t>T02621</t>
  </si>
  <si>
    <t>T02622</t>
  </si>
  <si>
    <t>T02623</t>
  </si>
  <si>
    <t>T02624</t>
  </si>
  <si>
    <t>T02625</t>
  </si>
  <si>
    <t>T02626</t>
  </si>
  <si>
    <t>T02627</t>
  </si>
  <si>
    <t>T02628</t>
  </si>
  <si>
    <t>T02629</t>
  </si>
  <si>
    <t>T02630</t>
  </si>
  <si>
    <t>T02631</t>
  </si>
  <si>
    <t>T02632</t>
  </si>
  <si>
    <t>T02633</t>
  </si>
  <si>
    <t>T02634</t>
  </si>
  <si>
    <t>T02635</t>
  </si>
  <si>
    <t>T02636</t>
  </si>
  <si>
    <t>T02637</t>
  </si>
  <si>
    <t>T02638</t>
  </si>
  <si>
    <t>T02639</t>
  </si>
  <si>
    <t>T02640</t>
  </si>
  <si>
    <t>T02641</t>
  </si>
  <si>
    <t>T02642</t>
  </si>
  <si>
    <t>T02643</t>
  </si>
  <si>
    <t>T02644</t>
  </si>
  <si>
    <t>T02645</t>
  </si>
  <si>
    <t>T02646</t>
  </si>
  <si>
    <t>T02647</t>
  </si>
  <si>
    <t>T02648</t>
  </si>
  <si>
    <t>T02649</t>
  </si>
  <si>
    <t>T02650</t>
  </si>
  <si>
    <t>T02651</t>
  </si>
  <si>
    <t>T02652</t>
  </si>
  <si>
    <t>T02653</t>
  </si>
  <si>
    <t>T02654</t>
  </si>
  <si>
    <t>T02655</t>
  </si>
  <si>
    <t>T02656</t>
  </si>
  <si>
    <t>T02657</t>
  </si>
  <si>
    <t>T02658</t>
  </si>
  <si>
    <t>T02659</t>
  </si>
  <si>
    <t>T02660</t>
  </si>
  <si>
    <t>T02661</t>
  </si>
  <si>
    <t>T02662</t>
  </si>
  <si>
    <t>T02663</t>
  </si>
  <si>
    <t>T02664</t>
  </si>
  <si>
    <t>T02665</t>
  </si>
  <si>
    <t>T02666</t>
  </si>
  <si>
    <t>T02667</t>
  </si>
  <si>
    <t>T02668</t>
  </si>
  <si>
    <t>T02669</t>
  </si>
  <si>
    <t>T02670</t>
  </si>
  <si>
    <t>T02671</t>
  </si>
  <si>
    <t>T02672</t>
  </si>
  <si>
    <t>T02673</t>
  </si>
  <si>
    <t>T02674</t>
  </si>
  <si>
    <t>T02675</t>
  </si>
  <si>
    <t>T02676</t>
  </si>
  <si>
    <t>T02677</t>
  </si>
  <si>
    <t>T02678</t>
  </si>
  <si>
    <t>T02679</t>
  </si>
  <si>
    <t>T02680</t>
  </si>
  <si>
    <t>T02681</t>
  </si>
  <si>
    <t>T02682</t>
  </si>
  <si>
    <t>T02683</t>
  </si>
  <si>
    <t>T02684</t>
  </si>
  <si>
    <t>T02685</t>
  </si>
  <si>
    <t>T02686</t>
  </si>
  <si>
    <t>T02687</t>
  </si>
  <si>
    <t>T02688</t>
  </si>
  <si>
    <t>T02689</t>
  </si>
  <si>
    <t>T02690</t>
  </si>
  <si>
    <t>T02691</t>
  </si>
  <si>
    <t>T02692</t>
  </si>
  <si>
    <t>T02693</t>
  </si>
  <si>
    <t>T02694</t>
  </si>
  <si>
    <t>T02695</t>
  </si>
  <si>
    <t>T02696</t>
  </si>
  <si>
    <t>T02697</t>
  </si>
  <si>
    <t>T02698</t>
  </si>
  <si>
    <t>T02699</t>
  </si>
  <si>
    <t>T02700</t>
  </si>
  <si>
    <t>T02701</t>
  </si>
  <si>
    <t>T02702</t>
  </si>
  <si>
    <t>T02703</t>
  </si>
  <si>
    <t>T02704</t>
  </si>
  <si>
    <t>T02705</t>
  </si>
  <si>
    <t>T02706</t>
  </si>
  <si>
    <t>T02707</t>
  </si>
  <si>
    <t>T02708</t>
  </si>
  <si>
    <t>T02709</t>
  </si>
  <si>
    <t>T02710</t>
  </si>
  <si>
    <t>T02711</t>
  </si>
  <si>
    <t>T02712</t>
  </si>
  <si>
    <t>T02713</t>
  </si>
  <si>
    <t>T02714</t>
  </si>
  <si>
    <t>T02715</t>
  </si>
  <si>
    <t>T02716</t>
  </si>
  <si>
    <t>T02717</t>
  </si>
  <si>
    <t>T02718</t>
  </si>
  <si>
    <t>T02719</t>
  </si>
  <si>
    <t>T02720</t>
  </si>
  <si>
    <t>T02721</t>
  </si>
  <si>
    <t>T02722</t>
  </si>
  <si>
    <t>T02723</t>
  </si>
  <si>
    <t>T02724</t>
  </si>
  <si>
    <t>T02725</t>
  </si>
  <si>
    <t>T02726</t>
  </si>
  <si>
    <t>T02727</t>
  </si>
  <si>
    <t>T02728</t>
  </si>
  <si>
    <t>T02729</t>
  </si>
  <si>
    <t>T02730</t>
  </si>
  <si>
    <t>T02731</t>
  </si>
  <si>
    <t>T02732</t>
  </si>
  <si>
    <t>T02733</t>
  </si>
  <si>
    <t>T02734</t>
  </si>
  <si>
    <t>T02735</t>
  </si>
  <si>
    <t>T02736</t>
  </si>
  <si>
    <t>T02737</t>
  </si>
  <si>
    <t>T02738</t>
  </si>
  <si>
    <t>T02739</t>
  </si>
  <si>
    <t>T02740</t>
  </si>
  <si>
    <t>T02741</t>
  </si>
  <si>
    <t>T02742</t>
  </si>
  <si>
    <t>T02743</t>
  </si>
  <si>
    <t>T02744</t>
  </si>
  <si>
    <t>T02745</t>
  </si>
  <si>
    <t>T02746</t>
  </si>
  <si>
    <t>T02747</t>
  </si>
  <si>
    <t>T02748</t>
  </si>
  <si>
    <t>T02749</t>
  </si>
  <si>
    <t>T02750</t>
  </si>
  <si>
    <t>T02751</t>
  </si>
  <si>
    <t>T02752</t>
  </si>
  <si>
    <t>T02753</t>
  </si>
  <si>
    <t>T02754</t>
  </si>
  <si>
    <t>T02755</t>
  </si>
  <si>
    <t>T02756</t>
  </si>
  <si>
    <t>T02757</t>
  </si>
  <si>
    <t>T02758</t>
  </si>
  <si>
    <t>T02759</t>
  </si>
  <si>
    <t>T02760</t>
  </si>
  <si>
    <t>T02761</t>
  </si>
  <si>
    <t>T02762</t>
  </si>
  <si>
    <t>T02763</t>
  </si>
  <si>
    <t>T02764</t>
  </si>
  <si>
    <t>T02765</t>
  </si>
  <si>
    <t>T02766</t>
  </si>
  <si>
    <t>T02767</t>
  </si>
  <si>
    <t>T02768</t>
  </si>
  <si>
    <t>T02769</t>
  </si>
  <si>
    <t>T02770</t>
  </si>
  <si>
    <t>T02771</t>
  </si>
  <si>
    <t>T02772</t>
  </si>
  <si>
    <t>T02773</t>
  </si>
  <si>
    <t>T02774</t>
  </si>
  <si>
    <t>T02775</t>
  </si>
  <si>
    <t>T02776</t>
  </si>
  <si>
    <t>T02777</t>
  </si>
  <si>
    <t>T02778</t>
  </si>
  <si>
    <t>T02779</t>
  </si>
  <si>
    <t>T02780</t>
  </si>
  <si>
    <t>T02781</t>
  </si>
  <si>
    <t>T02782</t>
  </si>
  <si>
    <t>T02783</t>
  </si>
  <si>
    <t>T02784</t>
  </si>
  <si>
    <t>T02785</t>
  </si>
  <si>
    <t>T02786</t>
  </si>
  <si>
    <t>T02787</t>
  </si>
  <si>
    <t>T02788</t>
  </si>
  <si>
    <t>T02789</t>
  </si>
  <si>
    <t>T02790</t>
  </si>
  <si>
    <t>T02791</t>
  </si>
  <si>
    <t>T02792</t>
  </si>
  <si>
    <t>T02793</t>
  </si>
  <si>
    <t>T02794</t>
  </si>
  <si>
    <t>T02795</t>
  </si>
  <si>
    <t>T02796</t>
  </si>
  <si>
    <t>T02797</t>
  </si>
  <si>
    <t>T02798</t>
  </si>
  <si>
    <t>T02799</t>
  </si>
  <si>
    <t>T02800</t>
  </si>
  <si>
    <t>T02801</t>
  </si>
  <si>
    <t>T02802</t>
  </si>
  <si>
    <t>T02803</t>
  </si>
  <si>
    <t>T02804</t>
  </si>
  <si>
    <t>T02805</t>
  </si>
  <si>
    <t>T02806</t>
  </si>
  <si>
    <t>T02807</t>
  </si>
  <si>
    <t>T02808</t>
  </si>
  <si>
    <t>T02809</t>
  </si>
  <si>
    <t>T02810</t>
  </si>
  <si>
    <t>T02811</t>
  </si>
  <si>
    <t>T02812</t>
  </si>
  <si>
    <t>T02813</t>
  </si>
  <si>
    <t>T02814</t>
  </si>
  <si>
    <t>T02815</t>
  </si>
  <si>
    <t>T02816</t>
  </si>
  <si>
    <t>T02817</t>
  </si>
  <si>
    <t>T02818</t>
  </si>
  <si>
    <t>T02819</t>
  </si>
  <si>
    <t>T02820</t>
  </si>
  <si>
    <t>T02821</t>
  </si>
  <si>
    <t>T02822</t>
  </si>
  <si>
    <t>T02823</t>
  </si>
  <si>
    <t>T02824</t>
  </si>
  <si>
    <t>T02825</t>
  </si>
  <si>
    <t>T02826</t>
  </si>
  <si>
    <t>T02827</t>
  </si>
  <si>
    <t>T02828</t>
  </si>
  <si>
    <t>T02829</t>
  </si>
  <si>
    <t>T02830</t>
  </si>
  <si>
    <t>T02831</t>
  </si>
  <si>
    <t>T02832</t>
  </si>
  <si>
    <t>T02833</t>
  </si>
  <si>
    <t>T02834</t>
  </si>
  <si>
    <t>T02835</t>
  </si>
  <si>
    <t>T02836</t>
  </si>
  <si>
    <t>T02837</t>
  </si>
  <si>
    <t>T02838</t>
  </si>
  <si>
    <t>T02839</t>
  </si>
  <si>
    <t>T02840</t>
  </si>
  <si>
    <t>T02841</t>
  </si>
  <si>
    <t>T02842</t>
  </si>
  <si>
    <t>T02843</t>
  </si>
  <si>
    <t>T02844</t>
  </si>
  <si>
    <t>T02845</t>
  </si>
  <si>
    <t>T02846</t>
  </si>
  <si>
    <t>T02847</t>
  </si>
  <si>
    <t>T02848</t>
  </si>
  <si>
    <t>T02849</t>
  </si>
  <si>
    <t>T02850</t>
  </si>
  <si>
    <t>T02851</t>
  </si>
  <si>
    <t>T02852</t>
  </si>
  <si>
    <t>T02853</t>
  </si>
  <si>
    <t>T02854</t>
  </si>
  <si>
    <t>T02855</t>
  </si>
  <si>
    <t>T02856</t>
  </si>
  <si>
    <t>T02857</t>
  </si>
  <si>
    <t>T02858</t>
  </si>
  <si>
    <t>T02859</t>
  </si>
  <si>
    <t>T02860</t>
  </si>
  <si>
    <t>T02861</t>
  </si>
  <si>
    <t>T02862</t>
  </si>
  <si>
    <t>T02863</t>
  </si>
  <si>
    <t>T02864</t>
  </si>
  <si>
    <t>T02865</t>
  </si>
  <si>
    <t>T02866</t>
  </si>
  <si>
    <t>T02867</t>
  </si>
  <si>
    <t>T02868</t>
  </si>
  <si>
    <t>T02869</t>
  </si>
  <si>
    <t>T02870</t>
  </si>
  <si>
    <t>T02871</t>
  </si>
  <si>
    <t>T02872</t>
  </si>
  <si>
    <t>T02873</t>
  </si>
  <si>
    <t>T02874</t>
  </si>
  <si>
    <t>T02875</t>
  </si>
  <si>
    <t>T02876</t>
  </si>
  <si>
    <t>T02877</t>
  </si>
  <si>
    <t>T02878</t>
  </si>
  <si>
    <t>T02879</t>
  </si>
  <si>
    <t>T02880</t>
  </si>
  <si>
    <t>T02881</t>
  </si>
  <si>
    <t>T02882</t>
  </si>
  <si>
    <t>T02883</t>
  </si>
  <si>
    <t>T02884</t>
  </si>
  <si>
    <t>T02885</t>
  </si>
  <si>
    <t>T02886</t>
  </si>
  <si>
    <t>T02887</t>
  </si>
  <si>
    <t>T02888</t>
  </si>
  <si>
    <t>T02889</t>
  </si>
  <si>
    <t>T02890</t>
  </si>
  <si>
    <t>T02891</t>
  </si>
  <si>
    <t>T02892</t>
  </si>
  <si>
    <t>T02893</t>
  </si>
  <si>
    <t>T02894</t>
  </si>
  <si>
    <t>T02895</t>
  </si>
  <si>
    <t>T02896</t>
  </si>
  <si>
    <t>T02897</t>
  </si>
  <si>
    <t>T02898</t>
  </si>
  <si>
    <t>T02899</t>
  </si>
  <si>
    <t>T02900</t>
  </si>
  <si>
    <t>T02901</t>
  </si>
  <si>
    <t>T02902</t>
  </si>
  <si>
    <t>T02903</t>
  </si>
  <si>
    <t>T02904</t>
  </si>
  <si>
    <t>T02905</t>
  </si>
  <si>
    <t>T02906</t>
  </si>
  <si>
    <t>T02907</t>
  </si>
  <si>
    <t>T02908</t>
  </si>
  <si>
    <t>T02909</t>
  </si>
  <si>
    <t>T02910</t>
  </si>
  <si>
    <t>T02911</t>
  </si>
  <si>
    <t>T02912</t>
  </si>
  <si>
    <t>T02913</t>
  </si>
  <si>
    <t>T02914</t>
  </si>
  <si>
    <t>T02915</t>
  </si>
  <si>
    <t>T02916</t>
  </si>
  <si>
    <t>T02917</t>
  </si>
  <si>
    <t>T02918</t>
  </si>
  <si>
    <t>T02919</t>
  </si>
  <si>
    <t>T02920</t>
  </si>
  <si>
    <t>T02921</t>
  </si>
  <si>
    <t>T02922</t>
  </si>
  <si>
    <t>T02923</t>
  </si>
  <si>
    <t>T02924</t>
  </si>
  <si>
    <t>T02925</t>
  </si>
  <si>
    <t>T02926</t>
  </si>
  <si>
    <t>T02927</t>
  </si>
  <si>
    <t>T02928</t>
  </si>
  <si>
    <t>T02929</t>
  </si>
  <si>
    <t>T02930</t>
  </si>
  <si>
    <t>T02931</t>
  </si>
  <si>
    <t>T02932</t>
  </si>
  <si>
    <t>T02933</t>
  </si>
  <si>
    <t>T02934</t>
  </si>
  <si>
    <t>T02935</t>
  </si>
  <si>
    <t>T02936</t>
  </si>
  <si>
    <t>T02937</t>
  </si>
  <si>
    <t>T02938</t>
  </si>
  <si>
    <t>T02939</t>
  </si>
  <si>
    <t>T02940</t>
  </si>
  <si>
    <t>T02941</t>
  </si>
  <si>
    <t>T02942</t>
  </si>
  <si>
    <t>T02943</t>
  </si>
  <si>
    <t>T02944</t>
  </si>
  <si>
    <t>T02945</t>
  </si>
  <si>
    <t>T02946</t>
  </si>
  <si>
    <t>T02947</t>
  </si>
  <si>
    <t>T02948</t>
  </si>
  <si>
    <t>T02949</t>
  </si>
  <si>
    <t>T02950</t>
  </si>
  <si>
    <t>T02951</t>
  </si>
  <si>
    <t>T02952</t>
  </si>
  <si>
    <t>T02953</t>
  </si>
  <si>
    <t>T02954</t>
  </si>
  <si>
    <t>T02955</t>
  </si>
  <si>
    <t>T02956</t>
  </si>
  <si>
    <t>T02957</t>
  </si>
  <si>
    <t>T02958</t>
  </si>
  <si>
    <t>T02959</t>
  </si>
  <si>
    <t>T02960</t>
  </si>
  <si>
    <t>T02961</t>
  </si>
  <si>
    <t>T02962</t>
  </si>
  <si>
    <t>T02963</t>
  </si>
  <si>
    <t>T02964</t>
  </si>
  <si>
    <t>T02965</t>
  </si>
  <si>
    <t>T02966</t>
  </si>
  <si>
    <t>T02967</t>
  </si>
  <si>
    <t>T02968</t>
  </si>
  <si>
    <t>T02969</t>
  </si>
  <si>
    <t>T02970</t>
  </si>
  <si>
    <t>T02971</t>
  </si>
  <si>
    <t>T02972</t>
  </si>
  <si>
    <t>T02973</t>
  </si>
  <si>
    <t>T02974</t>
  </si>
  <si>
    <t>T02975</t>
  </si>
  <si>
    <t>T02976</t>
  </si>
  <si>
    <t>T02977</t>
  </si>
  <si>
    <t>T02978</t>
  </si>
  <si>
    <t>T02979</t>
  </si>
  <si>
    <t>T02980</t>
  </si>
  <si>
    <t>T02981</t>
  </si>
  <si>
    <t>T02982</t>
  </si>
  <si>
    <t>T02983</t>
  </si>
  <si>
    <t>T02984</t>
  </si>
  <si>
    <t>T02985</t>
  </si>
  <si>
    <t>T02986</t>
  </si>
  <si>
    <t>T02987</t>
  </si>
  <si>
    <t>T02988</t>
  </si>
  <si>
    <t>T02989</t>
  </si>
  <si>
    <t>T02990</t>
  </si>
  <si>
    <t>T02991</t>
  </si>
  <si>
    <t>T02992</t>
  </si>
  <si>
    <t>T02993</t>
  </si>
  <si>
    <t>T02994</t>
  </si>
  <si>
    <t>T02995</t>
  </si>
  <si>
    <t>T02996</t>
  </si>
  <si>
    <t>T02997</t>
  </si>
  <si>
    <t>T02998</t>
  </si>
  <si>
    <t>T02999</t>
  </si>
  <si>
    <t>T03000</t>
  </si>
  <si>
    <t>T03001</t>
  </si>
  <si>
    <t>T03002</t>
  </si>
  <si>
    <t>T03003</t>
  </si>
  <si>
    <t>T03004</t>
  </si>
  <si>
    <t>T03005</t>
  </si>
  <si>
    <t>T03006</t>
  </si>
  <si>
    <t>T03007</t>
  </si>
  <si>
    <t>T03008</t>
  </si>
  <si>
    <t>T03009</t>
  </si>
  <si>
    <t>T03010</t>
  </si>
  <si>
    <t>T03011</t>
  </si>
  <si>
    <t>T03012</t>
  </si>
  <si>
    <t>T03013</t>
  </si>
  <si>
    <t>T03014</t>
  </si>
  <si>
    <t>T03015</t>
  </si>
  <si>
    <t>T03016</t>
  </si>
  <si>
    <t>T03017</t>
  </si>
  <si>
    <t>T03018</t>
  </si>
  <si>
    <t>T03019</t>
  </si>
  <si>
    <t>T03020</t>
  </si>
  <si>
    <t>T03021</t>
  </si>
  <si>
    <t>T03022</t>
  </si>
  <si>
    <t>T03023</t>
  </si>
  <si>
    <t>T03024</t>
  </si>
  <si>
    <t>T03025</t>
  </si>
  <si>
    <t>T03026</t>
  </si>
  <si>
    <t>T03027</t>
  </si>
  <si>
    <t>T03028</t>
  </si>
  <si>
    <t>T03029</t>
  </si>
  <si>
    <t>T03030</t>
  </si>
  <si>
    <t>T03031</t>
  </si>
  <si>
    <t>T03032</t>
  </si>
  <si>
    <t>T03033</t>
  </si>
  <si>
    <t>T03034</t>
  </si>
  <si>
    <t>T03035</t>
  </si>
  <si>
    <t>T03036</t>
  </si>
  <si>
    <t>T03037</t>
  </si>
  <si>
    <t>T03038</t>
  </si>
  <si>
    <t>T03039</t>
  </si>
  <si>
    <t>T03040</t>
  </si>
  <si>
    <t>T03041</t>
  </si>
  <si>
    <t>T03042</t>
  </si>
  <si>
    <t>T03043</t>
  </si>
  <si>
    <t>T03044</t>
  </si>
  <si>
    <t>T03045</t>
  </si>
  <si>
    <t>T03046</t>
  </si>
  <si>
    <t>T03047</t>
  </si>
  <si>
    <t>T03048</t>
  </si>
  <si>
    <t>T03049</t>
  </si>
  <si>
    <t>T03050</t>
  </si>
  <si>
    <t>T03051</t>
  </si>
  <si>
    <t>T03052</t>
  </si>
  <si>
    <t>T03053</t>
  </si>
  <si>
    <t>T03054</t>
  </si>
  <si>
    <t>T03055</t>
  </si>
  <si>
    <t>T03056</t>
  </si>
  <si>
    <t>T03057</t>
  </si>
  <si>
    <t>T03058</t>
  </si>
  <si>
    <t>T03059</t>
  </si>
  <si>
    <t>T03060</t>
  </si>
  <si>
    <t>T03061</t>
  </si>
  <si>
    <t>T03062</t>
  </si>
  <si>
    <t>T03063</t>
  </si>
  <si>
    <t>T03064</t>
  </si>
  <si>
    <t>T03065</t>
  </si>
  <si>
    <t>T03066</t>
  </si>
  <si>
    <t>T03067</t>
  </si>
  <si>
    <t>T03068</t>
  </si>
  <si>
    <t>T03069</t>
  </si>
  <si>
    <t>T03070</t>
  </si>
  <si>
    <t>T03071</t>
  </si>
  <si>
    <t>T03072</t>
  </si>
  <si>
    <t>T03073</t>
  </si>
  <si>
    <t>T03074</t>
  </si>
  <si>
    <t>T03075</t>
  </si>
  <si>
    <t>T03076</t>
  </si>
  <si>
    <t>T03077</t>
  </si>
  <si>
    <t>T03078</t>
  </si>
  <si>
    <t>T03079</t>
  </si>
  <si>
    <t>T03080</t>
  </si>
  <si>
    <t>T03081</t>
  </si>
  <si>
    <t>T03082</t>
  </si>
  <si>
    <t>T03083</t>
  </si>
  <si>
    <t>T03084</t>
  </si>
  <si>
    <t>T03085</t>
  </si>
  <si>
    <t>T03086</t>
  </si>
  <si>
    <t>T03087</t>
  </si>
  <si>
    <t>T03088</t>
  </si>
  <si>
    <t>T03089</t>
  </si>
  <si>
    <t>T03090</t>
  </si>
  <si>
    <t>T03091</t>
  </si>
  <si>
    <t>T03092</t>
  </si>
  <si>
    <t>T03093</t>
  </si>
  <si>
    <t>T03094</t>
  </si>
  <si>
    <t>T03095</t>
  </si>
  <si>
    <t>T03096</t>
  </si>
  <si>
    <t>T03097</t>
  </si>
  <si>
    <t>T03098</t>
  </si>
  <si>
    <t>T03099</t>
  </si>
  <si>
    <t>T03100</t>
  </si>
  <si>
    <t>T03101</t>
  </si>
  <si>
    <t>T03102</t>
  </si>
  <si>
    <t>T03103</t>
  </si>
  <si>
    <t>T03104</t>
  </si>
  <si>
    <t>T03105</t>
  </si>
  <si>
    <t>T03106</t>
  </si>
  <si>
    <t>T03107</t>
  </si>
  <si>
    <t>T03108</t>
  </si>
  <si>
    <t>T03109</t>
  </si>
  <si>
    <t>T03110</t>
  </si>
  <si>
    <t>T03111</t>
  </si>
  <si>
    <t>T03112</t>
  </si>
  <si>
    <t>T03113</t>
  </si>
  <si>
    <t>T03114</t>
  </si>
  <si>
    <t>T03115</t>
  </si>
  <si>
    <t>T03116</t>
  </si>
  <si>
    <t>T03117</t>
  </si>
  <si>
    <t>T03118</t>
  </si>
  <si>
    <t>T03119</t>
  </si>
  <si>
    <t>T03120</t>
  </si>
  <si>
    <t>T03121</t>
  </si>
  <si>
    <t>T03122</t>
  </si>
  <si>
    <t>T03123</t>
  </si>
  <si>
    <t>T03124</t>
  </si>
  <si>
    <t>T03125</t>
  </si>
  <si>
    <t>T03126</t>
  </si>
  <si>
    <t>T03127</t>
  </si>
  <si>
    <t>T03128</t>
  </si>
  <si>
    <t>T03129</t>
  </si>
  <si>
    <t>T03130</t>
  </si>
  <si>
    <t>T03131</t>
  </si>
  <si>
    <t>T03132</t>
  </si>
  <si>
    <t>T03133</t>
  </si>
  <si>
    <t>T03134</t>
  </si>
  <si>
    <t>T03135</t>
  </si>
  <si>
    <t>T03136</t>
  </si>
  <si>
    <t>T03137</t>
  </si>
  <si>
    <t>T03138</t>
  </si>
  <si>
    <t>T03139</t>
  </si>
  <si>
    <t>T03140</t>
  </si>
  <si>
    <t>T03141</t>
  </si>
  <si>
    <t>T03142</t>
  </si>
  <si>
    <t>T03143</t>
  </si>
  <si>
    <t>T03144</t>
  </si>
  <si>
    <t>T03145</t>
  </si>
  <si>
    <t>T03146</t>
  </si>
  <si>
    <t>T03147</t>
  </si>
  <si>
    <t>T03148</t>
  </si>
  <si>
    <t>T03149</t>
  </si>
  <si>
    <t>T03150</t>
  </si>
  <si>
    <t>T03151</t>
  </si>
  <si>
    <t>T03152</t>
  </si>
  <si>
    <t>T03153</t>
  </si>
  <si>
    <t>T03154</t>
  </si>
  <si>
    <t>T03155</t>
  </si>
  <si>
    <t>T03156</t>
  </si>
  <si>
    <t>T03157</t>
  </si>
  <si>
    <t>T03158</t>
  </si>
  <si>
    <t>T03159</t>
  </si>
  <si>
    <t>T03160</t>
  </si>
  <si>
    <t>T03161</t>
  </si>
  <si>
    <t>T03162</t>
  </si>
  <si>
    <t>T03163</t>
  </si>
  <si>
    <t>T03164</t>
  </si>
  <si>
    <t>T03165</t>
  </si>
  <si>
    <t>T03166</t>
  </si>
  <si>
    <t>T03167</t>
  </si>
  <si>
    <t>T03168</t>
  </si>
  <si>
    <t>T03169</t>
  </si>
  <si>
    <t>T03170</t>
  </si>
  <si>
    <t>T03171</t>
  </si>
  <si>
    <t>T03172</t>
  </si>
  <si>
    <t>T03173</t>
  </si>
  <si>
    <t>T03174</t>
  </si>
  <si>
    <t>T03175</t>
  </si>
  <si>
    <t>T03176</t>
  </si>
  <si>
    <t>T03177</t>
  </si>
  <si>
    <t>T03178</t>
  </si>
  <si>
    <t>T03179</t>
  </si>
  <si>
    <t>T03180</t>
  </si>
  <si>
    <t>T03181</t>
  </si>
  <si>
    <t>T03182</t>
  </si>
  <si>
    <t>T03183</t>
  </si>
  <si>
    <t>T03184</t>
  </si>
  <si>
    <t>T03185</t>
  </si>
  <si>
    <t>T03186</t>
  </si>
  <si>
    <t>T03187</t>
  </si>
  <si>
    <t>T03188</t>
  </si>
  <si>
    <t>T03189</t>
  </si>
  <si>
    <t>T03190</t>
  </si>
  <si>
    <t>T03191</t>
  </si>
  <si>
    <t>T03192</t>
  </si>
  <si>
    <t>T03193</t>
  </si>
  <si>
    <t>T03194</t>
  </si>
  <si>
    <t>T03195</t>
  </si>
  <si>
    <t>T03196</t>
  </si>
  <si>
    <t>T03197</t>
  </si>
  <si>
    <t>T03198</t>
  </si>
  <si>
    <t>T03199</t>
  </si>
  <si>
    <t>T03200</t>
  </si>
  <si>
    <t>T03201</t>
  </si>
  <si>
    <t>T03202</t>
  </si>
  <si>
    <t>T03203</t>
  </si>
  <si>
    <t>T03204</t>
  </si>
  <si>
    <t>T03205</t>
  </si>
  <si>
    <t>T03206</t>
  </si>
  <si>
    <t>T03207</t>
  </si>
  <si>
    <t>T03208</t>
  </si>
  <si>
    <t>T03209</t>
  </si>
  <si>
    <t>T03210</t>
  </si>
  <si>
    <t>T03211</t>
  </si>
  <si>
    <t>T03212</t>
  </si>
  <si>
    <t>T03213</t>
  </si>
  <si>
    <t>T03214</t>
  </si>
  <si>
    <t>T03215</t>
  </si>
  <si>
    <t>T03216</t>
  </si>
  <si>
    <t>T03217</t>
  </si>
  <si>
    <t>T03218</t>
  </si>
  <si>
    <t>T03219</t>
  </si>
  <si>
    <t>T03220</t>
  </si>
  <si>
    <t>T03221</t>
  </si>
  <si>
    <t>T03222</t>
  </si>
  <si>
    <t>T03223</t>
  </si>
  <si>
    <t>T03224</t>
  </si>
  <si>
    <t>T03225</t>
  </si>
  <si>
    <t>T03226</t>
  </si>
  <si>
    <t>T03227</t>
  </si>
  <si>
    <t>T03228</t>
  </si>
  <si>
    <t>T03229</t>
  </si>
  <si>
    <t>T03230</t>
  </si>
  <si>
    <t>T03231</t>
  </si>
  <si>
    <t>T03232</t>
  </si>
  <si>
    <t>T03233</t>
  </si>
  <si>
    <t>T03234</t>
  </si>
  <si>
    <t>T03235</t>
  </si>
  <si>
    <t>T03236</t>
  </si>
  <si>
    <t>T03237</t>
  </si>
  <si>
    <t>T03238</t>
  </si>
  <si>
    <t>T03239</t>
  </si>
  <si>
    <t>T03240</t>
  </si>
  <si>
    <t>T03241</t>
  </si>
  <si>
    <t>T03242</t>
  </si>
  <si>
    <t>T03243</t>
  </si>
  <si>
    <t>T03244</t>
  </si>
  <si>
    <t>T03245</t>
  </si>
  <si>
    <t>T03246</t>
  </si>
  <si>
    <t>T03247</t>
  </si>
  <si>
    <t>T03248</t>
  </si>
  <si>
    <t>T03249</t>
  </si>
  <si>
    <t>T03250</t>
  </si>
  <si>
    <t>T03251</t>
  </si>
  <si>
    <t>T03252</t>
  </si>
  <si>
    <t>T03253</t>
  </si>
  <si>
    <t>T03254</t>
  </si>
  <si>
    <t>T03255</t>
  </si>
  <si>
    <t>T03256</t>
  </si>
  <si>
    <t>T03257</t>
  </si>
  <si>
    <t>T03258</t>
  </si>
  <si>
    <t>T03259</t>
  </si>
  <si>
    <t>T03260</t>
  </si>
  <si>
    <t>T03261</t>
  </si>
  <si>
    <t>T03262</t>
  </si>
  <si>
    <t>T03263</t>
  </si>
  <si>
    <t>T03264</t>
  </si>
  <si>
    <t>T03265</t>
  </si>
  <si>
    <t>T03266</t>
  </si>
  <si>
    <t>T03267</t>
  </si>
  <si>
    <t>T03268</t>
  </si>
  <si>
    <t>T03269</t>
  </si>
  <si>
    <t>T03270</t>
  </si>
  <si>
    <t>T03271</t>
  </si>
  <si>
    <t>T03272</t>
  </si>
  <si>
    <t>T03273</t>
  </si>
  <si>
    <t>T03274</t>
  </si>
  <si>
    <t>T03275</t>
  </si>
  <si>
    <t>T03276</t>
  </si>
  <si>
    <t>T03277</t>
  </si>
  <si>
    <t>T03278</t>
  </si>
  <si>
    <t>T03279</t>
  </si>
  <si>
    <t>T03280</t>
  </si>
  <si>
    <t>T03281</t>
  </si>
  <si>
    <t>T03282</t>
  </si>
  <si>
    <t>T03283</t>
  </si>
  <si>
    <t>T03284</t>
  </si>
  <si>
    <t>T03285</t>
  </si>
  <si>
    <t>T03286</t>
  </si>
  <si>
    <t>T03287</t>
  </si>
  <si>
    <t>T03288</t>
  </si>
  <si>
    <t>T03289</t>
  </si>
  <si>
    <t>T03290</t>
  </si>
  <si>
    <t>T03291</t>
  </si>
  <si>
    <t>T03292</t>
  </si>
  <si>
    <t>T03293</t>
  </si>
  <si>
    <t>T03294</t>
  </si>
  <si>
    <t>T03295</t>
  </si>
  <si>
    <t>T03296</t>
  </si>
  <si>
    <t>T03297</t>
  </si>
  <si>
    <t>T03298</t>
  </si>
  <si>
    <t>T03299</t>
  </si>
  <si>
    <t>T03300</t>
  </si>
  <si>
    <t>T03301</t>
  </si>
  <si>
    <t>T03302</t>
  </si>
  <si>
    <t>T03303</t>
  </si>
  <si>
    <t>T03304</t>
  </si>
  <si>
    <t>T03305</t>
  </si>
  <si>
    <t>T03306</t>
  </si>
  <si>
    <t>T03307</t>
  </si>
  <si>
    <t>T03308</t>
  </si>
  <si>
    <t>T03309</t>
  </si>
  <si>
    <t>T03310</t>
  </si>
  <si>
    <t>T03311</t>
  </si>
  <si>
    <t>T03312</t>
  </si>
  <si>
    <t>T03313</t>
  </si>
  <si>
    <t>T03314</t>
  </si>
  <si>
    <t>T03315</t>
  </si>
  <si>
    <t>T03316</t>
  </si>
  <si>
    <t>T03317</t>
  </si>
  <si>
    <t>T03318</t>
  </si>
  <si>
    <t>T03319</t>
  </si>
  <si>
    <t>T03320</t>
  </si>
  <si>
    <t>T03321</t>
  </si>
  <si>
    <t>T03322</t>
  </si>
  <si>
    <t>T03323</t>
  </si>
  <si>
    <t>T03324</t>
  </si>
  <si>
    <t>T03325</t>
  </si>
  <si>
    <t>T03326</t>
  </si>
  <si>
    <t>T03327</t>
  </si>
  <si>
    <t>T03328</t>
  </si>
  <si>
    <t>T03329</t>
  </si>
  <si>
    <t>T03330</t>
  </si>
  <si>
    <t>T03331</t>
  </si>
  <si>
    <t>T03332</t>
  </si>
  <si>
    <t>T03333</t>
  </si>
  <si>
    <t>T03334</t>
  </si>
  <si>
    <t>T03335</t>
  </si>
  <si>
    <t>T03336</t>
  </si>
  <si>
    <t>T03337</t>
  </si>
  <si>
    <t>T03338</t>
  </si>
  <si>
    <t>T03339</t>
  </si>
  <si>
    <t>T03340</t>
  </si>
  <si>
    <t>T03341</t>
  </si>
  <si>
    <t>T03342</t>
  </si>
  <si>
    <t>T03343</t>
  </si>
  <si>
    <t>T03344</t>
  </si>
  <si>
    <t>T03345</t>
  </si>
  <si>
    <t>T03346</t>
  </si>
  <si>
    <t>T03347</t>
  </si>
  <si>
    <t>T03348</t>
  </si>
  <si>
    <t>T03349</t>
  </si>
  <si>
    <t>T03350</t>
  </si>
  <si>
    <t>T03351</t>
  </si>
  <si>
    <t>T03352</t>
  </si>
  <si>
    <t>T03353</t>
  </si>
  <si>
    <t>T03354</t>
  </si>
  <si>
    <t>T03355</t>
  </si>
  <si>
    <t>T03356</t>
  </si>
  <si>
    <t>T03357</t>
  </si>
  <si>
    <t>T03358</t>
  </si>
  <si>
    <t>T03359</t>
  </si>
  <si>
    <t>T03360</t>
  </si>
  <si>
    <t>T03361</t>
  </si>
  <si>
    <t>T03362</t>
  </si>
  <si>
    <t>T03363</t>
  </si>
  <si>
    <t>T03364</t>
  </si>
  <si>
    <t>T03365</t>
  </si>
  <si>
    <t>T03366</t>
  </si>
  <si>
    <t>T03367</t>
  </si>
  <si>
    <t>T03368</t>
  </si>
  <si>
    <t>T03369</t>
  </si>
  <si>
    <t>T03370</t>
  </si>
  <si>
    <t>T03371</t>
  </si>
  <si>
    <t>T03372</t>
  </si>
  <si>
    <t>T03373</t>
  </si>
  <si>
    <t>T03374</t>
  </si>
  <si>
    <t>T03375</t>
  </si>
  <si>
    <t>T03376</t>
  </si>
  <si>
    <t>T03377</t>
  </si>
  <si>
    <t>T03378</t>
  </si>
  <si>
    <t>T03379</t>
  </si>
  <si>
    <t>T03380</t>
  </si>
  <si>
    <t>T03381</t>
  </si>
  <si>
    <t>T03382</t>
  </si>
  <si>
    <t>T03383</t>
  </si>
  <si>
    <t>T03384</t>
  </si>
  <si>
    <t>T03385</t>
  </si>
  <si>
    <t>T03386</t>
  </si>
  <si>
    <t>T03387</t>
  </si>
  <si>
    <t>T03388</t>
  </si>
  <si>
    <t>T03389</t>
  </si>
  <si>
    <t>T03390</t>
  </si>
  <si>
    <t>T03391</t>
  </si>
  <si>
    <t>T03392</t>
  </si>
  <si>
    <t>T03393</t>
  </si>
  <si>
    <t>T03394</t>
  </si>
  <si>
    <t>T03395</t>
  </si>
  <si>
    <t>T03396</t>
  </si>
  <si>
    <t>T03397</t>
  </si>
  <si>
    <t>T03398</t>
  </si>
  <si>
    <t>T03399</t>
  </si>
  <si>
    <t>T03400</t>
  </si>
  <si>
    <t>T03401</t>
  </si>
  <si>
    <t>T03402</t>
  </si>
  <si>
    <t>T03403</t>
  </si>
  <si>
    <t>T03404</t>
  </si>
  <si>
    <t>T03405</t>
  </si>
  <si>
    <t>T03406</t>
  </si>
  <si>
    <t>T03407</t>
  </si>
  <si>
    <t>T03408</t>
  </si>
  <si>
    <t>T03409</t>
  </si>
  <si>
    <t>T03410</t>
  </si>
  <si>
    <t>T03411</t>
  </si>
  <si>
    <t>T03412</t>
  </si>
  <si>
    <t>T03413</t>
  </si>
  <si>
    <t>T03414</t>
  </si>
  <si>
    <t>T03415</t>
  </si>
  <si>
    <t>T03416</t>
  </si>
  <si>
    <t>T03417</t>
  </si>
  <si>
    <t>T03418</t>
  </si>
  <si>
    <t>T03419</t>
  </si>
  <si>
    <t>T03420</t>
  </si>
  <si>
    <t>T03421</t>
  </si>
  <si>
    <t>T03422</t>
  </si>
  <si>
    <t>T03423</t>
  </si>
  <si>
    <t>T03424</t>
  </si>
  <si>
    <t>T03425</t>
  </si>
  <si>
    <t>T03426</t>
  </si>
  <si>
    <t>T03427</t>
  </si>
  <si>
    <t>T03428</t>
  </si>
  <si>
    <t>T03429</t>
  </si>
  <si>
    <t>T03430</t>
  </si>
  <si>
    <t>T03431</t>
  </si>
  <si>
    <t>T03432</t>
  </si>
  <si>
    <t>T03433</t>
  </si>
  <si>
    <t>T03434</t>
  </si>
  <si>
    <t>T03435</t>
  </si>
  <si>
    <t>T03436</t>
  </si>
  <si>
    <t>T03437</t>
  </si>
  <si>
    <t>T03438</t>
  </si>
  <si>
    <t>T03439</t>
  </si>
  <si>
    <t>T03440</t>
  </si>
  <si>
    <t>T03441</t>
  </si>
  <si>
    <t>T03442</t>
  </si>
  <si>
    <t>T03443</t>
  </si>
  <si>
    <t>T03444</t>
  </si>
  <si>
    <t>T03445</t>
  </si>
  <si>
    <t>T03446</t>
  </si>
  <si>
    <t>T03447</t>
  </si>
  <si>
    <t>T03448</t>
  </si>
  <si>
    <t>T03449</t>
  </si>
  <si>
    <t>T03450</t>
  </si>
  <si>
    <t>T03451</t>
  </si>
  <si>
    <t>T03452</t>
  </si>
  <si>
    <t>T03453</t>
  </si>
  <si>
    <t>T03454</t>
  </si>
  <si>
    <t>T03455</t>
  </si>
  <si>
    <t>T03456</t>
  </si>
  <si>
    <t>T03457</t>
  </si>
  <si>
    <t>T03458</t>
  </si>
  <si>
    <t>T03459</t>
  </si>
  <si>
    <t>T03460</t>
  </si>
  <si>
    <t>T03461</t>
  </si>
  <si>
    <t>T03462</t>
  </si>
  <si>
    <t>T03463</t>
  </si>
  <si>
    <t>T03464</t>
  </si>
  <si>
    <t>T03465</t>
  </si>
  <si>
    <t>T03466</t>
  </si>
  <si>
    <t>T03467</t>
  </si>
  <si>
    <t>T03468</t>
  </si>
  <si>
    <t>T03469</t>
  </si>
  <si>
    <t>T03470</t>
  </si>
  <si>
    <t>T03471</t>
  </si>
  <si>
    <t>T03472</t>
  </si>
  <si>
    <t>T03473</t>
  </si>
  <si>
    <t>T03474</t>
  </si>
  <si>
    <t>T03475</t>
  </si>
  <si>
    <t>T03476</t>
  </si>
  <si>
    <t>T03477</t>
  </si>
  <si>
    <t>T03478</t>
  </si>
  <si>
    <t>T03479</t>
  </si>
  <si>
    <t>T03480</t>
  </si>
  <si>
    <t>T03481</t>
  </si>
  <si>
    <t>T03482</t>
  </si>
  <si>
    <t>T03483</t>
  </si>
  <si>
    <t>T03484</t>
  </si>
  <si>
    <t>T03485</t>
  </si>
  <si>
    <t>T03486</t>
  </si>
  <si>
    <t>T03487</t>
  </si>
  <si>
    <t>T03488</t>
  </si>
  <si>
    <t>T03489</t>
  </si>
  <si>
    <t>T03490</t>
  </si>
  <si>
    <t>T03491</t>
  </si>
  <si>
    <t>T03492</t>
  </si>
  <si>
    <t>T03493</t>
  </si>
  <si>
    <t>T03494</t>
  </si>
  <si>
    <t>T03495</t>
  </si>
  <si>
    <t>T03496</t>
  </si>
  <si>
    <t>T03497</t>
  </si>
  <si>
    <t>T03498</t>
  </si>
  <si>
    <t>T03499</t>
  </si>
  <si>
    <t>T03500</t>
  </si>
  <si>
    <t>T03501</t>
  </si>
  <si>
    <t>T03502</t>
  </si>
  <si>
    <t>T03503</t>
  </si>
  <si>
    <t>T03504</t>
  </si>
  <si>
    <t>T03505</t>
  </si>
  <si>
    <t>T03506</t>
  </si>
  <si>
    <t>T03507</t>
  </si>
  <si>
    <t>T03508</t>
  </si>
  <si>
    <t>T03509</t>
  </si>
  <si>
    <t>T03510</t>
  </si>
  <si>
    <t>T03511</t>
  </si>
  <si>
    <t>T03512</t>
  </si>
  <si>
    <t>T03513</t>
  </si>
  <si>
    <t>T03514</t>
  </si>
  <si>
    <t>T03515</t>
  </si>
  <si>
    <t>T03516</t>
  </si>
  <si>
    <t>T03517</t>
  </si>
  <si>
    <t>T03518</t>
  </si>
  <si>
    <t>T03519</t>
  </si>
  <si>
    <t>T03520</t>
  </si>
  <si>
    <t>T03521</t>
  </si>
  <si>
    <t>T03522</t>
  </si>
  <si>
    <t>T03523</t>
  </si>
  <si>
    <t>T03524</t>
  </si>
  <si>
    <t>T03525</t>
  </si>
  <si>
    <t>T03526</t>
  </si>
  <si>
    <t>T03527</t>
  </si>
  <si>
    <t>T03528</t>
  </si>
  <si>
    <t>T03529</t>
  </si>
  <si>
    <t>T03530</t>
  </si>
  <si>
    <t>T03531</t>
  </si>
  <si>
    <t>T03532</t>
  </si>
  <si>
    <t>T03533</t>
  </si>
  <si>
    <t>T03534</t>
  </si>
  <si>
    <t>T03535</t>
  </si>
  <si>
    <t>T03536</t>
  </si>
  <si>
    <t>T03537</t>
  </si>
  <si>
    <t>T03538</t>
  </si>
  <si>
    <t>T03539</t>
  </si>
  <si>
    <t>T03540</t>
  </si>
  <si>
    <t>T03541</t>
  </si>
  <si>
    <t>T03542</t>
  </si>
  <si>
    <t>T03543</t>
  </si>
  <si>
    <t>T03544</t>
  </si>
  <si>
    <t>T03545</t>
  </si>
  <si>
    <t>T03546</t>
  </si>
  <si>
    <t>T03547</t>
  </si>
  <si>
    <t>T03548</t>
  </si>
  <si>
    <t>T03549</t>
  </si>
  <si>
    <t>T03550</t>
  </si>
  <si>
    <t>T03551</t>
  </si>
  <si>
    <t>T03552</t>
  </si>
  <si>
    <t>T03553</t>
  </si>
  <si>
    <t>T03554</t>
  </si>
  <si>
    <t>T03555</t>
  </si>
  <si>
    <t>T03556</t>
  </si>
  <si>
    <t>T03557</t>
  </si>
  <si>
    <t>T03558</t>
  </si>
  <si>
    <t>T03559</t>
  </si>
  <si>
    <t>T03560</t>
  </si>
  <si>
    <t>T03561</t>
  </si>
  <si>
    <t>T03562</t>
  </si>
  <si>
    <t>T03563</t>
  </si>
  <si>
    <t>T03564</t>
  </si>
  <si>
    <t>T03565</t>
  </si>
  <si>
    <t>T03566</t>
  </si>
  <si>
    <t>T03567</t>
  </si>
  <si>
    <t>T03568</t>
  </si>
  <si>
    <t>T03569</t>
  </si>
  <si>
    <t>T03570</t>
  </si>
  <si>
    <t>T03571</t>
  </si>
  <si>
    <t>T03572</t>
  </si>
  <si>
    <t>T03573</t>
  </si>
  <si>
    <t>T03574</t>
  </si>
  <si>
    <t>T03575</t>
  </si>
  <si>
    <t>T03576</t>
  </si>
  <si>
    <t>T03577</t>
  </si>
  <si>
    <t>T03578</t>
  </si>
  <si>
    <t>T03579</t>
  </si>
  <si>
    <t>T03580</t>
  </si>
  <si>
    <t>T03581</t>
  </si>
  <si>
    <t>T03582</t>
  </si>
  <si>
    <t>T03583</t>
  </si>
  <si>
    <t>T03584</t>
  </si>
  <si>
    <t>T03585</t>
  </si>
  <si>
    <t>T03586</t>
  </si>
  <si>
    <t>T03587</t>
  </si>
  <si>
    <t>T03588</t>
  </si>
  <si>
    <t>T03589</t>
  </si>
  <si>
    <t>T03590</t>
  </si>
  <si>
    <t>T03591</t>
  </si>
  <si>
    <t>T03592</t>
  </si>
  <si>
    <t>T03593</t>
  </si>
  <si>
    <t>T03594</t>
  </si>
  <si>
    <t>T03595</t>
  </si>
  <si>
    <t>T03596</t>
  </si>
  <si>
    <t>T03597</t>
  </si>
  <si>
    <t>T03598</t>
  </si>
  <si>
    <t>T03599</t>
  </si>
  <si>
    <t>T03600</t>
  </si>
  <si>
    <t>T03601</t>
  </si>
  <si>
    <t>T03602</t>
  </si>
  <si>
    <t>T03603</t>
  </si>
  <si>
    <t>T03604</t>
  </si>
  <si>
    <t>T03605</t>
  </si>
  <si>
    <t>T03606</t>
  </si>
  <si>
    <t>BranchFilterList</t>
  </si>
  <si>
    <t>BranchHighlightList</t>
  </si>
  <si>
    <t>HOME - KPI</t>
  </si>
  <si>
    <t>Total Customers (filtered)</t>
  </si>
  <si>
    <t>Total Loan Amount (filtered)</t>
  </si>
  <si>
    <t>Total Transactions (filtered)</t>
  </si>
  <si>
    <t>Avg Repayment Rate % (filtered)</t>
  </si>
  <si>
    <t>Top Branch (unfiltered, by loan amount)</t>
  </si>
  <si>
    <t>HOME - Customers by Branch (unfiltered)</t>
  </si>
  <si>
    <t>HOME - Loan Mix by Type (unfiltered)</t>
  </si>
  <si>
    <t>CUSTOMER - KPI</t>
  </si>
  <si>
    <t>Total Customers</t>
  </si>
  <si>
    <t>Avg Age</t>
  </si>
  <si>
    <t>Avg Monthly Income</t>
  </si>
  <si>
    <t>CUSTOMER - Age Distribution</t>
  </si>
  <si>
    <t>21-30</t>
  </si>
  <si>
    <t>31-40</t>
  </si>
  <si>
    <t>41-50</t>
  </si>
  <si>
    <t>51-60</t>
  </si>
  <si>
    <t>61-70</t>
  </si>
  <si>
    <t>CUSTOMER - Gender Split</t>
  </si>
  <si>
    <t>CUSTOMER - Occupation Breakdown</t>
  </si>
  <si>
    <t>CUSTOMER - Income Segment</t>
  </si>
  <si>
    <t>Low (&lt;25k)</t>
  </si>
  <si>
    <t>Mid (25k-50k)</t>
  </si>
  <si>
    <t>High (50k-1L)</t>
  </si>
  <si>
    <t>Premium (&gt;1L)</t>
  </si>
  <si>
    <t>TRANSACTION - KPI</t>
  </si>
  <si>
    <t>Total Transactions</t>
  </si>
  <si>
    <t>Total Value</t>
  </si>
  <si>
    <t>Avg Value</t>
  </si>
  <si>
    <t>TRANSACTION - Monthly Trend</t>
  </si>
  <si>
    <t>2025-09</t>
  </si>
  <si>
    <t>2025-10</t>
  </si>
  <si>
    <t>2025-11</t>
  </si>
  <si>
    <t>2025-12</t>
  </si>
  <si>
    <t>2026-01</t>
  </si>
  <si>
    <t>2026-02</t>
  </si>
  <si>
    <t>2026-03</t>
  </si>
  <si>
    <t>2026-04</t>
  </si>
  <si>
    <t>2026-05</t>
  </si>
  <si>
    <t>2026-06</t>
  </si>
  <si>
    <t>2026-07</t>
  </si>
  <si>
    <t>2026-08</t>
  </si>
  <si>
    <t>TRANSACTION - Type Breakdown (count)</t>
  </si>
  <si>
    <t>LOAN - KPI</t>
  </si>
  <si>
    <t>Total Loans</t>
  </si>
  <si>
    <t>Total Loan Amount</t>
  </si>
  <si>
    <t>Avg Loan Amount</t>
  </si>
  <si>
    <t>Avg Interest Rate</t>
  </si>
  <si>
    <t>LOAN - By Type (amount, count, rate)</t>
  </si>
  <si>
    <t>LOAN - Status Breakdown</t>
  </si>
  <si>
    <t>EMI - KPI</t>
  </si>
  <si>
    <t>Avg Repayment Rate %</t>
  </si>
  <si>
    <t>Loans Overdue (3+ missed)</t>
  </si>
  <si>
    <t>Total EMI Collected (est.)</t>
  </si>
  <si>
    <t>On-time Loans % (0 missed)</t>
  </si>
  <si>
    <t>EMI - Avg EMI &amp; Repayment Rate by Type</t>
  </si>
  <si>
    <t>EMI - Missed EMI Distribution</t>
  </si>
  <si>
    <t>0 Missed</t>
  </si>
  <si>
    <t>1 Missed</t>
  </si>
  <si>
    <t>2 Missed</t>
  </si>
  <si>
    <t>3+ Missed</t>
  </si>
  <si>
    <t>EMI - Paid vs Missed (sum)</t>
  </si>
  <si>
    <t>EMIs Paid</t>
  </si>
  <si>
    <t>EMIs Missed</t>
  </si>
  <si>
    <t>BRANCHPERF - per branch (unfiltered, for comparison charts)</t>
  </si>
  <si>
    <t>BRANCHPERF - Selected Branch KPI</t>
  </si>
  <si>
    <t>Selected Customers</t>
  </si>
  <si>
    <t>Selected Loan Amount</t>
  </si>
  <si>
    <t>Selected Txn Value</t>
  </si>
  <si>
    <t>Selected Repay Rate</t>
  </si>
  <si>
    <t>BANK — ANALYTICS DASHBOARD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</si>
</sst>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24"/>
      <color rgb="FFFFFFFF"/>
      <name val="Calibri"/>
    </font>
    <font>
      <i/>
      <sz val="10"/>
      <color rgb="FF7C8B9B"/>
      <name val="Calibri"/>
    </font>
    <font>
      <b/>
      <sz val="11"/>
      <color rgb="FFFFFFFF"/>
      <name val="Calibri"/>
    </font>
    <font>
      <b/>
      <sz val="9.5"/>
      <color rgb="FF1F3B57"/>
      <name val="Calibri"/>
    </font>
    <font>
      <b/>
      <sz val="12"/>
      <color rgb="FF1F3B57"/>
      <name val="Calibri"/>
    </font>
    <font>
      <i/>
      <sz val="9"/>
      <color rgb="FF1F2937"/>
      <name val="Calibri"/>
    </font>
    <font>
      <b/>
      <sz val="17"/>
      <color rgb="FFFFFFFF"/>
      <name val="Calibri"/>
    </font>
    <font>
      <b/>
      <sz val="9"/>
      <color rgb="FFFFFFFF"/>
      <name val="Calibri"/>
    </font>
    <font>
      <b/>
      <sz val="13"/>
      <color rgb="FF1F3B57"/>
      <name val="Calibri"/>
    </font>
    <font>
      <b/>
      <u/>
      <sz val="10"/>
      <color rgb="FFC9A227"/>
      <name val="Calibri"/>
    </font>
    <font>
      <sz val="11"/>
      <color theme="1"/>
      <name val="Calibri"/>
      <family val="2"/>
      <scheme val="minor"/>
    </font>
    <font>
      <b/>
      <sz val="18"/>
      <color rgb="FFFFFFFF"/>
      <name val="Calibri"/>
      <family val="2"/>
    </font>
    <font>
      <sz val="18"/>
      <color theme="1"/>
      <name val="Calibri"/>
      <family val="2"/>
      <scheme val="minor"/>
    </font>
    <font>
      <b/>
      <sz val="18"/>
      <color rgb="FF1F3B57"/>
      <name val="Calibri"/>
      <family val="2"/>
    </font>
    <font>
      <sz val="18"/>
      <color rgb="FFE7ECF2"/>
      <name val="Calibri"/>
      <family val="2"/>
    </font>
    <font>
      <b/>
      <u/>
      <sz val="18"/>
      <color rgb="FFC9A227"/>
      <name val="Calibri"/>
      <family val="2"/>
    </font>
    <font>
      <b/>
      <sz val="36"/>
      <color rgb="FFFFFFFF"/>
      <name val="Calibri"/>
      <family val="2"/>
    </font>
    <font>
      <sz val="36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rgb="FF1F3B57"/>
      <name val="Calibri"/>
      <family val="2"/>
    </font>
    <font>
      <sz val="18"/>
      <color rgb="FF7C8B9B"/>
      <name val="Calibri"/>
      <family val="2"/>
    </font>
    <font>
      <b/>
      <sz val="26"/>
      <color rgb="FFFFFFFF"/>
      <name val="Calibri"/>
      <family val="2"/>
    </font>
    <font>
      <sz val="26"/>
      <color theme="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1F3B57"/>
      </patternFill>
    </fill>
    <fill>
      <patternFill patternType="solid">
        <fgColor rgb="FFC9A227"/>
      </patternFill>
    </fill>
    <fill>
      <patternFill patternType="solid">
        <fgColor rgb="FFFFFFFF"/>
      </patternFill>
    </fill>
    <fill>
      <patternFill patternType="solid">
        <fgColor rgb="FFF4F6F8"/>
      </patternFill>
    </fill>
    <fill>
      <patternFill patternType="solid">
        <fgColor rgb="FF2E8B8B"/>
      </patternFill>
    </fill>
    <fill>
      <patternFill patternType="solid">
        <fgColor rgb="FF7B2D3E"/>
      </patternFill>
    </fill>
    <fill>
      <patternFill patternType="solid">
        <fgColor rgb="FF7C8B9B"/>
      </patternFill>
    </fill>
    <fill>
      <patternFill patternType="solid">
        <fgColor rgb="FF162A3F"/>
      </patternFill>
    </fill>
    <fill>
      <patternFill patternType="solid">
        <fgColor theme="0"/>
        <bgColor indexed="64"/>
      </patternFill>
    </fill>
    <fill>
      <patternFill patternType="solid">
        <fgColor theme="9" tint="0.39997558519241921"/>
        <bgColor indexed="64"/>
      </patternFill>
    </fill>
  </fills>
  <borders count="6">
    <border>
      <left/>
      <right/>
      <top/>
      <bottom/>
      <diagonal/>
    </border>
    <border>
      <left style="medium">
        <color rgb="FFC9A227"/>
      </left>
      <right style="medium">
        <color rgb="FFC9A227"/>
      </right>
      <top style="medium">
        <color rgb="FFC9A227"/>
      </top>
      <bottom style="medium">
        <color rgb="FFC9A227"/>
      </bottom>
      <diagonal/>
    </border>
    <border>
      <left/>
      <right/>
      <top style="thick">
        <color rgb="FFC9A227"/>
      </top>
      <bottom/>
      <diagonal/>
    </border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2" fillId="0" borderId="0" applyFont="0" applyFill="0" applyBorder="0" applyAlignment="0" applyProtection="0"/>
  </cellStyleXfs>
  <cellXfs count="60">
    <xf numFmtId="0" fontId="0" fillId="0" borderId="0" xfId="0"/>
    <xf numFmtId="0" fontId="0" fillId="5" borderId="0" xfId="0" applyFill="1"/>
    <xf numFmtId="0" fontId="1" fillId="2" borderId="0" xfId="0" applyFont="1" applyFill="1"/>
    <xf numFmtId="0" fontId="14" fillId="0" borderId="0" xfId="0" applyFont="1"/>
    <xf numFmtId="0" fontId="14" fillId="5" borderId="3" xfId="0" applyFont="1" applyFill="1" applyBorder="1" applyAlignment="1">
      <alignment horizontal="center"/>
    </xf>
    <xf numFmtId="0" fontId="15" fillId="0" borderId="0" xfId="0" applyFont="1" applyAlignment="1">
      <alignment horizontal="left" vertical="center" wrapText="1"/>
    </xf>
    <xf numFmtId="0" fontId="14" fillId="0" borderId="0" xfId="0" applyFont="1"/>
    <xf numFmtId="0" fontId="13" fillId="6" borderId="4" xfId="0" applyFont="1" applyFill="1" applyBorder="1" applyAlignment="1">
      <alignment horizontal="center" vertical="center" wrapText="1"/>
    </xf>
    <xf numFmtId="0" fontId="14" fillId="0" borderId="4" xfId="0" applyFont="1" applyBorder="1"/>
    <xf numFmtId="0" fontId="13" fillId="8" borderId="4" xfId="0" applyFont="1" applyFill="1" applyBorder="1" applyAlignment="1">
      <alignment horizontal="center" vertical="center" wrapText="1"/>
    </xf>
    <xf numFmtId="0" fontId="18" fillId="2" borderId="0" xfId="0" applyFont="1" applyFill="1" applyAlignment="1">
      <alignment horizontal="center" vertical="center" wrapText="1"/>
    </xf>
    <xf numFmtId="0" fontId="19" fillId="2" borderId="0" xfId="0" applyFont="1" applyFill="1"/>
    <xf numFmtId="0" fontId="15" fillId="4" borderId="0" xfId="0" applyFont="1" applyFill="1" applyAlignment="1">
      <alignment horizontal="center" vertical="center"/>
    </xf>
    <xf numFmtId="0" fontId="13" fillId="7" borderId="5" xfId="0" applyFont="1" applyFill="1" applyBorder="1" applyAlignment="1">
      <alignment horizontal="center" vertical="center" wrapText="1"/>
    </xf>
    <xf numFmtId="0" fontId="14" fillId="0" borderId="5" xfId="0" applyFont="1" applyBorder="1"/>
    <xf numFmtId="0" fontId="13" fillId="2" borderId="4" xfId="0" applyFont="1" applyFill="1" applyBorder="1" applyAlignment="1">
      <alignment horizontal="center" vertical="center" wrapText="1"/>
    </xf>
    <xf numFmtId="0" fontId="16" fillId="6" borderId="4" xfId="0" applyFont="1" applyFill="1" applyBorder="1" applyAlignment="1">
      <alignment horizontal="center" vertical="center" wrapText="1"/>
    </xf>
    <xf numFmtId="0" fontId="17" fillId="9" borderId="4" xfId="0" applyFont="1" applyFill="1" applyBorder="1" applyAlignment="1">
      <alignment horizontal="center" vertical="center" wrapText="1"/>
    </xf>
    <xf numFmtId="0" fontId="13" fillId="6" borderId="5" xfId="0" applyFont="1" applyFill="1" applyBorder="1" applyAlignment="1">
      <alignment horizontal="center" vertical="center" wrapText="1"/>
    </xf>
    <xf numFmtId="0" fontId="13" fillId="2" borderId="5" xfId="0" applyFont="1" applyFill="1" applyBorder="1" applyAlignment="1">
      <alignment horizontal="center" vertical="center" wrapText="1"/>
    </xf>
    <xf numFmtId="0" fontId="22" fillId="0" borderId="0" xfId="0" applyFont="1" applyAlignment="1">
      <alignment horizontal="center" vertical="center" wrapText="1"/>
    </xf>
    <xf numFmtId="0" fontId="13" fillId="8" borderId="5" xfId="0" applyFont="1" applyFill="1" applyBorder="1" applyAlignment="1">
      <alignment horizontal="center" vertical="center" wrapText="1"/>
    </xf>
    <xf numFmtId="0" fontId="16" fillId="2" borderId="4" xfId="0" applyFont="1" applyFill="1" applyBorder="1" applyAlignment="1">
      <alignment horizontal="center" vertical="center" wrapText="1"/>
    </xf>
    <xf numFmtId="0" fontId="13" fillId="3" borderId="0" xfId="0" applyFont="1" applyFill="1" applyAlignment="1">
      <alignment horizontal="center" vertical="center" wrapText="1"/>
    </xf>
    <xf numFmtId="0" fontId="14" fillId="3" borderId="0" xfId="0" applyFont="1" applyFill="1"/>
    <xf numFmtId="0" fontId="15" fillId="11" borderId="0" xfId="0" applyFont="1" applyFill="1" applyAlignment="1">
      <alignment horizontal="center" vertical="center" wrapText="1"/>
    </xf>
    <xf numFmtId="0" fontId="14" fillId="11" borderId="0" xfId="0" applyFont="1" applyFill="1" applyAlignment="1">
      <alignment horizontal="center"/>
    </xf>
    <xf numFmtId="9" fontId="15" fillId="10" borderId="1" xfId="1" applyFont="1" applyFill="1" applyBorder="1" applyAlignment="1">
      <alignment horizontal="center" vertical="center" wrapText="1"/>
    </xf>
    <xf numFmtId="9" fontId="14" fillId="10" borderId="0" xfId="1" applyFont="1" applyFill="1"/>
    <xf numFmtId="0" fontId="16" fillId="7" borderId="4" xfId="0" applyFont="1" applyFill="1" applyBorder="1" applyAlignment="1">
      <alignment horizontal="center" vertical="center" wrapText="1"/>
    </xf>
    <xf numFmtId="0" fontId="13" fillId="7" borderId="4" xfId="0" applyFont="1" applyFill="1" applyBorder="1" applyAlignment="1">
      <alignment horizontal="center" vertical="center" wrapText="1"/>
    </xf>
    <xf numFmtId="0" fontId="16" fillId="8" borderId="4" xfId="0" applyFont="1" applyFill="1" applyBorder="1" applyAlignment="1">
      <alignment horizontal="center" vertical="center" wrapText="1"/>
    </xf>
    <xf numFmtId="0" fontId="8" fillId="2" borderId="2" xfId="0" applyFont="1" applyFill="1" applyBorder="1" applyAlignment="1">
      <alignment horizontal="center" vertical="center" wrapText="1"/>
    </xf>
    <xf numFmtId="0" fontId="0" fillId="0" borderId="2" xfId="0" applyBorder="1"/>
    <xf numFmtId="0" fontId="0" fillId="0" borderId="3" xfId="0" applyBorder="1"/>
    <xf numFmtId="0" fontId="11" fillId="9" borderId="0" xfId="0" applyFont="1" applyFill="1" applyAlignment="1">
      <alignment horizontal="center" vertical="center" wrapText="1"/>
    </xf>
    <xf numFmtId="0" fontId="0" fillId="0" borderId="0" xfId="0"/>
    <xf numFmtId="0" fontId="10" fillId="11" borderId="0" xfId="0" applyFont="1" applyFill="1" applyAlignment="1">
      <alignment horizontal="left" vertical="center" wrapText="1"/>
    </xf>
    <xf numFmtId="0" fontId="0" fillId="11" borderId="0" xfId="0" applyFill="1"/>
    <xf numFmtId="0" fontId="23" fillId="2" borderId="0" xfId="0" applyFont="1" applyFill="1" applyAlignment="1">
      <alignment horizontal="center" vertical="center" wrapText="1"/>
    </xf>
    <xf numFmtId="0" fontId="24" fillId="2" borderId="0" xfId="0" applyFont="1" applyFill="1"/>
    <xf numFmtId="0" fontId="9" fillId="2" borderId="3" xfId="0" applyFont="1" applyFill="1" applyBorder="1" applyAlignment="1">
      <alignment horizontal="center" vertical="center" wrapText="1"/>
    </xf>
    <xf numFmtId="0" fontId="9" fillId="6" borderId="3" xfId="0" applyFont="1" applyFill="1" applyBorder="1" applyAlignment="1">
      <alignment horizontal="center" vertical="center" wrapText="1"/>
    </xf>
    <xf numFmtId="0" fontId="5" fillId="4" borderId="0" xfId="0" applyFont="1" applyFill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9" fillId="7" borderId="3" xfId="0" applyFont="1" applyFill="1" applyBorder="1" applyAlignment="1">
      <alignment horizontal="center" vertical="center" wrapText="1"/>
    </xf>
    <xf numFmtId="0" fontId="21" fillId="3" borderId="2" xfId="0" applyFont="1" applyFill="1" applyBorder="1" applyAlignment="1">
      <alignment horizontal="center" vertical="center" wrapText="1"/>
    </xf>
    <xf numFmtId="0" fontId="20" fillId="0" borderId="2" xfId="0" applyFont="1" applyBorder="1"/>
    <xf numFmtId="0" fontId="20" fillId="0" borderId="3" xfId="0" applyFont="1" applyBorder="1"/>
    <xf numFmtId="0" fontId="8" fillId="6" borderId="2" xfId="0" applyFont="1" applyFill="1" applyBorder="1" applyAlignment="1">
      <alignment horizontal="center" vertical="center" wrapText="1"/>
    </xf>
    <xf numFmtId="0" fontId="4" fillId="3" borderId="0" xfId="0" applyFont="1" applyFill="1" applyAlignment="1">
      <alignment horizontal="center" vertical="center" wrapText="1"/>
    </xf>
    <xf numFmtId="0" fontId="0" fillId="3" borderId="0" xfId="0" applyFill="1"/>
    <xf numFmtId="0" fontId="8" fillId="7" borderId="2" xfId="0" applyFont="1" applyFill="1" applyBorder="1" applyAlignment="1">
      <alignment horizontal="center" vertical="center" wrapText="1"/>
    </xf>
    <xf numFmtId="0" fontId="7" fillId="5" borderId="0" xfId="0" applyFont="1" applyFill="1" applyAlignment="1">
      <alignment horizontal="left" vertical="center" wrapText="1"/>
    </xf>
    <xf numFmtId="0" fontId="9" fillId="4" borderId="3" xfId="0" applyFont="1" applyFill="1" applyBorder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0" fillId="2" borderId="0" xfId="0" applyFill="1"/>
    <xf numFmtId="0" fontId="8" fillId="8" borderId="2" xfId="0" applyFont="1" applyFill="1" applyBorder="1" applyAlignment="1">
      <alignment horizontal="center" vertical="center" wrapText="1"/>
    </xf>
    <xf numFmtId="0" fontId="9" fillId="8" borderId="3" xfId="0" applyFont="1" applyFill="1" applyBorder="1" applyAlignment="1">
      <alignment horizontal="center" vertical="center" wrapText="1"/>
    </xf>
  </cellXfs>
  <cellStyles count="2">
    <cellStyle name="Normal" xfId="0" builtinId="0"/>
    <cellStyle name="Percent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Customers by Branch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spPr>
            <a:solidFill>
              <a:srgbClr val="1F3B57"/>
            </a:solidFill>
            <a:ln>
              <a:prstDash val="solid"/>
            </a:ln>
          </c:spPr>
          <c:invertIfNegative val="1"/>
          <c:dPt>
            <c:idx val="0"/>
            <c:invertIfNegative val="1"/>
            <c:bubble3D val="0"/>
            <c:extLst>
              <c:ext xmlns:c16="http://schemas.microsoft.com/office/drawing/2014/chart" uri="{C3380CC4-5D6E-409C-BE32-E72D297353CC}">
                <c16:uniqueId val="{00000000-24A7-4DF3-ADD8-ECF5A948A4DB}"/>
              </c:ext>
            </c:extLst>
          </c:dPt>
          <c:dPt>
            <c:idx val="1"/>
            <c:invertIfNegative val="1"/>
            <c:bubble3D val="0"/>
            <c:spPr>
              <a:solidFill>
                <a:srgbClr val="C9A227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2-24A7-4DF3-ADD8-ECF5A948A4DB}"/>
              </c:ext>
            </c:extLst>
          </c:dPt>
          <c:dPt>
            <c:idx val="2"/>
            <c:invertIfNegative val="1"/>
            <c:bubble3D val="0"/>
            <c:spPr>
              <a:solidFill>
                <a:srgbClr val="2E8B8B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4-24A7-4DF3-ADD8-ECF5A948A4DB}"/>
              </c:ext>
            </c:extLst>
          </c:dPt>
          <c:dPt>
            <c:idx val="3"/>
            <c:invertIfNegative val="1"/>
            <c:bubble3D val="0"/>
            <c:spPr>
              <a:solidFill>
                <a:srgbClr val="7B2D3E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6-24A7-4DF3-ADD8-ECF5A948A4DB}"/>
              </c:ext>
            </c:extLst>
          </c:dPt>
          <c:dPt>
            <c:idx val="4"/>
            <c:invertIfNegative val="1"/>
            <c:bubble3D val="0"/>
            <c:spPr>
              <a:solidFill>
                <a:srgbClr val="7C8B9B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8-24A7-4DF3-ADD8-ECF5A948A4DB}"/>
              </c:ext>
            </c:extLst>
          </c:dPt>
          <c:cat>
            <c:strRef>
              <c:f>Calc!$A$191:$A$195</c:f>
              <c:strCache>
                <c:ptCount val="5"/>
                <c:pt idx="0">
                  <c:v>Agra Sadar Branch</c:v>
                </c:pt>
                <c:pt idx="1">
                  <c:v>Kanpur Civil Lines Branch</c:v>
                </c:pt>
                <c:pt idx="2">
                  <c:v>Lucknow City Branch</c:v>
                </c:pt>
                <c:pt idx="3">
                  <c:v>Meerut Cantt Branch</c:v>
                </c:pt>
                <c:pt idx="4">
                  <c:v>Noida Sector 18 Branch</c:v>
                </c:pt>
              </c:strCache>
            </c:strRef>
          </c:cat>
          <c:val>
            <c:numRef>
              <c:f>Calc!$B$191:$B$195</c:f>
              <c:numCache>
                <c:formatCode>General</c:formatCode>
                <c:ptCount val="5"/>
                <c:pt idx="0">
                  <c:v>77</c:v>
                </c:pt>
                <c:pt idx="1">
                  <c:v>68</c:v>
                </c:pt>
                <c:pt idx="2">
                  <c:v>80</c:v>
                </c:pt>
                <c:pt idx="3">
                  <c:v>74</c:v>
                </c:pt>
                <c:pt idx="4">
                  <c:v>101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9-24A7-4DF3-ADD8-ECF5A948A4D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0"/>
        <c:axId val="10"/>
        <c:axId val="100"/>
      </c:barChart>
      <c:catAx>
        <c:axId val="1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Age Distribution</a:t>
            </a:r>
          </a:p>
        </c:rich>
      </c:tx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invertIfNegative val="1"/>
          <c:dPt>
            <c:idx val="0"/>
            <c:invertIfNegative val="1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3A03-4FBD-A5EC-607BA86D9B10}"/>
              </c:ext>
            </c:extLst>
          </c:dPt>
          <c:dPt>
            <c:idx val="1"/>
            <c:invertIfNegative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3A03-4FBD-A5EC-607BA86D9B10}"/>
              </c:ext>
            </c:extLst>
          </c:dPt>
          <c:dPt>
            <c:idx val="2"/>
            <c:invertIfNegative val="1"/>
            <c:bubble3D val="0"/>
            <c:spPr>
              <a:solidFill>
                <a:schemeClr val="accent3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3A03-4FBD-A5EC-607BA86D9B10}"/>
              </c:ext>
            </c:extLst>
          </c:dPt>
          <c:dPt>
            <c:idx val="3"/>
            <c:invertIfNegative val="1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3A03-4FBD-A5EC-607BA86D9B10}"/>
              </c:ext>
            </c:extLst>
          </c:dPt>
          <c:dPt>
            <c:idx val="4"/>
            <c:invertIfNegative val="1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3A03-4FBD-A5EC-607BA86D9B10}"/>
              </c:ext>
            </c:extLst>
          </c:dPt>
          <c:cat>
            <c:strRef>
              <c:f>Calc!$A$37:$A$41</c:f>
              <c:strCache>
                <c:ptCount val="5"/>
                <c:pt idx="0">
                  <c:v>21-30</c:v>
                </c:pt>
                <c:pt idx="1">
                  <c:v>31-40</c:v>
                </c:pt>
                <c:pt idx="2">
                  <c:v>41-50</c:v>
                </c:pt>
                <c:pt idx="3">
                  <c:v>51-60</c:v>
                </c:pt>
                <c:pt idx="4">
                  <c:v>61-70</c:v>
                </c:pt>
              </c:strCache>
            </c:strRef>
          </c:cat>
          <c:val>
            <c:numRef>
              <c:f>Calc!$B$37:$B$41</c:f>
              <c:numCache>
                <c:formatCode>General</c:formatCode>
                <c:ptCount val="5"/>
                <c:pt idx="0">
                  <c:v>22</c:v>
                </c:pt>
                <c:pt idx="1">
                  <c:v>27</c:v>
                </c:pt>
                <c:pt idx="2">
                  <c:v>24</c:v>
                </c:pt>
                <c:pt idx="3">
                  <c:v>3</c:v>
                </c:pt>
                <c:pt idx="4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7A8-4527-A558-CAB25B9DFAA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"/>
        <c:axId val="100"/>
      </c:bar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1"/>
  </c:chart>
  <c:spPr>
    <a:solidFill>
      <a:schemeClr val="accent3">
        <a:lumMod val="40000"/>
        <a:lumOff val="6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Gender Split</a:t>
            </a:r>
          </a:p>
        </c:rich>
      </c:tx>
      <c:overlay val="1"/>
    </c:title>
    <c:autoTitleDeleted val="0"/>
    <c:plotArea>
      <c:layout/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1F3B57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9A3E-4697-9F68-54048777A2EB}"/>
              </c:ext>
            </c:extLst>
          </c:dPt>
          <c:dPt>
            <c:idx val="1"/>
            <c:bubble3D val="0"/>
            <c:spPr>
              <a:solidFill>
                <a:srgbClr val="C9A227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9A3E-4697-9F68-54048777A2EB}"/>
              </c:ext>
            </c:extLst>
          </c:dPt>
          <c:dLbls>
            <c:dLbl>
              <c:idx val="0"/>
              <c:layout>
                <c:manualLayout>
                  <c:x val="-0.17845804398148149"/>
                  <c:y val="-5.3426051051051054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>
                      <a:solidFill>
                        <a:schemeClr val="bg1"/>
                      </a:solidFill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1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9A3E-4697-9F68-54048777A2EB}"/>
                </c:ext>
              </c:extLst>
            </c:dLbl>
            <c:dLbl>
              <c:idx val="1"/>
              <c:layout>
                <c:manualLayout>
                  <c:x val="0.20187876157407408"/>
                  <c:y val="1.3816441441441441E-2"/>
                </c:manualLayout>
              </c:layout>
              <c:showLegendKey val="0"/>
              <c:showVal val="0"/>
              <c:showCatName val="0"/>
              <c:showSerName val="0"/>
              <c:showPercent val="1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9A3E-4697-9F68-54048777A2EB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Calc!$A$45:$A$46</c:f>
              <c:strCache>
                <c:ptCount val="2"/>
                <c:pt idx="0">
                  <c:v>Male</c:v>
                </c:pt>
                <c:pt idx="1">
                  <c:v>Female</c:v>
                </c:pt>
              </c:strCache>
            </c:strRef>
          </c:cat>
          <c:val>
            <c:numRef>
              <c:f>Calc!$B$45:$B$46</c:f>
              <c:numCache>
                <c:formatCode>General</c:formatCode>
                <c:ptCount val="2"/>
                <c:pt idx="0">
                  <c:v>44</c:v>
                </c:pt>
                <c:pt idx="1">
                  <c:v>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9A3E-4697-9F68-54048777A2EB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b"/>
      <c:overlay val="1"/>
    </c:legend>
    <c:plotVisOnly val="1"/>
    <c:dispBlanksAs val="gap"/>
    <c:showDLblsOverMax val="1"/>
  </c:chart>
  <c:spPr>
    <a:solidFill>
      <a:schemeClr val="accent3">
        <a:lumMod val="40000"/>
        <a:lumOff val="60000"/>
      </a:schemeClr>
    </a:solidFill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 sz="1100"/>
            </a:pPr>
            <a:r>
              <a:rPr lang="en-US" sz="1100"/>
              <a:t>Customers by Occupation</a:t>
            </a:r>
          </a:p>
        </c:rich>
      </c:tx>
      <c:layout>
        <c:manualLayout>
          <c:xMode val="edge"/>
          <c:yMode val="edge"/>
          <c:x val="0.27410271990740742"/>
          <c:y val="4.7672672672672669E-3"/>
        </c:manualLayout>
      </c:layout>
      <c:overlay val="1"/>
    </c:title>
    <c:autoTitleDeleted val="0"/>
    <c:plotArea>
      <c:layout>
        <c:manualLayout>
          <c:layoutTarget val="inner"/>
          <c:xMode val="edge"/>
          <c:yMode val="edge"/>
          <c:x val="0.40274131944444447"/>
          <c:y val="9.5345345345345348E-2"/>
          <c:w val="0.52154021990740751"/>
          <c:h val="0.78522672672672678"/>
        </c:manualLayout>
      </c:layout>
      <c:barChart>
        <c:barDir val="bar"/>
        <c:grouping val="clustered"/>
        <c:varyColors val="1"/>
        <c:ser>
          <c:idx val="0"/>
          <c:order val="0"/>
          <c:spPr>
            <a:solidFill>
              <a:srgbClr val="1F3B57"/>
            </a:solidFill>
            <a:ln>
              <a:prstDash val="solid"/>
            </a:ln>
          </c:spPr>
          <c:invertIfNegative val="1"/>
          <c:dPt>
            <c:idx val="0"/>
            <c:invertIfNegative val="1"/>
            <c:bubble3D val="0"/>
            <c:extLst>
              <c:ext xmlns:c16="http://schemas.microsoft.com/office/drawing/2014/chart" uri="{C3380CC4-5D6E-409C-BE32-E72D297353CC}">
                <c16:uniqueId val="{00000001-85B6-401A-A511-0017242355AC}"/>
              </c:ext>
            </c:extLst>
          </c:dPt>
          <c:dPt>
            <c:idx val="1"/>
            <c:invertIfNegative val="1"/>
            <c:bubble3D val="0"/>
            <c:spPr>
              <a:solidFill>
                <a:srgbClr val="C9A227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85B6-401A-A511-0017242355AC}"/>
              </c:ext>
            </c:extLst>
          </c:dPt>
          <c:dPt>
            <c:idx val="2"/>
            <c:invertIfNegative val="1"/>
            <c:bubble3D val="0"/>
            <c:spPr>
              <a:solidFill>
                <a:srgbClr val="2E8B8B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85B6-401A-A511-0017242355AC}"/>
              </c:ext>
            </c:extLst>
          </c:dPt>
          <c:dPt>
            <c:idx val="3"/>
            <c:invertIfNegative val="1"/>
            <c:bubble3D val="0"/>
            <c:spPr>
              <a:solidFill>
                <a:srgbClr val="7B2D3E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85B6-401A-A511-0017242355AC}"/>
              </c:ext>
            </c:extLst>
          </c:dPt>
          <c:dPt>
            <c:idx val="4"/>
            <c:invertIfNegative val="1"/>
            <c:bubble3D val="0"/>
            <c:spPr>
              <a:solidFill>
                <a:srgbClr val="7C8B9B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9-85B6-401A-A511-0017242355AC}"/>
              </c:ext>
            </c:extLst>
          </c:dPt>
          <c:cat>
            <c:strRef>
              <c:f>Calc!$A$50:$A$54</c:f>
              <c:strCache>
                <c:ptCount val="5"/>
                <c:pt idx="0">
                  <c:v>Business Owner</c:v>
                </c:pt>
                <c:pt idx="1">
                  <c:v>Government Employee</c:v>
                </c:pt>
                <c:pt idx="2">
                  <c:v>Retired</c:v>
                </c:pt>
                <c:pt idx="3">
                  <c:v>Salaried</c:v>
                </c:pt>
                <c:pt idx="4">
                  <c:v>Self-Employed</c:v>
                </c:pt>
              </c:strCache>
            </c:strRef>
          </c:cat>
          <c:val>
            <c:numRef>
              <c:f>Calc!$B$50:$B$54</c:f>
              <c:numCache>
                <c:formatCode>General</c:formatCode>
                <c:ptCount val="5"/>
                <c:pt idx="0">
                  <c:v>14</c:v>
                </c:pt>
                <c:pt idx="1">
                  <c:v>15</c:v>
                </c:pt>
                <c:pt idx="2">
                  <c:v>7</c:v>
                </c:pt>
                <c:pt idx="3">
                  <c:v>23</c:v>
                </c:pt>
                <c:pt idx="4">
                  <c:v>18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A-85B6-401A-A511-0017242355A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0"/>
        <c:axId val="10"/>
        <c:axId val="100"/>
      </c:barChart>
      <c:catAx>
        <c:axId val="10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  <c:showDLblsOverMax val="1"/>
  </c:chart>
  <c:spPr>
    <a:solidFill>
      <a:schemeClr val="accent3">
        <a:lumMod val="40000"/>
        <a:lumOff val="60000"/>
      </a:schemeClr>
    </a:solidFill>
  </c:sp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 sz="1100"/>
            </a:pPr>
            <a:r>
              <a:rPr lang="en-US" sz="1100"/>
              <a:t>Customers by Income Segment</a:t>
            </a:r>
          </a:p>
        </c:rich>
      </c:tx>
      <c:layout>
        <c:manualLayout>
          <c:xMode val="edge"/>
          <c:yMode val="edge"/>
          <c:x val="0.22950028935185185"/>
          <c:y val="4.7672672672672669E-3"/>
        </c:manualLayout>
      </c:layout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spPr>
            <a:solidFill>
              <a:srgbClr val="1F3B57"/>
            </a:solidFill>
            <a:ln>
              <a:prstDash val="solid"/>
            </a:ln>
          </c:spPr>
          <c:invertIfNegative val="1"/>
          <c:dPt>
            <c:idx val="0"/>
            <c:invertIfNegative val="1"/>
            <c:bubble3D val="0"/>
            <c:extLst>
              <c:ext xmlns:c16="http://schemas.microsoft.com/office/drawing/2014/chart" uri="{C3380CC4-5D6E-409C-BE32-E72D297353CC}">
                <c16:uniqueId val="{00000001-09A7-4B26-8050-A3F07146F1DC}"/>
              </c:ext>
            </c:extLst>
          </c:dPt>
          <c:dPt>
            <c:idx val="1"/>
            <c:invertIfNegative val="1"/>
            <c:bubble3D val="0"/>
            <c:spPr>
              <a:solidFill>
                <a:srgbClr val="C9A227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09A7-4B26-8050-A3F07146F1DC}"/>
              </c:ext>
            </c:extLst>
          </c:dPt>
          <c:dPt>
            <c:idx val="2"/>
            <c:invertIfNegative val="1"/>
            <c:bubble3D val="0"/>
            <c:spPr>
              <a:solidFill>
                <a:srgbClr val="2E8B8B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09A7-4B26-8050-A3F07146F1DC}"/>
              </c:ext>
            </c:extLst>
          </c:dPt>
          <c:dPt>
            <c:idx val="3"/>
            <c:invertIfNegative val="1"/>
            <c:bubble3D val="0"/>
            <c:spPr>
              <a:solidFill>
                <a:srgbClr val="7B2D3E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09A7-4B26-8050-A3F07146F1DC}"/>
              </c:ext>
            </c:extLst>
          </c:dPt>
          <c:cat>
            <c:strRef>
              <c:f>Calc!$A$58:$A$61</c:f>
              <c:strCache>
                <c:ptCount val="4"/>
                <c:pt idx="0">
                  <c:v>Low (&lt;25k)</c:v>
                </c:pt>
                <c:pt idx="1">
                  <c:v>Mid (25k-50k)</c:v>
                </c:pt>
                <c:pt idx="2">
                  <c:v>High (50k-1L)</c:v>
                </c:pt>
                <c:pt idx="3">
                  <c:v>Premium (&gt;1L)</c:v>
                </c:pt>
              </c:strCache>
            </c:strRef>
          </c:cat>
          <c:val>
            <c:numRef>
              <c:f>Calc!$B$58:$B$61</c:f>
              <c:numCache>
                <c:formatCode>General</c:formatCode>
                <c:ptCount val="4"/>
                <c:pt idx="0">
                  <c:v>8</c:v>
                </c:pt>
                <c:pt idx="1">
                  <c:v>39</c:v>
                </c:pt>
                <c:pt idx="2">
                  <c:v>23</c:v>
                </c:pt>
                <c:pt idx="3">
                  <c:v>7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8-09A7-4B26-8050-A3F07146F1D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0"/>
        <c:axId val="10"/>
        <c:axId val="100"/>
      </c:barChart>
      <c:catAx>
        <c:axId val="1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crossAx val="10"/>
        <c:crosses val="autoZero"/>
        <c:crossBetween val="between"/>
      </c:valAx>
      <c:spPr>
        <a:solidFill>
          <a:schemeClr val="accent3">
            <a:lumMod val="40000"/>
            <a:lumOff val="60000"/>
          </a:schemeClr>
        </a:solidFill>
      </c:spPr>
    </c:plotArea>
    <c:plotVisOnly val="1"/>
    <c:dispBlanksAs val="gap"/>
    <c:showDLblsOverMax val="1"/>
  </c:chart>
  <c:spPr>
    <a:solidFill>
      <a:schemeClr val="accent3">
        <a:lumMod val="40000"/>
        <a:lumOff val="60000"/>
      </a:schemeClr>
    </a:solidFill>
  </c:sp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 sz="1100"/>
            </a:pPr>
            <a:r>
              <a:rPr lang="en-US" sz="1100"/>
              <a:t>Monthly Transaction Trend (Count)</a:t>
            </a:r>
          </a:p>
        </c:rich>
      </c:tx>
      <c:layout>
        <c:manualLayout>
          <c:xMode val="edge"/>
          <c:yMode val="edge"/>
          <c:x val="0.16764467592592591"/>
          <c:y val="6.1974474474474475E-2"/>
        </c:manualLayout>
      </c:layout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spPr>
            <a:ln w="22000">
              <a:solidFill>
                <a:srgbClr val="C9A227"/>
              </a:solidFill>
              <a:prstDash val="solid"/>
            </a:ln>
          </c:spPr>
          <c:marker>
            <c:symbol val="circle"/>
            <c:size val="5"/>
            <c:spPr>
              <a:solidFill>
                <a:srgbClr val="1F3B57"/>
              </a:solidFill>
              <a:ln>
                <a:prstDash val="solid"/>
              </a:ln>
            </c:spPr>
          </c:marker>
          <c:cat>
            <c:strRef>
              <c:f>Calc!$A$82:$A$93</c:f>
              <c:strCache>
                <c:ptCount val="12"/>
                <c:pt idx="0">
                  <c:v>2025-09</c:v>
                </c:pt>
                <c:pt idx="1">
                  <c:v>2025-10</c:v>
                </c:pt>
                <c:pt idx="2">
                  <c:v>2025-11</c:v>
                </c:pt>
                <c:pt idx="3">
                  <c:v>2025-12</c:v>
                </c:pt>
                <c:pt idx="4">
                  <c:v>2026-01</c:v>
                </c:pt>
                <c:pt idx="5">
                  <c:v>2026-02</c:v>
                </c:pt>
                <c:pt idx="6">
                  <c:v>2026-03</c:v>
                </c:pt>
                <c:pt idx="7">
                  <c:v>2026-04</c:v>
                </c:pt>
                <c:pt idx="8">
                  <c:v>2026-05</c:v>
                </c:pt>
                <c:pt idx="9">
                  <c:v>2026-06</c:v>
                </c:pt>
                <c:pt idx="10">
                  <c:v>2026-07</c:v>
                </c:pt>
                <c:pt idx="11">
                  <c:v>2026-08</c:v>
                </c:pt>
              </c:strCache>
            </c:strRef>
          </c:cat>
          <c:val>
            <c:numRef>
              <c:f>Calc!$B$82:$B$93</c:f>
              <c:numCache>
                <c:formatCode>General</c:formatCode>
                <c:ptCount val="12"/>
                <c:pt idx="0">
                  <c:v>49</c:v>
                </c:pt>
                <c:pt idx="1">
                  <c:v>49</c:v>
                </c:pt>
                <c:pt idx="2">
                  <c:v>48</c:v>
                </c:pt>
                <c:pt idx="3">
                  <c:v>48</c:v>
                </c:pt>
                <c:pt idx="4">
                  <c:v>48</c:v>
                </c:pt>
                <c:pt idx="5">
                  <c:v>33</c:v>
                </c:pt>
                <c:pt idx="6">
                  <c:v>53</c:v>
                </c:pt>
                <c:pt idx="7">
                  <c:v>56</c:v>
                </c:pt>
                <c:pt idx="8">
                  <c:v>58</c:v>
                </c:pt>
                <c:pt idx="9">
                  <c:v>68</c:v>
                </c:pt>
                <c:pt idx="10">
                  <c:v>56</c:v>
                </c:pt>
                <c:pt idx="11">
                  <c:v>37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E7C-4403-9EAF-4FD80613EFB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  <c:showDLblsOverMax val="1"/>
  </c:chart>
  <c:spPr>
    <a:solidFill>
      <a:schemeClr val="accent3">
        <a:lumMod val="40000"/>
        <a:lumOff val="60000"/>
      </a:schemeClr>
    </a:solidFill>
  </c:sp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Transaction Count by Type</a:t>
            </a:r>
          </a:p>
        </c:rich>
      </c:tx>
      <c:layout>
        <c:manualLayout>
          <c:xMode val="edge"/>
          <c:yMode val="edge"/>
          <c:x val="0.28611921296296294"/>
          <c:y val="9.5345345345345337E-3"/>
        </c:manualLayout>
      </c:layout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spPr>
            <a:solidFill>
              <a:srgbClr val="1F3B57"/>
            </a:solidFill>
            <a:ln>
              <a:prstDash val="solid"/>
            </a:ln>
          </c:spPr>
          <c:invertIfNegative val="1"/>
          <c:dPt>
            <c:idx val="0"/>
            <c:invertIfNegative val="1"/>
            <c:bubble3D val="0"/>
            <c:extLst>
              <c:ext xmlns:c16="http://schemas.microsoft.com/office/drawing/2014/chart" uri="{C3380CC4-5D6E-409C-BE32-E72D297353CC}">
                <c16:uniqueId val="{00000001-2DDD-4165-B670-92A891622F5B}"/>
              </c:ext>
            </c:extLst>
          </c:dPt>
          <c:dPt>
            <c:idx val="1"/>
            <c:invertIfNegative val="1"/>
            <c:bubble3D val="0"/>
            <c:spPr>
              <a:solidFill>
                <a:srgbClr val="C9A227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2DDD-4165-B670-92A891622F5B}"/>
              </c:ext>
            </c:extLst>
          </c:dPt>
          <c:dPt>
            <c:idx val="2"/>
            <c:invertIfNegative val="1"/>
            <c:bubble3D val="0"/>
            <c:spPr>
              <a:solidFill>
                <a:srgbClr val="2E8B8B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2DDD-4165-B670-92A891622F5B}"/>
              </c:ext>
            </c:extLst>
          </c:dPt>
          <c:dPt>
            <c:idx val="3"/>
            <c:invertIfNegative val="1"/>
            <c:bubble3D val="0"/>
            <c:spPr>
              <a:solidFill>
                <a:srgbClr val="7B2D3E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2DDD-4165-B670-92A891622F5B}"/>
              </c:ext>
            </c:extLst>
          </c:dPt>
          <c:dPt>
            <c:idx val="4"/>
            <c:invertIfNegative val="1"/>
            <c:bubble3D val="0"/>
            <c:spPr>
              <a:solidFill>
                <a:srgbClr val="7C8B9B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9-2DDD-4165-B670-92A891622F5B}"/>
              </c:ext>
            </c:extLst>
          </c:dPt>
          <c:cat>
            <c:strRef>
              <c:f>Calc!$A$97:$A$101</c:f>
              <c:strCache>
                <c:ptCount val="5"/>
                <c:pt idx="0">
                  <c:v>Bill Payment</c:v>
                </c:pt>
                <c:pt idx="1">
                  <c:v>Deposit</c:v>
                </c:pt>
                <c:pt idx="2">
                  <c:v>EMI Payment</c:v>
                </c:pt>
                <c:pt idx="3">
                  <c:v>Fund Transfer</c:v>
                </c:pt>
                <c:pt idx="4">
                  <c:v>Withdrawal</c:v>
                </c:pt>
              </c:strCache>
            </c:strRef>
          </c:cat>
          <c:val>
            <c:numRef>
              <c:f>Calc!$B$97:$B$101</c:f>
              <c:numCache>
                <c:formatCode>General</c:formatCode>
                <c:ptCount val="5"/>
                <c:pt idx="0">
                  <c:v>87</c:v>
                </c:pt>
                <c:pt idx="1">
                  <c:v>157</c:v>
                </c:pt>
                <c:pt idx="2">
                  <c:v>76</c:v>
                </c:pt>
                <c:pt idx="3">
                  <c:v>164</c:v>
                </c:pt>
                <c:pt idx="4">
                  <c:v>121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A-2DDD-4165-B670-92A891622F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0"/>
        <c:axId val="10"/>
        <c:axId val="100"/>
      </c:barChart>
      <c:catAx>
        <c:axId val="1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  <c:showDLblsOverMax val="1"/>
  </c:chart>
  <c:spPr>
    <a:solidFill>
      <a:schemeClr val="accent3">
        <a:lumMod val="40000"/>
        <a:lumOff val="60000"/>
      </a:schemeClr>
    </a:solidFill>
  </c:sp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Average Value by Transaction Type (₹)</a:t>
            </a:r>
          </a:p>
        </c:rich>
      </c:tx>
      <c:layout>
        <c:manualLayout>
          <c:xMode val="edge"/>
          <c:yMode val="edge"/>
          <c:x val="0.19654658564814814"/>
          <c:y val="0"/>
        </c:manualLayout>
      </c:layout>
      <c:overlay val="1"/>
    </c:title>
    <c:autoTitleDeleted val="0"/>
    <c:plotArea>
      <c:layout/>
      <c:barChart>
        <c:barDir val="bar"/>
        <c:grouping val="clustered"/>
        <c:varyColors val="1"/>
        <c:ser>
          <c:idx val="0"/>
          <c:order val="0"/>
          <c:spPr>
            <a:solidFill>
              <a:srgbClr val="1F3B57"/>
            </a:solidFill>
            <a:ln>
              <a:prstDash val="solid"/>
            </a:ln>
          </c:spPr>
          <c:invertIfNegative val="1"/>
          <c:dPt>
            <c:idx val="0"/>
            <c:invertIfNegative val="1"/>
            <c:bubble3D val="0"/>
            <c:extLst>
              <c:ext xmlns:c16="http://schemas.microsoft.com/office/drawing/2014/chart" uri="{C3380CC4-5D6E-409C-BE32-E72D297353CC}">
                <c16:uniqueId val="{00000001-5132-42B3-9CB6-92356CC23E65}"/>
              </c:ext>
            </c:extLst>
          </c:dPt>
          <c:dPt>
            <c:idx val="1"/>
            <c:invertIfNegative val="1"/>
            <c:bubble3D val="0"/>
            <c:spPr>
              <a:solidFill>
                <a:srgbClr val="C9A227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5132-42B3-9CB6-92356CC23E65}"/>
              </c:ext>
            </c:extLst>
          </c:dPt>
          <c:dPt>
            <c:idx val="2"/>
            <c:invertIfNegative val="1"/>
            <c:bubble3D val="0"/>
            <c:spPr>
              <a:solidFill>
                <a:srgbClr val="2E8B8B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5132-42B3-9CB6-92356CC23E65}"/>
              </c:ext>
            </c:extLst>
          </c:dPt>
          <c:dPt>
            <c:idx val="3"/>
            <c:invertIfNegative val="1"/>
            <c:bubble3D val="0"/>
            <c:spPr>
              <a:solidFill>
                <a:srgbClr val="7B2D3E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5132-42B3-9CB6-92356CC23E65}"/>
              </c:ext>
            </c:extLst>
          </c:dPt>
          <c:dPt>
            <c:idx val="4"/>
            <c:invertIfNegative val="1"/>
            <c:bubble3D val="0"/>
            <c:spPr>
              <a:solidFill>
                <a:srgbClr val="7C8B9B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9-5132-42B3-9CB6-92356CC23E65}"/>
              </c:ext>
            </c:extLst>
          </c:dPt>
          <c:cat>
            <c:strRef>
              <c:f>Calc!$A$97:$A$101</c:f>
              <c:strCache>
                <c:ptCount val="5"/>
                <c:pt idx="0">
                  <c:v>Bill Payment</c:v>
                </c:pt>
                <c:pt idx="1">
                  <c:v>Deposit</c:v>
                </c:pt>
                <c:pt idx="2">
                  <c:v>EMI Payment</c:v>
                </c:pt>
                <c:pt idx="3">
                  <c:v>Fund Transfer</c:v>
                </c:pt>
                <c:pt idx="4">
                  <c:v>Withdrawal</c:v>
                </c:pt>
              </c:strCache>
            </c:strRef>
          </c:cat>
          <c:val>
            <c:numRef>
              <c:f>Calc!$C$97:$C$101</c:f>
              <c:numCache>
                <c:formatCode>General</c:formatCode>
                <c:ptCount val="5"/>
                <c:pt idx="0">
                  <c:v>16464.459770114943</c:v>
                </c:pt>
                <c:pt idx="1">
                  <c:v>28475.910828025477</c:v>
                </c:pt>
                <c:pt idx="2">
                  <c:v>18888.57894736842</c:v>
                </c:pt>
                <c:pt idx="3">
                  <c:v>15247.280487804877</c:v>
                </c:pt>
                <c:pt idx="4">
                  <c:v>15134.264462809917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A-5132-42B3-9CB6-92356CC23E6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0"/>
        <c:axId val="10"/>
        <c:axId val="100"/>
      </c:barChart>
      <c:catAx>
        <c:axId val="10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  <c:showDLblsOverMax val="1"/>
  </c:chart>
  <c:spPr>
    <a:solidFill>
      <a:schemeClr val="accent3">
        <a:lumMod val="40000"/>
        <a:lumOff val="60000"/>
      </a:schemeClr>
    </a:solidFill>
  </c:sp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Transaction Count Share by Type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20318287037037036"/>
          <c:y val="0.11493993993993994"/>
          <c:w val="0.56056134259259249"/>
          <c:h val="0.72721471471471466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1F3B57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0EC6-4633-935D-5856055D9FC3}"/>
              </c:ext>
            </c:extLst>
          </c:dPt>
          <c:dPt>
            <c:idx val="1"/>
            <c:bubble3D val="0"/>
            <c:spPr>
              <a:solidFill>
                <a:srgbClr val="C9A227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0EC6-4633-935D-5856055D9FC3}"/>
              </c:ext>
            </c:extLst>
          </c:dPt>
          <c:dPt>
            <c:idx val="2"/>
            <c:bubble3D val="0"/>
            <c:spPr>
              <a:solidFill>
                <a:srgbClr val="2E8B8B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0EC6-4633-935D-5856055D9FC3}"/>
              </c:ext>
            </c:extLst>
          </c:dPt>
          <c:dPt>
            <c:idx val="3"/>
            <c:bubble3D val="0"/>
            <c:spPr>
              <a:solidFill>
                <a:srgbClr val="7B2D3E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0EC6-4633-935D-5856055D9FC3}"/>
              </c:ext>
            </c:extLst>
          </c:dPt>
          <c:dPt>
            <c:idx val="4"/>
            <c:bubble3D val="0"/>
            <c:spPr>
              <a:solidFill>
                <a:srgbClr val="7C8B9B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9-0EC6-4633-935D-5856055D9FC3}"/>
              </c:ext>
            </c:extLst>
          </c:dPt>
          <c:dLbls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Calc!$A$97:$A$101</c:f>
              <c:strCache>
                <c:ptCount val="5"/>
                <c:pt idx="0">
                  <c:v>Bill Payment</c:v>
                </c:pt>
                <c:pt idx="1">
                  <c:v>Deposit</c:v>
                </c:pt>
                <c:pt idx="2">
                  <c:v>EMI Payment</c:v>
                </c:pt>
                <c:pt idx="3">
                  <c:v>Fund Transfer</c:v>
                </c:pt>
                <c:pt idx="4">
                  <c:v>Withdrawal</c:v>
                </c:pt>
              </c:strCache>
            </c:strRef>
          </c:cat>
          <c:val>
            <c:numRef>
              <c:f>Calc!$B$97:$B$101</c:f>
              <c:numCache>
                <c:formatCode>General</c:formatCode>
                <c:ptCount val="5"/>
                <c:pt idx="0">
                  <c:v>87</c:v>
                </c:pt>
                <c:pt idx="1">
                  <c:v>157</c:v>
                </c:pt>
                <c:pt idx="2">
                  <c:v>76</c:v>
                </c:pt>
                <c:pt idx="3">
                  <c:v>164</c:v>
                </c:pt>
                <c:pt idx="4">
                  <c:v>121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0EC6-4633-935D-5856055D9FC3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b"/>
      <c:layout>
        <c:manualLayout>
          <c:xMode val="edge"/>
          <c:yMode val="edge"/>
          <c:x val="0.12831626157407408"/>
          <c:y val="0.85857507507507502"/>
          <c:w val="0.74336718749999997"/>
          <c:h val="0.11282132132132132"/>
        </c:manualLayout>
      </c:layout>
      <c:overlay val="1"/>
    </c:legend>
    <c:plotVisOnly val="1"/>
    <c:dispBlanksAs val="gap"/>
    <c:showDLblsOverMax val="1"/>
  </c:chart>
  <c:spPr>
    <a:solidFill>
      <a:schemeClr val="accent3">
        <a:lumMod val="40000"/>
        <a:lumOff val="60000"/>
      </a:schemeClr>
    </a:solidFill>
  </c:sp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Loan Amount Disbursed by Type (₹)</a:t>
            </a:r>
          </a:p>
        </c:rich>
      </c:tx>
      <c:layout>
        <c:manualLayout>
          <c:xMode val="edge"/>
          <c:yMode val="edge"/>
          <c:x val="0.29443344907407409"/>
          <c:y val="2.8603603603603603E-2"/>
        </c:manualLayout>
      </c:layout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spPr>
            <a:solidFill>
              <a:srgbClr val="1F3B57"/>
            </a:solidFill>
            <a:ln>
              <a:prstDash val="solid"/>
            </a:ln>
          </c:spPr>
          <c:invertIfNegative val="1"/>
          <c:dPt>
            <c:idx val="0"/>
            <c:invertIfNegative val="1"/>
            <c:bubble3D val="0"/>
            <c:extLst>
              <c:ext xmlns:c16="http://schemas.microsoft.com/office/drawing/2014/chart" uri="{C3380CC4-5D6E-409C-BE32-E72D297353CC}">
                <c16:uniqueId val="{00000001-533C-4A6E-9DB0-D42B21FAA7FC}"/>
              </c:ext>
            </c:extLst>
          </c:dPt>
          <c:dPt>
            <c:idx val="1"/>
            <c:invertIfNegative val="1"/>
            <c:bubble3D val="0"/>
            <c:spPr>
              <a:solidFill>
                <a:srgbClr val="C9A227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533C-4A6E-9DB0-D42B21FAA7FC}"/>
              </c:ext>
            </c:extLst>
          </c:dPt>
          <c:dPt>
            <c:idx val="2"/>
            <c:invertIfNegative val="1"/>
            <c:bubble3D val="0"/>
            <c:spPr>
              <a:solidFill>
                <a:srgbClr val="2E8B8B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533C-4A6E-9DB0-D42B21FAA7FC}"/>
              </c:ext>
            </c:extLst>
          </c:dPt>
          <c:dPt>
            <c:idx val="3"/>
            <c:invertIfNegative val="1"/>
            <c:bubble3D val="0"/>
            <c:spPr>
              <a:solidFill>
                <a:srgbClr val="7B2D3E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533C-4A6E-9DB0-D42B21FAA7FC}"/>
              </c:ext>
            </c:extLst>
          </c:dPt>
          <c:cat>
            <c:strRef>
              <c:f>Calc!$A$143:$A$146</c:f>
              <c:strCache>
                <c:ptCount val="4"/>
                <c:pt idx="0">
                  <c:v>Auto Loan</c:v>
                </c:pt>
                <c:pt idx="1">
                  <c:v>Business Loan</c:v>
                </c:pt>
                <c:pt idx="2">
                  <c:v>Home Loan</c:v>
                </c:pt>
                <c:pt idx="3">
                  <c:v>Personal Loan</c:v>
                </c:pt>
              </c:strCache>
            </c:strRef>
          </c:cat>
          <c:val>
            <c:numRef>
              <c:f>Calc!$B$143:$B$146</c:f>
              <c:numCache>
                <c:formatCode>General</c:formatCode>
                <c:ptCount val="4"/>
                <c:pt idx="0">
                  <c:v>51634000</c:v>
                </c:pt>
                <c:pt idx="1">
                  <c:v>113794000</c:v>
                </c:pt>
                <c:pt idx="2">
                  <c:v>166540000</c:v>
                </c:pt>
                <c:pt idx="3">
                  <c:v>27825000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8-533C-4A6E-9DB0-D42B21FAA7F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0"/>
        <c:axId val="10"/>
        <c:axId val="100"/>
      </c:barChart>
      <c:catAx>
        <c:axId val="1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  <c:showDLblsOverMax val="1"/>
  </c:chart>
  <c:spPr>
    <a:solidFill>
      <a:schemeClr val="accent3">
        <a:lumMod val="40000"/>
        <a:lumOff val="60000"/>
      </a:schemeClr>
    </a:solidFill>
  </c:sp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Loan Count Share by Type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20318287037037033"/>
          <c:y val="0.10063813813813816"/>
          <c:w val="0.51646412037037026"/>
          <c:h val="0.67000750750750737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1F3B57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ACA4-4D7D-860A-303556DB811B}"/>
              </c:ext>
            </c:extLst>
          </c:dPt>
          <c:dPt>
            <c:idx val="1"/>
            <c:bubble3D val="0"/>
            <c:spPr>
              <a:solidFill>
                <a:srgbClr val="C9A227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ACA4-4D7D-860A-303556DB811B}"/>
              </c:ext>
            </c:extLst>
          </c:dPt>
          <c:dPt>
            <c:idx val="2"/>
            <c:bubble3D val="0"/>
            <c:spPr>
              <a:solidFill>
                <a:srgbClr val="2E8B8B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ACA4-4D7D-860A-303556DB811B}"/>
              </c:ext>
            </c:extLst>
          </c:dPt>
          <c:dPt>
            <c:idx val="3"/>
            <c:bubble3D val="0"/>
            <c:spPr>
              <a:solidFill>
                <a:srgbClr val="7B2D3E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ACA4-4D7D-860A-303556DB811B}"/>
              </c:ext>
            </c:extLst>
          </c:dPt>
          <c:dLbls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Calc!$A$143:$A$146</c:f>
              <c:strCache>
                <c:ptCount val="4"/>
                <c:pt idx="0">
                  <c:v>Auto Loan</c:v>
                </c:pt>
                <c:pt idx="1">
                  <c:v>Business Loan</c:v>
                </c:pt>
                <c:pt idx="2">
                  <c:v>Home Loan</c:v>
                </c:pt>
                <c:pt idx="3">
                  <c:v>Personal Loan</c:v>
                </c:pt>
              </c:strCache>
            </c:strRef>
          </c:cat>
          <c:val>
            <c:numRef>
              <c:f>Calc!$C$143:$C$146</c:f>
              <c:numCache>
                <c:formatCode>General</c:formatCode>
                <c:ptCount val="4"/>
                <c:pt idx="0">
                  <c:v>83</c:v>
                </c:pt>
                <c:pt idx="1">
                  <c:v>85</c:v>
                </c:pt>
                <c:pt idx="2">
                  <c:v>71</c:v>
                </c:pt>
                <c:pt idx="3">
                  <c:v>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ACA4-4D7D-860A-303556DB811B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b"/>
      <c:layout>
        <c:manualLayout>
          <c:xMode val="edge"/>
          <c:yMode val="edge"/>
          <c:x val="5.5647569444444461E-2"/>
          <c:y val="0.77276426426426426"/>
          <c:w val="0.89972916666666669"/>
          <c:h val="0.19863213213213213"/>
        </c:manualLayout>
      </c:layout>
      <c:overlay val="1"/>
    </c:legend>
    <c:plotVisOnly val="1"/>
    <c:dispBlanksAs val="gap"/>
    <c:showDLblsOverMax val="1"/>
  </c:chart>
  <c:spPr>
    <a:solidFill>
      <a:schemeClr val="accent3">
        <a:lumMod val="40000"/>
        <a:lumOff val="60000"/>
      </a:schemeClr>
    </a:solidFill>
  </c:sp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Loan Status Breakdown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spPr>
            <a:solidFill>
              <a:srgbClr val="1F3B57"/>
            </a:solidFill>
            <a:ln>
              <a:prstDash val="solid"/>
            </a:ln>
          </c:spPr>
          <c:invertIfNegative val="1"/>
          <c:dPt>
            <c:idx val="0"/>
            <c:invertIfNegative val="1"/>
            <c:bubble3D val="0"/>
            <c:extLst>
              <c:ext xmlns:c16="http://schemas.microsoft.com/office/drawing/2014/chart" uri="{C3380CC4-5D6E-409C-BE32-E72D297353CC}">
                <c16:uniqueId val="{00000001-0CFD-46EE-8922-17BEA65E4C92}"/>
              </c:ext>
            </c:extLst>
          </c:dPt>
          <c:dPt>
            <c:idx val="1"/>
            <c:invertIfNegative val="1"/>
            <c:bubble3D val="0"/>
            <c:spPr>
              <a:solidFill>
                <a:srgbClr val="C9A227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0CFD-46EE-8922-17BEA65E4C92}"/>
              </c:ext>
            </c:extLst>
          </c:dPt>
          <c:dPt>
            <c:idx val="2"/>
            <c:invertIfNegative val="1"/>
            <c:bubble3D val="0"/>
            <c:spPr>
              <a:solidFill>
                <a:srgbClr val="2E8B8B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0CFD-46EE-8922-17BEA65E4C92}"/>
              </c:ext>
            </c:extLst>
          </c:dPt>
          <c:cat>
            <c:strRef>
              <c:f>Calc!$A$150:$A$152</c:f>
              <c:strCache>
                <c:ptCount val="3"/>
                <c:pt idx="0">
                  <c:v>Active</c:v>
                </c:pt>
                <c:pt idx="1">
                  <c:v>Closed</c:v>
                </c:pt>
                <c:pt idx="2">
                  <c:v>Overdue</c:v>
                </c:pt>
              </c:strCache>
            </c:strRef>
          </c:cat>
          <c:val>
            <c:numRef>
              <c:f>Calc!$B$150:$B$152</c:f>
              <c:numCache>
                <c:formatCode>General</c:formatCode>
                <c:ptCount val="3"/>
                <c:pt idx="0">
                  <c:v>140</c:v>
                </c:pt>
                <c:pt idx="1">
                  <c:v>69</c:v>
                </c:pt>
                <c:pt idx="2">
                  <c:v>111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6-0CFD-46EE-8922-17BEA65E4C9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0"/>
        <c:axId val="10"/>
        <c:axId val="100"/>
      </c:barChart>
      <c:catAx>
        <c:axId val="1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  <c:showDLblsOverMax val="1"/>
  </c:chart>
  <c:spPr>
    <a:solidFill>
      <a:schemeClr val="accent3">
        <a:lumMod val="40000"/>
        <a:lumOff val="60000"/>
      </a:schemeClr>
    </a:solidFill>
  </c:sp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Average Interest Rate by Type (%)</a:t>
            </a:r>
          </a:p>
        </c:rich>
      </c:tx>
      <c:layout>
        <c:manualLayout>
          <c:xMode val="edge"/>
          <c:yMode val="edge"/>
          <c:x val="0.29286226851851854"/>
          <c:y val="0"/>
        </c:manualLayout>
      </c:layout>
      <c:overlay val="1"/>
    </c:title>
    <c:autoTitleDeleted val="0"/>
    <c:plotArea>
      <c:layout/>
      <c:barChart>
        <c:barDir val="bar"/>
        <c:grouping val="clustered"/>
        <c:varyColors val="1"/>
        <c:ser>
          <c:idx val="0"/>
          <c:order val="0"/>
          <c:spPr>
            <a:solidFill>
              <a:srgbClr val="1F3B57"/>
            </a:solidFill>
            <a:ln>
              <a:prstDash val="solid"/>
            </a:ln>
          </c:spPr>
          <c:invertIfNegative val="1"/>
          <c:dPt>
            <c:idx val="0"/>
            <c:invertIfNegative val="1"/>
            <c:bubble3D val="0"/>
            <c:extLst>
              <c:ext xmlns:c16="http://schemas.microsoft.com/office/drawing/2014/chart" uri="{C3380CC4-5D6E-409C-BE32-E72D297353CC}">
                <c16:uniqueId val="{00000001-8FA0-4863-AF75-FF25A498B17F}"/>
              </c:ext>
            </c:extLst>
          </c:dPt>
          <c:dPt>
            <c:idx val="1"/>
            <c:invertIfNegative val="1"/>
            <c:bubble3D val="0"/>
            <c:spPr>
              <a:solidFill>
                <a:srgbClr val="C9A227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8FA0-4863-AF75-FF25A498B17F}"/>
              </c:ext>
            </c:extLst>
          </c:dPt>
          <c:dPt>
            <c:idx val="2"/>
            <c:invertIfNegative val="1"/>
            <c:bubble3D val="0"/>
            <c:spPr>
              <a:solidFill>
                <a:srgbClr val="2E8B8B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8FA0-4863-AF75-FF25A498B17F}"/>
              </c:ext>
            </c:extLst>
          </c:dPt>
          <c:dPt>
            <c:idx val="3"/>
            <c:invertIfNegative val="1"/>
            <c:bubble3D val="0"/>
            <c:spPr>
              <a:solidFill>
                <a:srgbClr val="7B2D3E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8FA0-4863-AF75-FF25A498B17F}"/>
              </c:ext>
            </c:extLst>
          </c:dPt>
          <c:cat>
            <c:strRef>
              <c:f>Calc!$A$143:$A$146</c:f>
              <c:strCache>
                <c:ptCount val="4"/>
                <c:pt idx="0">
                  <c:v>Auto Loan</c:v>
                </c:pt>
                <c:pt idx="1">
                  <c:v>Business Loan</c:v>
                </c:pt>
                <c:pt idx="2">
                  <c:v>Home Loan</c:v>
                </c:pt>
                <c:pt idx="3">
                  <c:v>Personal Loan</c:v>
                </c:pt>
              </c:strCache>
            </c:strRef>
          </c:cat>
          <c:val>
            <c:numRef>
              <c:f>Calc!$D$143:$D$146</c:f>
              <c:numCache>
                <c:formatCode>General</c:formatCode>
                <c:ptCount val="4"/>
                <c:pt idx="0">
                  <c:v>9.7379518072289137</c:v>
                </c:pt>
                <c:pt idx="1">
                  <c:v>13.560705882352941</c:v>
                </c:pt>
                <c:pt idx="2">
                  <c:v>8.2230985915492969</c:v>
                </c:pt>
                <c:pt idx="3">
                  <c:v>13.023827160493829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8-8FA0-4863-AF75-FF25A498B17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0"/>
        <c:axId val="10"/>
        <c:axId val="100"/>
      </c:barChart>
      <c:catAx>
        <c:axId val="10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  <c:showDLblsOverMax val="1"/>
  </c:chart>
  <c:spPr>
    <a:solidFill>
      <a:schemeClr val="accent3">
        <a:lumMod val="40000"/>
        <a:lumOff val="60000"/>
      </a:schemeClr>
    </a:solidFill>
  </c:sp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Average EMI Amount by Loan Type (₹)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spPr>
            <a:solidFill>
              <a:srgbClr val="1F3B57"/>
            </a:solidFill>
            <a:ln>
              <a:prstDash val="solid"/>
            </a:ln>
          </c:spPr>
          <c:invertIfNegative val="1"/>
          <c:dPt>
            <c:idx val="0"/>
            <c:invertIfNegative val="1"/>
            <c:bubble3D val="0"/>
            <c:extLst>
              <c:ext xmlns:c16="http://schemas.microsoft.com/office/drawing/2014/chart" uri="{C3380CC4-5D6E-409C-BE32-E72D297353CC}">
                <c16:uniqueId val="{00000001-5780-4F54-B44E-960EF6F82859}"/>
              </c:ext>
            </c:extLst>
          </c:dPt>
          <c:dPt>
            <c:idx val="1"/>
            <c:invertIfNegative val="1"/>
            <c:bubble3D val="0"/>
            <c:spPr>
              <a:solidFill>
                <a:srgbClr val="C9A227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5780-4F54-B44E-960EF6F82859}"/>
              </c:ext>
            </c:extLst>
          </c:dPt>
          <c:dPt>
            <c:idx val="2"/>
            <c:invertIfNegative val="1"/>
            <c:bubble3D val="0"/>
            <c:spPr>
              <a:solidFill>
                <a:srgbClr val="2E8B8B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5780-4F54-B44E-960EF6F82859}"/>
              </c:ext>
            </c:extLst>
          </c:dPt>
          <c:dPt>
            <c:idx val="3"/>
            <c:invertIfNegative val="1"/>
            <c:bubble3D val="0"/>
            <c:spPr>
              <a:solidFill>
                <a:srgbClr val="7B2D3E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5780-4F54-B44E-960EF6F82859}"/>
              </c:ext>
            </c:extLst>
          </c:dPt>
          <c:cat>
            <c:strRef>
              <c:f>Calc!$A$166:$A$169</c:f>
              <c:strCache>
                <c:ptCount val="4"/>
                <c:pt idx="0">
                  <c:v>Auto Loan</c:v>
                </c:pt>
                <c:pt idx="1">
                  <c:v>Business Loan</c:v>
                </c:pt>
                <c:pt idx="2">
                  <c:v>Home Loan</c:v>
                </c:pt>
                <c:pt idx="3">
                  <c:v>Personal Loan</c:v>
                </c:pt>
              </c:strCache>
            </c:strRef>
          </c:cat>
          <c:val>
            <c:numRef>
              <c:f>Calc!$B$166:$B$169</c:f>
              <c:numCache>
                <c:formatCode>General</c:formatCode>
                <c:ptCount val="4"/>
                <c:pt idx="0">
                  <c:v>24484.78947368421</c:v>
                </c:pt>
                <c:pt idx="1">
                  <c:v>42462.230769230766</c:v>
                </c:pt>
                <c:pt idx="2">
                  <c:v>30090.846153846152</c:v>
                </c:pt>
                <c:pt idx="3">
                  <c:v>19159.529411764706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8-5780-4F54-B44E-960EF6F8285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0"/>
        <c:axId val="10"/>
        <c:axId val="100"/>
      </c:barChart>
      <c:catAx>
        <c:axId val="1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  <c:showDLblsOverMax val="1"/>
  </c:chart>
  <c:spPr>
    <a:solidFill>
      <a:schemeClr val="accent3">
        <a:lumMod val="40000"/>
        <a:lumOff val="60000"/>
      </a:schemeClr>
    </a:solidFill>
  </c:sp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Average Repayment Rate by Type (%)</a:t>
            </a:r>
          </a:p>
        </c:rich>
      </c:tx>
      <c:layout>
        <c:manualLayout>
          <c:xMode val="edge"/>
          <c:yMode val="edge"/>
          <c:x val="0.34959172453703713"/>
          <c:y val="1.4301801801801801E-2"/>
        </c:manualLayout>
      </c:layout>
      <c:overlay val="1"/>
    </c:title>
    <c:autoTitleDeleted val="0"/>
    <c:plotArea>
      <c:layout/>
      <c:barChart>
        <c:barDir val="bar"/>
        <c:grouping val="clustered"/>
        <c:varyColors val="1"/>
        <c:ser>
          <c:idx val="0"/>
          <c:order val="0"/>
          <c:spPr>
            <a:solidFill>
              <a:srgbClr val="1F3B57"/>
            </a:solidFill>
            <a:ln>
              <a:prstDash val="solid"/>
            </a:ln>
          </c:spPr>
          <c:invertIfNegative val="1"/>
          <c:dPt>
            <c:idx val="0"/>
            <c:invertIfNegative val="1"/>
            <c:bubble3D val="0"/>
            <c:extLst>
              <c:ext xmlns:c16="http://schemas.microsoft.com/office/drawing/2014/chart" uri="{C3380CC4-5D6E-409C-BE32-E72D297353CC}">
                <c16:uniqueId val="{00000001-A19B-4921-AC3E-F300D5051502}"/>
              </c:ext>
            </c:extLst>
          </c:dPt>
          <c:dPt>
            <c:idx val="1"/>
            <c:invertIfNegative val="1"/>
            <c:bubble3D val="0"/>
            <c:spPr>
              <a:solidFill>
                <a:srgbClr val="C9A227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A19B-4921-AC3E-F300D5051502}"/>
              </c:ext>
            </c:extLst>
          </c:dPt>
          <c:dPt>
            <c:idx val="2"/>
            <c:invertIfNegative val="1"/>
            <c:bubble3D val="0"/>
            <c:spPr>
              <a:solidFill>
                <a:srgbClr val="2E8B8B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A19B-4921-AC3E-F300D5051502}"/>
              </c:ext>
            </c:extLst>
          </c:dPt>
          <c:dPt>
            <c:idx val="3"/>
            <c:invertIfNegative val="1"/>
            <c:bubble3D val="0"/>
            <c:spPr>
              <a:solidFill>
                <a:srgbClr val="7B2D3E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A19B-4921-AC3E-F300D5051502}"/>
              </c:ext>
            </c:extLst>
          </c:dPt>
          <c:cat>
            <c:strRef>
              <c:f>Calc!$A$166:$A$169</c:f>
              <c:strCache>
                <c:ptCount val="4"/>
                <c:pt idx="0">
                  <c:v>Auto Loan</c:v>
                </c:pt>
                <c:pt idx="1">
                  <c:v>Business Loan</c:v>
                </c:pt>
                <c:pt idx="2">
                  <c:v>Home Loan</c:v>
                </c:pt>
                <c:pt idx="3">
                  <c:v>Personal Loan</c:v>
                </c:pt>
              </c:strCache>
            </c:strRef>
          </c:cat>
          <c:val>
            <c:numRef>
              <c:f>Calc!$C$166:$C$169</c:f>
              <c:numCache>
                <c:formatCode>General</c:formatCode>
                <c:ptCount val="4"/>
                <c:pt idx="0">
                  <c:v>95.163584637268855</c:v>
                </c:pt>
                <c:pt idx="1">
                  <c:v>93.600000000000009</c:v>
                </c:pt>
                <c:pt idx="2">
                  <c:v>93.741851368970003</c:v>
                </c:pt>
                <c:pt idx="3">
                  <c:v>92.602040816326522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8-A19B-4921-AC3E-F300D505150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0"/>
        <c:axId val="10"/>
        <c:axId val="100"/>
      </c:barChart>
      <c:catAx>
        <c:axId val="10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  <c:showDLblsOverMax val="1"/>
  </c:chart>
  <c:spPr>
    <a:solidFill>
      <a:schemeClr val="accent3">
        <a:lumMod val="40000"/>
        <a:lumOff val="60000"/>
      </a:schemeClr>
    </a:solidFill>
  </c:sp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Loans by Missed-EMI Count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spPr>
            <a:solidFill>
              <a:srgbClr val="1F3B57"/>
            </a:solidFill>
            <a:ln>
              <a:prstDash val="solid"/>
            </a:ln>
          </c:spPr>
          <c:invertIfNegative val="1"/>
          <c:dPt>
            <c:idx val="0"/>
            <c:invertIfNegative val="1"/>
            <c:bubble3D val="0"/>
            <c:extLst>
              <c:ext xmlns:c16="http://schemas.microsoft.com/office/drawing/2014/chart" uri="{C3380CC4-5D6E-409C-BE32-E72D297353CC}">
                <c16:uniqueId val="{00000001-5A71-41B6-92F8-BC838C217633}"/>
              </c:ext>
            </c:extLst>
          </c:dPt>
          <c:dPt>
            <c:idx val="1"/>
            <c:invertIfNegative val="1"/>
            <c:bubble3D val="0"/>
            <c:spPr>
              <a:solidFill>
                <a:srgbClr val="C9A227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5A71-41B6-92F8-BC838C217633}"/>
              </c:ext>
            </c:extLst>
          </c:dPt>
          <c:dPt>
            <c:idx val="2"/>
            <c:invertIfNegative val="1"/>
            <c:bubble3D val="0"/>
            <c:spPr>
              <a:solidFill>
                <a:srgbClr val="2E8B8B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5A71-41B6-92F8-BC838C217633}"/>
              </c:ext>
            </c:extLst>
          </c:dPt>
          <c:dPt>
            <c:idx val="3"/>
            <c:invertIfNegative val="1"/>
            <c:bubble3D val="0"/>
            <c:spPr>
              <a:solidFill>
                <a:srgbClr val="7B2D3E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5A71-41B6-92F8-BC838C217633}"/>
              </c:ext>
            </c:extLst>
          </c:dPt>
          <c:cat>
            <c:strRef>
              <c:f>Calc!$A$173:$A$176</c:f>
              <c:strCache>
                <c:ptCount val="4"/>
                <c:pt idx="0">
                  <c:v>0 Missed</c:v>
                </c:pt>
                <c:pt idx="1">
                  <c:v>1 Missed</c:v>
                </c:pt>
                <c:pt idx="2">
                  <c:v>2 Missed</c:v>
                </c:pt>
                <c:pt idx="3">
                  <c:v>3+ Missed</c:v>
                </c:pt>
              </c:strCache>
            </c:strRef>
          </c:cat>
          <c:val>
            <c:numRef>
              <c:f>Calc!$B$173:$B$176</c:f>
              <c:numCache>
                <c:formatCode>General</c:formatCode>
                <c:ptCount val="4"/>
                <c:pt idx="0">
                  <c:v>8</c:v>
                </c:pt>
                <c:pt idx="1">
                  <c:v>23</c:v>
                </c:pt>
                <c:pt idx="2">
                  <c:v>13</c:v>
                </c:pt>
                <c:pt idx="3">
                  <c:v>18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8-5A71-41B6-92F8-BC838C2176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0"/>
        <c:axId val="10"/>
        <c:axId val="100"/>
      </c:barChart>
      <c:catAx>
        <c:axId val="1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  <c:showDLblsOverMax val="1"/>
  </c:chart>
  <c:spPr>
    <a:solidFill>
      <a:schemeClr val="accent3">
        <a:lumMod val="40000"/>
        <a:lumOff val="60000"/>
      </a:schemeClr>
    </a:solidFill>
  </c:sp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EMIs Paid vs Missed (Share)</a:t>
            </a:r>
          </a:p>
        </c:rich>
      </c:tx>
      <c:overlay val="1"/>
    </c:title>
    <c:autoTitleDeleted val="0"/>
    <c:plotArea>
      <c:layout/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1F3B57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C80F-4D43-9865-371960A53733}"/>
              </c:ext>
            </c:extLst>
          </c:dPt>
          <c:dPt>
            <c:idx val="1"/>
            <c:bubble3D val="0"/>
            <c:spPr>
              <a:solidFill>
                <a:srgbClr val="C9A227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C80F-4D43-9865-371960A53733}"/>
              </c:ext>
            </c:extLst>
          </c:dPt>
          <c:dLbls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Calc!$A$179:$A$180</c:f>
              <c:strCache>
                <c:ptCount val="2"/>
                <c:pt idx="0">
                  <c:v>EMIs Paid</c:v>
                </c:pt>
                <c:pt idx="1">
                  <c:v>EMIs Missed</c:v>
                </c:pt>
              </c:strCache>
            </c:strRef>
          </c:cat>
          <c:val>
            <c:numRef>
              <c:f>Calc!$B$179:$B$180</c:f>
              <c:numCache>
                <c:formatCode>General</c:formatCode>
                <c:ptCount val="2"/>
                <c:pt idx="0">
                  <c:v>2102</c:v>
                </c:pt>
                <c:pt idx="1">
                  <c:v>135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C80F-4D43-9865-371960A53733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b"/>
      <c:overlay val="1"/>
    </c:legend>
    <c:plotVisOnly val="1"/>
    <c:dispBlanksAs val="gap"/>
    <c:showDLblsOverMax val="1"/>
  </c:chart>
  <c:spPr>
    <a:solidFill>
      <a:schemeClr val="accent3">
        <a:lumMod val="40000"/>
        <a:lumOff val="60000"/>
      </a:schemeClr>
    </a:solidFill>
  </c:sp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Customers by Branch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spPr>
            <a:solidFill>
              <a:srgbClr val="1F3B57"/>
            </a:solidFill>
            <a:ln>
              <a:prstDash val="solid"/>
            </a:ln>
          </c:spPr>
          <c:invertIfNegative val="1"/>
          <c:dPt>
            <c:idx val="0"/>
            <c:invertIfNegative val="1"/>
            <c:bubble3D val="0"/>
            <c:extLst>
              <c:ext xmlns:c16="http://schemas.microsoft.com/office/drawing/2014/chart" uri="{C3380CC4-5D6E-409C-BE32-E72D297353CC}">
                <c16:uniqueId val="{00000001-EBBE-422B-8826-F2666603B274}"/>
              </c:ext>
            </c:extLst>
          </c:dPt>
          <c:dPt>
            <c:idx val="1"/>
            <c:invertIfNegative val="1"/>
            <c:bubble3D val="0"/>
            <c:spPr>
              <a:solidFill>
                <a:srgbClr val="C9A227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EBBE-422B-8826-F2666603B274}"/>
              </c:ext>
            </c:extLst>
          </c:dPt>
          <c:dPt>
            <c:idx val="2"/>
            <c:invertIfNegative val="1"/>
            <c:bubble3D val="0"/>
            <c:spPr>
              <a:solidFill>
                <a:srgbClr val="2E8B8B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EBBE-422B-8826-F2666603B274}"/>
              </c:ext>
            </c:extLst>
          </c:dPt>
          <c:dPt>
            <c:idx val="3"/>
            <c:invertIfNegative val="1"/>
            <c:bubble3D val="0"/>
            <c:spPr>
              <a:solidFill>
                <a:srgbClr val="7B2D3E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EBBE-422B-8826-F2666603B274}"/>
              </c:ext>
            </c:extLst>
          </c:dPt>
          <c:dPt>
            <c:idx val="4"/>
            <c:invertIfNegative val="1"/>
            <c:bubble3D val="0"/>
            <c:spPr>
              <a:solidFill>
                <a:srgbClr val="7C8B9B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9-EBBE-422B-8826-F2666603B274}"/>
              </c:ext>
            </c:extLst>
          </c:dPt>
          <c:cat>
            <c:strRef>
              <c:f>Calc!$A$191:$A$195</c:f>
              <c:strCache>
                <c:ptCount val="5"/>
                <c:pt idx="0">
                  <c:v>Agra Sadar Branch</c:v>
                </c:pt>
                <c:pt idx="1">
                  <c:v>Kanpur Civil Lines Branch</c:v>
                </c:pt>
                <c:pt idx="2">
                  <c:v>Lucknow City Branch</c:v>
                </c:pt>
                <c:pt idx="3">
                  <c:v>Meerut Cantt Branch</c:v>
                </c:pt>
                <c:pt idx="4">
                  <c:v>Noida Sector 18 Branch</c:v>
                </c:pt>
              </c:strCache>
            </c:strRef>
          </c:cat>
          <c:val>
            <c:numRef>
              <c:f>Calc!$B$191:$B$195</c:f>
              <c:numCache>
                <c:formatCode>General</c:formatCode>
                <c:ptCount val="5"/>
                <c:pt idx="0">
                  <c:v>77</c:v>
                </c:pt>
                <c:pt idx="1">
                  <c:v>68</c:v>
                </c:pt>
                <c:pt idx="2">
                  <c:v>80</c:v>
                </c:pt>
                <c:pt idx="3">
                  <c:v>74</c:v>
                </c:pt>
                <c:pt idx="4">
                  <c:v>101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A-EBBE-422B-8826-F2666603B27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0"/>
        <c:axId val="10"/>
        <c:axId val="100"/>
      </c:barChart>
      <c:catAx>
        <c:axId val="1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  <c:showDLblsOverMax val="1"/>
  </c:chart>
  <c:spPr>
    <a:solidFill>
      <a:schemeClr val="accent3">
        <a:lumMod val="40000"/>
        <a:lumOff val="60000"/>
      </a:schemeClr>
    </a:solidFill>
  </c:sp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Loan Amount Disbursed by Branch (₹)</a:t>
            </a:r>
          </a:p>
        </c:rich>
      </c:tx>
      <c:layout>
        <c:manualLayout>
          <c:xMode val="edge"/>
          <c:yMode val="edge"/>
          <c:x val="0.30008333333333331"/>
          <c:y val="2.8603603603603603E-2"/>
        </c:manualLayout>
      </c:layout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spPr>
            <a:solidFill>
              <a:srgbClr val="1F3B57"/>
            </a:solidFill>
            <a:ln>
              <a:prstDash val="solid"/>
            </a:ln>
          </c:spPr>
          <c:invertIfNegative val="1"/>
          <c:dPt>
            <c:idx val="0"/>
            <c:invertIfNegative val="1"/>
            <c:bubble3D val="0"/>
            <c:extLst>
              <c:ext xmlns:c16="http://schemas.microsoft.com/office/drawing/2014/chart" uri="{C3380CC4-5D6E-409C-BE32-E72D297353CC}">
                <c16:uniqueId val="{00000001-F0D8-44C5-AAC7-F210652EA9E5}"/>
              </c:ext>
            </c:extLst>
          </c:dPt>
          <c:dPt>
            <c:idx val="1"/>
            <c:invertIfNegative val="1"/>
            <c:bubble3D val="0"/>
            <c:spPr>
              <a:solidFill>
                <a:srgbClr val="C9A227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F0D8-44C5-AAC7-F210652EA9E5}"/>
              </c:ext>
            </c:extLst>
          </c:dPt>
          <c:dPt>
            <c:idx val="2"/>
            <c:invertIfNegative val="1"/>
            <c:bubble3D val="0"/>
            <c:spPr>
              <a:solidFill>
                <a:srgbClr val="2E8B8B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F0D8-44C5-AAC7-F210652EA9E5}"/>
              </c:ext>
            </c:extLst>
          </c:dPt>
          <c:dPt>
            <c:idx val="3"/>
            <c:invertIfNegative val="1"/>
            <c:bubble3D val="0"/>
            <c:spPr>
              <a:solidFill>
                <a:srgbClr val="7B2D3E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F0D8-44C5-AAC7-F210652EA9E5}"/>
              </c:ext>
            </c:extLst>
          </c:dPt>
          <c:dPt>
            <c:idx val="4"/>
            <c:invertIfNegative val="1"/>
            <c:bubble3D val="0"/>
            <c:spPr>
              <a:solidFill>
                <a:srgbClr val="7C8B9B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9-F0D8-44C5-AAC7-F210652EA9E5}"/>
              </c:ext>
            </c:extLst>
          </c:dPt>
          <c:cat>
            <c:strRef>
              <c:f>Calc!$A$191:$A$195</c:f>
              <c:strCache>
                <c:ptCount val="5"/>
                <c:pt idx="0">
                  <c:v>Agra Sadar Branch</c:v>
                </c:pt>
                <c:pt idx="1">
                  <c:v>Kanpur Civil Lines Branch</c:v>
                </c:pt>
                <c:pt idx="2">
                  <c:v>Lucknow City Branch</c:v>
                </c:pt>
                <c:pt idx="3">
                  <c:v>Meerut Cantt Branch</c:v>
                </c:pt>
                <c:pt idx="4">
                  <c:v>Noida Sector 18 Branch</c:v>
                </c:pt>
              </c:strCache>
            </c:strRef>
          </c:cat>
          <c:val>
            <c:numRef>
              <c:f>Calc!$C$191:$C$195</c:f>
              <c:numCache>
                <c:formatCode>General</c:formatCode>
                <c:ptCount val="5"/>
                <c:pt idx="0">
                  <c:v>63121000</c:v>
                </c:pt>
                <c:pt idx="1">
                  <c:v>63320000</c:v>
                </c:pt>
                <c:pt idx="2">
                  <c:v>65514000</c:v>
                </c:pt>
                <c:pt idx="3">
                  <c:v>66478000</c:v>
                </c:pt>
                <c:pt idx="4">
                  <c:v>101360000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A-F0D8-44C5-AAC7-F210652EA9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0"/>
        <c:axId val="10"/>
        <c:axId val="100"/>
      </c:barChart>
      <c:catAx>
        <c:axId val="1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  <c:showDLblsOverMax val="1"/>
  </c:chart>
  <c:spPr>
    <a:solidFill>
      <a:schemeClr val="accent3">
        <a:lumMod val="40000"/>
        <a:lumOff val="60000"/>
      </a:schemeClr>
    </a:solidFill>
  </c:sp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Transaction Value by Branch (₹)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spPr>
            <a:solidFill>
              <a:srgbClr val="1F3B57"/>
            </a:solidFill>
            <a:ln>
              <a:prstDash val="solid"/>
            </a:ln>
          </c:spPr>
          <c:invertIfNegative val="1"/>
          <c:dPt>
            <c:idx val="0"/>
            <c:invertIfNegative val="1"/>
            <c:bubble3D val="0"/>
            <c:extLst>
              <c:ext xmlns:c16="http://schemas.microsoft.com/office/drawing/2014/chart" uri="{C3380CC4-5D6E-409C-BE32-E72D297353CC}">
                <c16:uniqueId val="{00000001-D294-45AF-90F0-D95D718CA6CB}"/>
              </c:ext>
            </c:extLst>
          </c:dPt>
          <c:dPt>
            <c:idx val="1"/>
            <c:invertIfNegative val="1"/>
            <c:bubble3D val="0"/>
            <c:spPr>
              <a:solidFill>
                <a:srgbClr val="C9A227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D294-45AF-90F0-D95D718CA6CB}"/>
              </c:ext>
            </c:extLst>
          </c:dPt>
          <c:dPt>
            <c:idx val="2"/>
            <c:invertIfNegative val="1"/>
            <c:bubble3D val="0"/>
            <c:spPr>
              <a:solidFill>
                <a:srgbClr val="2E8B8B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D294-45AF-90F0-D95D718CA6CB}"/>
              </c:ext>
            </c:extLst>
          </c:dPt>
          <c:dPt>
            <c:idx val="3"/>
            <c:invertIfNegative val="1"/>
            <c:bubble3D val="0"/>
            <c:spPr>
              <a:solidFill>
                <a:srgbClr val="7B2D3E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D294-45AF-90F0-D95D718CA6CB}"/>
              </c:ext>
            </c:extLst>
          </c:dPt>
          <c:dPt>
            <c:idx val="4"/>
            <c:invertIfNegative val="1"/>
            <c:bubble3D val="0"/>
            <c:spPr>
              <a:solidFill>
                <a:srgbClr val="7C8B9B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9-D294-45AF-90F0-D95D718CA6CB}"/>
              </c:ext>
            </c:extLst>
          </c:dPt>
          <c:cat>
            <c:strRef>
              <c:f>Calc!$A$191:$A$195</c:f>
              <c:strCache>
                <c:ptCount val="5"/>
                <c:pt idx="0">
                  <c:v>Agra Sadar Branch</c:v>
                </c:pt>
                <c:pt idx="1">
                  <c:v>Kanpur Civil Lines Branch</c:v>
                </c:pt>
                <c:pt idx="2">
                  <c:v>Lucknow City Branch</c:v>
                </c:pt>
                <c:pt idx="3">
                  <c:v>Meerut Cantt Branch</c:v>
                </c:pt>
                <c:pt idx="4">
                  <c:v>Noida Sector 18 Branch</c:v>
                </c:pt>
              </c:strCache>
            </c:strRef>
          </c:cat>
          <c:val>
            <c:numRef>
              <c:f>Calc!$D$191:$D$195</c:f>
              <c:numCache>
                <c:formatCode>General</c:formatCode>
                <c:ptCount val="5"/>
                <c:pt idx="0">
                  <c:v>12531235</c:v>
                </c:pt>
                <c:pt idx="1">
                  <c:v>11670458</c:v>
                </c:pt>
                <c:pt idx="2">
                  <c:v>13254293</c:v>
                </c:pt>
                <c:pt idx="3">
                  <c:v>12100874</c:v>
                </c:pt>
                <c:pt idx="4">
                  <c:v>16896464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A-D294-45AF-90F0-D95D718CA6C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0"/>
        <c:axId val="10"/>
        <c:axId val="100"/>
      </c:barChart>
      <c:catAx>
        <c:axId val="1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  <c:showDLblsOverMax val="1"/>
  </c:chart>
  <c:spPr>
    <a:solidFill>
      <a:schemeClr val="accent3">
        <a:lumMod val="40000"/>
        <a:lumOff val="60000"/>
      </a:schemeClr>
    </a:solidFill>
  </c:spPr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Average Repayment Rate by Branch (%)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spPr>
            <a:solidFill>
              <a:srgbClr val="1F3B57"/>
            </a:solidFill>
            <a:ln>
              <a:prstDash val="solid"/>
            </a:ln>
          </c:spPr>
          <c:invertIfNegative val="1"/>
          <c:dPt>
            <c:idx val="0"/>
            <c:invertIfNegative val="1"/>
            <c:bubble3D val="0"/>
            <c:extLst>
              <c:ext xmlns:c16="http://schemas.microsoft.com/office/drawing/2014/chart" uri="{C3380CC4-5D6E-409C-BE32-E72D297353CC}">
                <c16:uniqueId val="{00000001-754C-4FE4-A250-6899F91806EA}"/>
              </c:ext>
            </c:extLst>
          </c:dPt>
          <c:dPt>
            <c:idx val="1"/>
            <c:invertIfNegative val="1"/>
            <c:bubble3D val="0"/>
            <c:spPr>
              <a:solidFill>
                <a:srgbClr val="C9A227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754C-4FE4-A250-6899F91806EA}"/>
              </c:ext>
            </c:extLst>
          </c:dPt>
          <c:dPt>
            <c:idx val="2"/>
            <c:invertIfNegative val="1"/>
            <c:bubble3D val="0"/>
            <c:spPr>
              <a:solidFill>
                <a:srgbClr val="2E8B8B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754C-4FE4-A250-6899F91806EA}"/>
              </c:ext>
            </c:extLst>
          </c:dPt>
          <c:dPt>
            <c:idx val="3"/>
            <c:invertIfNegative val="1"/>
            <c:bubble3D val="0"/>
            <c:spPr>
              <a:solidFill>
                <a:srgbClr val="7B2D3E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754C-4FE4-A250-6899F91806EA}"/>
              </c:ext>
            </c:extLst>
          </c:dPt>
          <c:dPt>
            <c:idx val="4"/>
            <c:invertIfNegative val="1"/>
            <c:bubble3D val="0"/>
            <c:spPr>
              <a:solidFill>
                <a:srgbClr val="7C8B9B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9-754C-4FE4-A250-6899F91806EA}"/>
              </c:ext>
            </c:extLst>
          </c:dPt>
          <c:cat>
            <c:strRef>
              <c:f>Calc!$A$191:$A$195</c:f>
              <c:strCache>
                <c:ptCount val="5"/>
                <c:pt idx="0">
                  <c:v>Agra Sadar Branch</c:v>
                </c:pt>
                <c:pt idx="1">
                  <c:v>Kanpur Civil Lines Branch</c:v>
                </c:pt>
                <c:pt idx="2">
                  <c:v>Lucknow City Branch</c:v>
                </c:pt>
                <c:pt idx="3">
                  <c:v>Meerut Cantt Branch</c:v>
                </c:pt>
                <c:pt idx="4">
                  <c:v>Noida Sector 18 Branch</c:v>
                </c:pt>
              </c:strCache>
            </c:strRef>
          </c:cat>
          <c:val>
            <c:numRef>
              <c:f>Calc!$E$191:$E$195</c:f>
              <c:numCache>
                <c:formatCode>General</c:formatCode>
                <c:ptCount val="5"/>
                <c:pt idx="0">
                  <c:v>93.339100346020771</c:v>
                </c:pt>
                <c:pt idx="1">
                  <c:v>94.516853932584269</c:v>
                </c:pt>
                <c:pt idx="2">
                  <c:v>91.790686509841578</c:v>
                </c:pt>
                <c:pt idx="3">
                  <c:v>93.965131873044257</c:v>
                </c:pt>
                <c:pt idx="4">
                  <c:v>94.646333549643089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A-754C-4FE4-A250-6899F91806E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0"/>
        <c:axId val="10"/>
        <c:axId val="100"/>
      </c:barChart>
      <c:catAx>
        <c:axId val="1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  <c:showDLblsOverMax val="1"/>
  </c:chart>
  <c:spPr>
    <a:solidFill>
      <a:schemeClr val="accent3">
        <a:lumMod val="40000"/>
        <a:lumOff val="60000"/>
      </a:schemeClr>
    </a:solidFill>
  </c:sp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.xml"/><Relationship Id="rId2" Type="http://schemas.openxmlformats.org/officeDocument/2006/relationships/chart" Target="../charts/chart3.xml"/><Relationship Id="rId1" Type="http://schemas.openxmlformats.org/officeDocument/2006/relationships/chart" Target="../charts/chart2.xml"/><Relationship Id="rId4" Type="http://schemas.openxmlformats.org/officeDocument/2006/relationships/chart" Target="../charts/chart5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8.xml"/><Relationship Id="rId2" Type="http://schemas.openxmlformats.org/officeDocument/2006/relationships/chart" Target="../charts/chart7.xml"/><Relationship Id="rId1" Type="http://schemas.openxmlformats.org/officeDocument/2006/relationships/chart" Target="../charts/chart6.xml"/><Relationship Id="rId4" Type="http://schemas.openxmlformats.org/officeDocument/2006/relationships/chart" Target="../charts/chart9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2.xml"/><Relationship Id="rId2" Type="http://schemas.openxmlformats.org/officeDocument/2006/relationships/chart" Target="../charts/chart11.xml"/><Relationship Id="rId1" Type="http://schemas.openxmlformats.org/officeDocument/2006/relationships/chart" Target="../charts/chart10.xml"/><Relationship Id="rId4" Type="http://schemas.openxmlformats.org/officeDocument/2006/relationships/chart" Target="../charts/chart13.xm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6.xml"/><Relationship Id="rId2" Type="http://schemas.openxmlformats.org/officeDocument/2006/relationships/chart" Target="../charts/chart15.xml"/><Relationship Id="rId1" Type="http://schemas.openxmlformats.org/officeDocument/2006/relationships/chart" Target="../charts/chart14.xml"/><Relationship Id="rId4" Type="http://schemas.openxmlformats.org/officeDocument/2006/relationships/chart" Target="../charts/chart17.xml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0.xml"/><Relationship Id="rId2" Type="http://schemas.openxmlformats.org/officeDocument/2006/relationships/chart" Target="../charts/chart19.xml"/><Relationship Id="rId1" Type="http://schemas.openxmlformats.org/officeDocument/2006/relationships/chart" Target="../charts/chart18.xml"/><Relationship Id="rId4" Type="http://schemas.openxmlformats.org/officeDocument/2006/relationships/chart" Target="../charts/chart2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13</xdr:col>
      <xdr:colOff>52917</xdr:colOff>
      <xdr:row>5</xdr:row>
      <xdr:rowOff>52917</xdr:rowOff>
    </xdr:from>
    <xdr:ext cx="4138083" cy="3778250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4D02E3A9-33EC-4985-8344-ECEAB7BEB46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11</xdr:row>
      <xdr:rowOff>0</xdr:rowOff>
    </xdr:from>
    <xdr:ext cx="3456000" cy="2664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7</xdr:col>
      <xdr:colOff>200025</xdr:colOff>
      <xdr:row>10</xdr:row>
      <xdr:rowOff>171450</xdr:rowOff>
    </xdr:from>
    <xdr:ext cx="3456000" cy="2664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1</xdr:col>
      <xdr:colOff>0</xdr:colOff>
      <xdr:row>25</xdr:row>
      <xdr:rowOff>95250</xdr:rowOff>
    </xdr:from>
    <xdr:ext cx="3456000" cy="2664000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  <xdr:oneCellAnchor>
    <xdr:from>
      <xdr:col>7</xdr:col>
      <xdr:colOff>266700</xdr:colOff>
      <xdr:row>25</xdr:row>
      <xdr:rowOff>57150</xdr:rowOff>
    </xdr:from>
    <xdr:ext cx="3456000" cy="2664000"/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11</xdr:row>
      <xdr:rowOff>0</xdr:rowOff>
    </xdr:from>
    <xdr:ext cx="3456000" cy="2664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8</xdr:col>
      <xdr:colOff>9525</xdr:colOff>
      <xdr:row>10</xdr:row>
      <xdr:rowOff>152400</xdr:rowOff>
    </xdr:from>
    <xdr:ext cx="3456000" cy="2664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1</xdr:col>
      <xdr:colOff>0</xdr:colOff>
      <xdr:row>25</xdr:row>
      <xdr:rowOff>85725</xdr:rowOff>
    </xdr:from>
    <xdr:ext cx="3456000" cy="2664000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  <xdr:oneCellAnchor>
    <xdr:from>
      <xdr:col>7</xdr:col>
      <xdr:colOff>581025</xdr:colOff>
      <xdr:row>25</xdr:row>
      <xdr:rowOff>76200</xdr:rowOff>
    </xdr:from>
    <xdr:ext cx="3456000" cy="2664000"/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11</xdr:row>
      <xdr:rowOff>0</xdr:rowOff>
    </xdr:from>
    <xdr:ext cx="3456000" cy="2664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7</xdr:col>
      <xdr:colOff>0</xdr:colOff>
      <xdr:row>11</xdr:row>
      <xdr:rowOff>0</xdr:rowOff>
    </xdr:from>
    <xdr:ext cx="3456000" cy="2664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1</xdr:col>
      <xdr:colOff>0</xdr:colOff>
      <xdr:row>25</xdr:row>
      <xdr:rowOff>180975</xdr:rowOff>
    </xdr:from>
    <xdr:ext cx="3456000" cy="2664000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  <xdr:oneCellAnchor>
    <xdr:from>
      <xdr:col>6</xdr:col>
      <xdr:colOff>581025</xdr:colOff>
      <xdr:row>25</xdr:row>
      <xdr:rowOff>171450</xdr:rowOff>
    </xdr:from>
    <xdr:ext cx="3456000" cy="2664000"/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3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11</xdr:row>
      <xdr:rowOff>0</xdr:rowOff>
    </xdr:from>
    <xdr:ext cx="3456000" cy="2664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7</xdr:col>
      <xdr:colOff>0</xdr:colOff>
      <xdr:row>11</xdr:row>
      <xdr:rowOff>0</xdr:rowOff>
    </xdr:from>
    <xdr:ext cx="3456000" cy="2664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1</xdr:col>
      <xdr:colOff>9525</xdr:colOff>
      <xdr:row>25</xdr:row>
      <xdr:rowOff>38100</xdr:rowOff>
    </xdr:from>
    <xdr:ext cx="3456000" cy="2664000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  <xdr:oneCellAnchor>
    <xdr:from>
      <xdr:col>7</xdr:col>
      <xdr:colOff>0</xdr:colOff>
      <xdr:row>25</xdr:row>
      <xdr:rowOff>28575</xdr:rowOff>
    </xdr:from>
    <xdr:ext cx="3456000" cy="2664000"/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4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11</xdr:row>
      <xdr:rowOff>0</xdr:rowOff>
    </xdr:from>
    <xdr:ext cx="3456000" cy="2664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7</xdr:col>
      <xdr:colOff>0</xdr:colOff>
      <xdr:row>11</xdr:row>
      <xdr:rowOff>0</xdr:rowOff>
    </xdr:from>
    <xdr:ext cx="3456000" cy="2664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1</xdr:col>
      <xdr:colOff>0</xdr:colOff>
      <xdr:row>25</xdr:row>
      <xdr:rowOff>57150</xdr:rowOff>
    </xdr:from>
    <xdr:ext cx="3456000" cy="2664000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5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  <xdr:oneCellAnchor>
    <xdr:from>
      <xdr:col>7</xdr:col>
      <xdr:colOff>9525</xdr:colOff>
      <xdr:row>25</xdr:row>
      <xdr:rowOff>57150</xdr:rowOff>
    </xdr:from>
    <xdr:ext cx="3456000" cy="2664000"/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5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CustTbl" displayName="CustTbl" ref="A1:K401">
  <autoFilter ref="A1:K401" xr:uid="{00000000-0009-0000-0100-000001000000}"/>
  <tableColumns count="11">
    <tableColumn id="1" xr3:uid="{00000000-0010-0000-0000-000001000000}" name="CustomerID"/>
    <tableColumn id="2" xr3:uid="{00000000-0010-0000-0000-000002000000}" name="CustomerName"/>
    <tableColumn id="3" xr3:uid="{00000000-0010-0000-0000-000003000000}" name="Gender"/>
    <tableColumn id="4" xr3:uid="{00000000-0010-0000-0000-000004000000}" name="Age"/>
    <tableColumn id="5" xr3:uid="{00000000-0010-0000-0000-000005000000}" name="City"/>
    <tableColumn id="6" xr3:uid="{00000000-0010-0000-0000-000006000000}" name="Branch"/>
    <tableColumn id="7" xr3:uid="{00000000-0010-0000-0000-000007000000}" name="Occupation"/>
    <tableColumn id="8" xr3:uid="{00000000-0010-0000-0000-000008000000}" name="MonthlyIncome"/>
    <tableColumn id="9" xr3:uid="{00000000-0010-0000-0000-000009000000}" name="AccountType"/>
    <tableColumn id="10" xr3:uid="{00000000-0010-0000-0000-00000A000000}" name="AccountBalance"/>
    <tableColumn id="11" xr3:uid="{00000000-0010-0000-0000-00000B000000}" name="CustomerSinc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LoanTbl" displayName="LoanTbl" ref="A1:N321">
  <autoFilter ref="A1:N321" xr:uid="{00000000-0009-0000-0100-000002000000}"/>
  <tableColumns count="14">
    <tableColumn id="1" xr3:uid="{00000000-0010-0000-0100-000001000000}" name="LoanID"/>
    <tableColumn id="2" xr3:uid="{00000000-0010-0000-0100-000002000000}" name="CustomerID"/>
    <tableColumn id="3" xr3:uid="{00000000-0010-0000-0100-000003000000}" name="Branch"/>
    <tableColumn id="4" xr3:uid="{00000000-0010-0000-0100-000004000000}" name="LoanType"/>
    <tableColumn id="5" xr3:uid="{00000000-0010-0000-0100-000005000000}" name="LoanAmount"/>
    <tableColumn id="6" xr3:uid="{00000000-0010-0000-0100-000006000000}" name="InterestRate"/>
    <tableColumn id="7" xr3:uid="{00000000-0010-0000-0100-000007000000}" name="TenureMonths"/>
    <tableColumn id="8" xr3:uid="{00000000-0010-0000-0100-000008000000}" name="EMIAmount"/>
    <tableColumn id="9" xr3:uid="{00000000-0010-0000-0100-000009000000}" name="StartDate"/>
    <tableColumn id="10" xr3:uid="{00000000-0010-0000-0100-00000A000000}" name="MonthsElapsed"/>
    <tableColumn id="11" xr3:uid="{00000000-0010-0000-0100-00000B000000}" name="EMIsPaid"/>
    <tableColumn id="12" xr3:uid="{00000000-0010-0000-0100-00000C000000}" name="EMIsMissed"/>
    <tableColumn id="13" xr3:uid="{00000000-0010-0000-0100-00000D000000}" name="LoanStatus"/>
    <tableColumn id="14" xr3:uid="{00000000-0010-0000-0100-00000E000000}" name="OutstandingAmount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xnTbl" displayName="TxnTbl" ref="A1:F3607">
  <autoFilter ref="A1:F3607" xr:uid="{00000000-0009-0000-0100-000003000000}"/>
  <tableColumns count="6">
    <tableColumn id="1" xr3:uid="{00000000-0010-0000-0200-000001000000}" name="TransactionID"/>
    <tableColumn id="2" xr3:uid="{00000000-0010-0000-0200-000002000000}" name="CustomerID"/>
    <tableColumn id="3" xr3:uid="{00000000-0010-0000-0200-000003000000}" name="Branch"/>
    <tableColumn id="4" xr3:uid="{00000000-0010-0000-0200-000004000000}" name="TransactionDate"/>
    <tableColumn id="5" xr3:uid="{00000000-0010-0000-0200-000005000000}" name="TransactionType"/>
    <tableColumn id="6" xr3:uid="{00000000-0010-0000-0200-000006000000}" name="Amoun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42"/>
  <sheetViews>
    <sheetView showGridLines="0" zoomScale="85" zoomScaleNormal="85" workbookViewId="0">
      <selection activeCell="S3" sqref="S3"/>
    </sheetView>
  </sheetViews>
  <sheetFormatPr defaultRowHeight="23.25" x14ac:dyDescent="0.35"/>
  <cols>
    <col min="1" max="1" width="2.28515625" style="3" customWidth="1"/>
    <col min="2" max="3" width="9.140625" style="3" customWidth="1"/>
    <col min="4" max="4" width="14.28515625" style="3" customWidth="1"/>
    <col min="5" max="6" width="9.140625" style="3" customWidth="1"/>
    <col min="7" max="7" width="13.5703125" style="3" customWidth="1"/>
    <col min="8" max="9" width="9.140625" style="3" customWidth="1"/>
    <col min="10" max="10" width="14.42578125" style="3" customWidth="1"/>
    <col min="11" max="12" width="9.140625" style="3" customWidth="1"/>
    <col min="13" max="13" width="21.28515625" style="3" customWidth="1"/>
    <col min="14" max="16" width="13.42578125" style="3" customWidth="1"/>
    <col min="17" max="17" width="23.7109375" style="3" customWidth="1"/>
    <col min="18" max="19" width="9.140625" style="3" customWidth="1"/>
    <col min="20" max="16384" width="9.140625" style="3"/>
  </cols>
  <sheetData>
    <row r="1" spans="1:17" ht="15.95" customHeight="1" x14ac:dyDescent="0.35">
      <c r="A1" s="10" t="s">
        <v>5915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23" t="s">
        <v>0</v>
      </c>
      <c r="O1" s="24"/>
      <c r="P1" s="24"/>
      <c r="Q1" s="24"/>
    </row>
    <row r="2" spans="1:17" ht="20.100000000000001" customHeight="1" x14ac:dyDescent="0.35">
      <c r="A2" s="11"/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24"/>
      <c r="O2" s="24"/>
      <c r="P2" s="24"/>
      <c r="Q2" s="24"/>
    </row>
    <row r="3" spans="1:17" ht="18.75" customHeight="1" x14ac:dyDescent="0.35">
      <c r="A3" s="11"/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2" t="s">
        <v>1</v>
      </c>
      <c r="O3" s="6"/>
      <c r="P3" s="6"/>
      <c r="Q3" s="6"/>
    </row>
    <row r="4" spans="1:17" ht="25.5" customHeight="1" x14ac:dyDescent="0.35">
      <c r="A4" s="20" t="s">
        <v>2</v>
      </c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27" t="s">
        <v>3</v>
      </c>
      <c r="O4" s="28"/>
      <c r="P4" s="28"/>
      <c r="Q4" s="28"/>
    </row>
    <row r="6" spans="1:17" ht="27.75" customHeight="1" x14ac:dyDescent="0.35">
      <c r="B6" s="19">
        <f>Calc!B3</f>
        <v>400</v>
      </c>
      <c r="C6" s="14"/>
      <c r="D6" s="14"/>
      <c r="E6" s="18" t="str">
        <f>TEXT(Calc!B4,"#,##0")</f>
        <v>359,793,000</v>
      </c>
      <c r="F6" s="14"/>
      <c r="G6" s="14"/>
      <c r="H6" s="13">
        <f>Calc!B5</f>
        <v>3606</v>
      </c>
      <c r="I6" s="14"/>
      <c r="J6" s="14"/>
      <c r="K6" s="21" t="str">
        <f>TEXT(Calc!B6,"0.0")&amp;"%"</f>
        <v>93.7%</v>
      </c>
      <c r="L6" s="14"/>
      <c r="M6" s="14"/>
      <c r="N6" s="4"/>
      <c r="O6" s="4"/>
      <c r="P6" s="4"/>
      <c r="Q6" s="4"/>
    </row>
    <row r="7" spans="1:17" ht="14.25" customHeight="1" x14ac:dyDescent="0.35">
      <c r="B7" s="14"/>
      <c r="C7" s="14"/>
      <c r="D7" s="14"/>
      <c r="E7" s="14"/>
      <c r="F7" s="14"/>
      <c r="G7" s="14"/>
      <c r="H7" s="14"/>
      <c r="I7" s="14"/>
      <c r="J7" s="14"/>
      <c r="K7" s="14"/>
      <c r="L7" s="14"/>
      <c r="M7" s="14"/>
      <c r="N7" s="4"/>
      <c r="O7" s="4"/>
      <c r="P7" s="4"/>
      <c r="Q7" s="4"/>
    </row>
    <row r="8" spans="1:17" ht="53.25" customHeight="1" x14ac:dyDescent="0.35">
      <c r="B8" s="19" t="s">
        <v>4</v>
      </c>
      <c r="C8" s="14"/>
      <c r="D8" s="14"/>
      <c r="E8" s="18" t="s">
        <v>5</v>
      </c>
      <c r="F8" s="14"/>
      <c r="G8" s="14"/>
      <c r="H8" s="13" t="s">
        <v>6</v>
      </c>
      <c r="I8" s="14"/>
      <c r="J8" s="14"/>
      <c r="K8" s="21" t="s">
        <v>7</v>
      </c>
      <c r="L8" s="14"/>
      <c r="M8" s="14"/>
      <c r="N8" s="4"/>
      <c r="O8" s="4"/>
      <c r="P8" s="4"/>
      <c r="Q8" s="4"/>
    </row>
    <row r="9" spans="1:17" x14ac:dyDescent="0.35">
      <c r="N9" s="4"/>
      <c r="O9" s="4"/>
      <c r="P9" s="4"/>
      <c r="Q9" s="4"/>
    </row>
    <row r="10" spans="1:17" ht="29.25" customHeight="1" x14ac:dyDescent="0.35">
      <c r="B10" s="25" t="s">
        <v>8</v>
      </c>
      <c r="C10" s="26"/>
      <c r="D10" s="26"/>
      <c r="E10" s="26"/>
      <c r="F10" s="26"/>
      <c r="G10" s="26"/>
      <c r="H10" s="26"/>
      <c r="I10" s="26"/>
      <c r="J10" s="26"/>
      <c r="K10" s="26"/>
      <c r="L10" s="26"/>
      <c r="M10" s="26"/>
      <c r="N10" s="4"/>
      <c r="O10" s="4"/>
      <c r="P10" s="4"/>
      <c r="Q10" s="4"/>
    </row>
    <row r="11" spans="1:17" ht="15.95" customHeight="1" x14ac:dyDescent="0.35">
      <c r="B11" s="7" t="s">
        <v>9</v>
      </c>
      <c r="C11" s="8"/>
      <c r="D11" s="8"/>
      <c r="E11" s="30" t="s">
        <v>10</v>
      </c>
      <c r="F11" s="8"/>
      <c r="G11" s="8"/>
      <c r="H11" s="9" t="s">
        <v>11</v>
      </c>
      <c r="I11" s="8"/>
      <c r="J11" s="8"/>
      <c r="K11" s="15" t="s">
        <v>12</v>
      </c>
      <c r="L11" s="8"/>
      <c r="M11" s="8"/>
      <c r="N11" s="4"/>
      <c r="O11" s="4"/>
      <c r="P11" s="4"/>
      <c r="Q11" s="4"/>
    </row>
    <row r="12" spans="1:17" ht="49.5" customHeight="1" x14ac:dyDescent="0.35"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4"/>
      <c r="O12" s="4"/>
      <c r="P12" s="4"/>
      <c r="Q12" s="4"/>
    </row>
    <row r="13" spans="1:17" ht="15.95" customHeight="1" x14ac:dyDescent="0.35">
      <c r="B13" s="16" t="s">
        <v>13</v>
      </c>
      <c r="C13" s="8"/>
      <c r="D13" s="8"/>
      <c r="E13" s="29" t="s">
        <v>14</v>
      </c>
      <c r="F13" s="8"/>
      <c r="G13" s="8"/>
      <c r="H13" s="31" t="s">
        <v>15</v>
      </c>
      <c r="I13" s="8"/>
      <c r="J13" s="8"/>
      <c r="K13" s="22" t="s">
        <v>16</v>
      </c>
      <c r="L13" s="8"/>
      <c r="M13" s="8"/>
      <c r="N13" s="4"/>
      <c r="O13" s="4"/>
      <c r="P13" s="4"/>
      <c r="Q13" s="4"/>
    </row>
    <row r="14" spans="1:17" ht="55.5" customHeight="1" x14ac:dyDescent="0.35"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4"/>
      <c r="O14" s="4"/>
      <c r="P14" s="4"/>
      <c r="Q14" s="4"/>
    </row>
    <row r="15" spans="1:17" ht="38.25" customHeight="1" x14ac:dyDescent="0.35">
      <c r="B15" s="17" t="str">
        <f>HYPERLINK("#'Customer'!A1","View Module →")</f>
        <v>View Module →</v>
      </c>
      <c r="C15" s="8"/>
      <c r="D15" s="8"/>
      <c r="E15" s="17" t="str">
        <f>HYPERLINK("#'Transaction'!A1","View Module →")</f>
        <v>View Module →</v>
      </c>
      <c r="F15" s="8"/>
      <c r="G15" s="8"/>
      <c r="H15" s="17" t="str">
        <f>HYPERLINK("#'LoanPortfolio'!A1","View Module →")</f>
        <v>View Module →</v>
      </c>
      <c r="I15" s="8"/>
      <c r="J15" s="8"/>
      <c r="K15" s="17" t="str">
        <f>HYPERLINK("#'EMI_Repayment'!A1","View Module →")</f>
        <v>View Module →</v>
      </c>
      <c r="L15" s="8"/>
      <c r="M15" s="8"/>
      <c r="N15" s="4"/>
      <c r="O15" s="4"/>
      <c r="P15" s="4"/>
      <c r="Q15" s="4"/>
    </row>
    <row r="16" spans="1:17" x14ac:dyDescent="0.35">
      <c r="N16" s="4"/>
      <c r="O16" s="4"/>
      <c r="P16" s="4"/>
      <c r="Q16" s="4"/>
    </row>
    <row r="17" spans="2:17" ht="15.95" customHeight="1" x14ac:dyDescent="0.35">
      <c r="B17" s="7" t="s">
        <v>17</v>
      </c>
      <c r="C17" s="8"/>
      <c r="D17" s="8"/>
      <c r="N17" s="4"/>
      <c r="O17" s="4"/>
      <c r="P17" s="4"/>
      <c r="Q17" s="4"/>
    </row>
    <row r="18" spans="2:17" ht="36.75" customHeight="1" x14ac:dyDescent="0.35">
      <c r="B18" s="8"/>
      <c r="C18" s="8"/>
      <c r="D18" s="8"/>
      <c r="N18" s="4"/>
      <c r="O18" s="4"/>
      <c r="P18" s="4"/>
      <c r="Q18" s="4"/>
    </row>
    <row r="19" spans="2:17" ht="15.95" customHeight="1" x14ac:dyDescent="0.35">
      <c r="B19" s="16" t="s">
        <v>18</v>
      </c>
      <c r="C19" s="8"/>
      <c r="D19" s="8"/>
      <c r="N19" s="4"/>
      <c r="O19" s="4"/>
      <c r="P19" s="4"/>
      <c r="Q19" s="4"/>
    </row>
    <row r="20" spans="2:17" ht="62.25" customHeight="1" x14ac:dyDescent="0.35">
      <c r="B20" s="8"/>
      <c r="C20" s="8"/>
      <c r="D20" s="8"/>
      <c r="N20" s="4"/>
      <c r="O20" s="4"/>
      <c r="P20" s="4"/>
      <c r="Q20" s="4"/>
    </row>
    <row r="21" spans="2:17" ht="33.75" customHeight="1" x14ac:dyDescent="0.35">
      <c r="B21" s="17" t="str">
        <f>HYPERLINK("#'BranchPerf'!A1","View Module →")</f>
        <v>View Module →</v>
      </c>
      <c r="C21" s="8"/>
      <c r="D21" s="8"/>
      <c r="N21" s="4"/>
      <c r="O21" s="4"/>
      <c r="P21" s="4"/>
      <c r="Q21" s="4"/>
    </row>
    <row r="22" spans="2:17" x14ac:dyDescent="0.35">
      <c r="N22" s="4"/>
      <c r="O22" s="4"/>
      <c r="P22" s="4"/>
      <c r="Q22" s="4"/>
    </row>
    <row r="23" spans="2:17" x14ac:dyDescent="0.35">
      <c r="N23" s="4"/>
      <c r="O23" s="4"/>
      <c r="P23" s="4"/>
      <c r="Q23" s="4"/>
    </row>
    <row r="24" spans="2:17" x14ac:dyDescent="0.35">
      <c r="B24" s="5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4"/>
      <c r="O24" s="4"/>
      <c r="P24" s="4"/>
      <c r="Q24" s="4"/>
    </row>
    <row r="25" spans="2:17" x14ac:dyDescent="0.35">
      <c r="N25" s="4"/>
      <c r="O25" s="4"/>
      <c r="P25" s="4"/>
      <c r="Q25" s="4"/>
    </row>
    <row r="26" spans="2:17" x14ac:dyDescent="0.35">
      <c r="N26" s="4"/>
      <c r="O26" s="4"/>
      <c r="P26" s="4"/>
      <c r="Q26" s="4"/>
    </row>
    <row r="27" spans="2:17" x14ac:dyDescent="0.35">
      <c r="N27" s="4"/>
      <c r="O27" s="4"/>
      <c r="P27" s="4"/>
      <c r="Q27" s="4"/>
    </row>
    <row r="28" spans="2:17" x14ac:dyDescent="0.35">
      <c r="N28" s="4"/>
      <c r="O28" s="4"/>
      <c r="P28" s="4"/>
      <c r="Q28" s="4"/>
    </row>
    <row r="29" spans="2:17" x14ac:dyDescent="0.35">
      <c r="N29" s="4"/>
      <c r="O29" s="4"/>
      <c r="P29" s="4"/>
      <c r="Q29" s="4"/>
    </row>
    <row r="30" spans="2:17" x14ac:dyDescent="0.35">
      <c r="N30" s="4"/>
      <c r="O30" s="4"/>
      <c r="P30" s="4"/>
      <c r="Q30" s="4"/>
    </row>
    <row r="31" spans="2:17" x14ac:dyDescent="0.35">
      <c r="N31" s="4"/>
      <c r="O31" s="4"/>
      <c r="P31" s="4"/>
      <c r="Q31" s="4"/>
    </row>
    <row r="32" spans="2:17" x14ac:dyDescent="0.35">
      <c r="N32" s="4"/>
      <c r="O32" s="4"/>
      <c r="P32" s="4"/>
      <c r="Q32" s="4"/>
    </row>
    <row r="33" spans="14:17" x14ac:dyDescent="0.35">
      <c r="N33" s="4"/>
      <c r="O33" s="4"/>
      <c r="P33" s="4"/>
      <c r="Q33" s="4"/>
    </row>
    <row r="34" spans="14:17" x14ac:dyDescent="0.35">
      <c r="N34" s="4"/>
      <c r="O34" s="4"/>
      <c r="P34" s="4"/>
      <c r="Q34" s="4"/>
    </row>
    <row r="35" spans="14:17" x14ac:dyDescent="0.35">
      <c r="N35" s="4"/>
      <c r="O35" s="4"/>
      <c r="P35" s="4"/>
      <c r="Q35" s="4"/>
    </row>
    <row r="36" spans="14:17" x14ac:dyDescent="0.35">
      <c r="N36" s="4"/>
      <c r="O36" s="4"/>
      <c r="P36" s="4"/>
      <c r="Q36" s="4"/>
    </row>
    <row r="37" spans="14:17" x14ac:dyDescent="0.35">
      <c r="N37" s="4"/>
      <c r="O37" s="4"/>
      <c r="P37" s="4"/>
      <c r="Q37" s="4"/>
    </row>
    <row r="38" spans="14:17" x14ac:dyDescent="0.35">
      <c r="N38" s="4"/>
      <c r="O38" s="4"/>
      <c r="P38" s="4"/>
      <c r="Q38" s="4"/>
    </row>
    <row r="39" spans="14:17" x14ac:dyDescent="0.35">
      <c r="N39" s="4"/>
      <c r="O39" s="4"/>
      <c r="P39" s="4"/>
      <c r="Q39" s="4"/>
    </row>
    <row r="40" spans="14:17" x14ac:dyDescent="0.35">
      <c r="N40" s="4"/>
      <c r="O40" s="4"/>
      <c r="P40" s="4"/>
      <c r="Q40" s="4"/>
    </row>
    <row r="41" spans="14:17" x14ac:dyDescent="0.35">
      <c r="N41" s="4"/>
      <c r="O41" s="4"/>
      <c r="P41" s="4"/>
      <c r="Q41" s="4"/>
    </row>
    <row r="42" spans="14:17" x14ac:dyDescent="0.35">
      <c r="N42" s="4"/>
      <c r="O42" s="4"/>
      <c r="P42" s="4"/>
      <c r="Q42" s="4"/>
    </row>
  </sheetData>
  <mergeCells count="30">
    <mergeCell ref="B21:D21"/>
    <mergeCell ref="K13:M14"/>
    <mergeCell ref="B17:D18"/>
    <mergeCell ref="H15:J15"/>
    <mergeCell ref="N1:Q2"/>
    <mergeCell ref="H6:J7"/>
    <mergeCell ref="K8:M8"/>
    <mergeCell ref="B10:M10"/>
    <mergeCell ref="N4:Q4"/>
    <mergeCell ref="E13:G14"/>
    <mergeCell ref="B15:D15"/>
    <mergeCell ref="E11:G12"/>
    <mergeCell ref="E8:G8"/>
    <mergeCell ref="H13:J14"/>
    <mergeCell ref="B24:M24"/>
    <mergeCell ref="B11:D12"/>
    <mergeCell ref="H11:J12"/>
    <mergeCell ref="A1:M3"/>
    <mergeCell ref="N3:Q3"/>
    <mergeCell ref="H8:J8"/>
    <mergeCell ref="K11:M12"/>
    <mergeCell ref="B13:D14"/>
    <mergeCell ref="K15:M15"/>
    <mergeCell ref="E6:G7"/>
    <mergeCell ref="B6:D7"/>
    <mergeCell ref="B19:D20"/>
    <mergeCell ref="B8:D8"/>
    <mergeCell ref="A4:M4"/>
    <mergeCell ref="E15:G15"/>
    <mergeCell ref="K6:M7"/>
  </mergeCells>
  <pageMargins left="0.75" right="0.75" top="1" bottom="1" header="0.5" footer="0.5"/>
  <pageSetup fitToHeight="0" orientation="landscape" r:id="rId1"/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xr:uid="{00000000-0002-0000-0000-000000000000}">
          <x14:formula1>
            <xm:f>Lists!$A$2:$A$7</xm:f>
          </x14:formula1>
          <xm:sqref>N4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Q42"/>
  <sheetViews>
    <sheetView showGridLines="0" topLeftCell="A6" zoomScaleNormal="100" workbookViewId="0">
      <selection activeCell="N4" sqref="N4:Q4"/>
    </sheetView>
  </sheetViews>
  <sheetFormatPr defaultRowHeight="15" x14ac:dyDescent="0.25"/>
  <cols>
    <col min="1" max="1" width="2.28515625" customWidth="1"/>
    <col min="2" max="12" width="9.140625" customWidth="1"/>
    <col min="13" max="13" width="29.28515625" customWidth="1"/>
    <col min="14" max="16" width="13.42578125" customWidth="1"/>
    <col min="17" max="17" width="22.42578125" customWidth="1"/>
  </cols>
  <sheetData>
    <row r="1" spans="1:17" ht="15.95" customHeight="1" x14ac:dyDescent="0.25">
      <c r="A1" s="39" t="s">
        <v>19</v>
      </c>
      <c r="B1" s="40"/>
      <c r="C1" s="40"/>
      <c r="D1" s="40"/>
      <c r="E1" s="40"/>
      <c r="F1" s="40"/>
      <c r="G1" s="40"/>
      <c r="H1" s="40"/>
      <c r="I1" s="40"/>
      <c r="J1" s="40"/>
      <c r="K1" s="40"/>
      <c r="L1" s="40"/>
      <c r="M1" s="40"/>
      <c r="N1" s="51" t="s">
        <v>0</v>
      </c>
      <c r="O1" s="52"/>
      <c r="P1" s="52"/>
      <c r="Q1" s="52"/>
    </row>
    <row r="2" spans="1:17" ht="20.100000000000001" customHeight="1" x14ac:dyDescent="0.25">
      <c r="A2" s="40"/>
      <c r="B2" s="40"/>
      <c r="C2" s="40"/>
      <c r="D2" s="40"/>
      <c r="E2" s="40"/>
      <c r="F2" s="40"/>
      <c r="G2" s="40"/>
      <c r="H2" s="40"/>
      <c r="I2" s="40"/>
      <c r="J2" s="40"/>
      <c r="K2" s="40"/>
      <c r="L2" s="40"/>
      <c r="M2" s="40"/>
      <c r="N2" s="52"/>
      <c r="O2" s="52"/>
      <c r="P2" s="52"/>
      <c r="Q2" s="52"/>
    </row>
    <row r="3" spans="1:17" ht="15.95" customHeight="1" x14ac:dyDescent="0.25">
      <c r="A3" s="40"/>
      <c r="B3" s="40"/>
      <c r="C3" s="40"/>
      <c r="D3" s="40"/>
      <c r="E3" s="40"/>
      <c r="F3" s="40"/>
      <c r="G3" s="40"/>
      <c r="H3" s="40"/>
      <c r="I3" s="40"/>
      <c r="J3" s="40"/>
      <c r="K3" s="40"/>
      <c r="L3" s="40"/>
      <c r="M3" s="40"/>
      <c r="N3" s="43" t="s">
        <v>1</v>
      </c>
      <c r="O3" s="36"/>
      <c r="P3" s="36"/>
      <c r="Q3" s="36"/>
    </row>
    <row r="4" spans="1:17" ht="19.5" customHeight="1" x14ac:dyDescent="0.25">
      <c r="A4" s="44" t="s">
        <v>20</v>
      </c>
      <c r="B4" s="36"/>
      <c r="C4" s="36"/>
      <c r="D4" s="36"/>
      <c r="E4" s="36"/>
      <c r="F4" s="36"/>
      <c r="G4" s="36"/>
      <c r="H4" s="36"/>
      <c r="I4" s="36"/>
      <c r="J4" s="36"/>
      <c r="K4" s="36"/>
      <c r="L4" s="36"/>
      <c r="M4" s="36"/>
      <c r="N4" s="45" t="s">
        <v>51</v>
      </c>
      <c r="O4" s="36"/>
      <c r="P4" s="36"/>
      <c r="Q4" s="36"/>
    </row>
    <row r="6" spans="1:17" ht="21.95" customHeight="1" x14ac:dyDescent="0.25">
      <c r="B6" s="32">
        <f>Calc!B31</f>
        <v>77</v>
      </c>
      <c r="C6" s="33"/>
      <c r="D6" s="33"/>
      <c r="E6" s="50" t="str">
        <f>TEXT(Calc!B32,"0.0")&amp;" yrs"</f>
        <v>36.4 yrs</v>
      </c>
      <c r="F6" s="33"/>
      <c r="G6" s="33"/>
      <c r="H6" s="53" t="str">
        <f>TEXT(Calc!B33,"#,##0")</f>
        <v>50,632</v>
      </c>
      <c r="I6" s="33"/>
      <c r="J6" s="33"/>
      <c r="K6" s="47" t="s">
        <v>21</v>
      </c>
      <c r="L6" s="48"/>
      <c r="M6" s="48"/>
      <c r="N6" s="1"/>
      <c r="O6" s="1"/>
      <c r="P6" s="1"/>
      <c r="Q6" s="1"/>
    </row>
    <row r="7" spans="1:17" ht="21.95" customHeight="1" x14ac:dyDescent="0.25">
      <c r="B7" s="34"/>
      <c r="C7" s="34"/>
      <c r="D7" s="34"/>
      <c r="E7" s="34"/>
      <c r="F7" s="34"/>
      <c r="G7" s="34"/>
      <c r="H7" s="34"/>
      <c r="I7" s="34"/>
      <c r="J7" s="34"/>
      <c r="K7" s="49"/>
      <c r="L7" s="49"/>
      <c r="M7" s="49"/>
      <c r="N7" s="1"/>
      <c r="O7" s="1"/>
      <c r="P7" s="1"/>
      <c r="Q7" s="1"/>
    </row>
    <row r="8" spans="1:17" ht="15.95" customHeight="1" x14ac:dyDescent="0.25">
      <c r="B8" s="41" t="s">
        <v>4</v>
      </c>
      <c r="C8" s="34"/>
      <c r="D8" s="34"/>
      <c r="E8" s="42" t="s">
        <v>22</v>
      </c>
      <c r="F8" s="34"/>
      <c r="G8" s="34"/>
      <c r="H8" s="46" t="s">
        <v>23</v>
      </c>
      <c r="I8" s="34"/>
      <c r="J8" s="34"/>
      <c r="K8" s="55"/>
      <c r="L8" s="34"/>
      <c r="M8" s="34"/>
      <c r="N8" s="1"/>
      <c r="O8" s="1"/>
      <c r="P8" s="1"/>
      <c r="Q8" s="1"/>
    </row>
    <row r="9" spans="1:17" x14ac:dyDescent="0.25">
      <c r="N9" s="54" t="s">
        <v>24</v>
      </c>
      <c r="O9" s="36"/>
      <c r="P9" s="36"/>
      <c r="Q9" s="36"/>
    </row>
    <row r="10" spans="1:17" x14ac:dyDescent="0.25">
      <c r="B10" s="37" t="s">
        <v>25</v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6"/>
      <c r="O10" s="36"/>
      <c r="P10" s="36"/>
      <c r="Q10" s="36"/>
    </row>
    <row r="11" spans="1:17" x14ac:dyDescent="0.25">
      <c r="N11" s="36"/>
      <c r="O11" s="36"/>
      <c r="P11" s="36"/>
      <c r="Q11" s="36"/>
    </row>
    <row r="12" spans="1:17" x14ac:dyDescent="0.25">
      <c r="N12" s="1"/>
      <c r="O12" s="1"/>
      <c r="P12" s="1"/>
      <c r="Q12" s="1"/>
    </row>
    <row r="13" spans="1:17" x14ac:dyDescent="0.25">
      <c r="N13" s="35" t="str">
        <f>HYPERLINK("#Home!A1","← Back to Home")</f>
        <v>← Back to Home</v>
      </c>
      <c r="O13" s="36"/>
      <c r="P13" s="36"/>
      <c r="Q13" s="36"/>
    </row>
    <row r="14" spans="1:17" x14ac:dyDescent="0.25">
      <c r="N14" s="1"/>
      <c r="O14" s="1"/>
      <c r="P14" s="1"/>
      <c r="Q14" s="1"/>
    </row>
    <row r="15" spans="1:17" x14ac:dyDescent="0.25">
      <c r="N15" s="1"/>
      <c r="O15" s="1"/>
      <c r="P15" s="1"/>
      <c r="Q15" s="1"/>
    </row>
    <row r="16" spans="1:17" x14ac:dyDescent="0.25">
      <c r="N16" s="1"/>
      <c r="O16" s="1"/>
      <c r="P16" s="1"/>
      <c r="Q16" s="1"/>
    </row>
    <row r="17" spans="14:17" x14ac:dyDescent="0.25">
      <c r="N17" s="1"/>
      <c r="O17" s="1"/>
      <c r="P17" s="1"/>
      <c r="Q17" s="1"/>
    </row>
    <row r="18" spans="14:17" x14ac:dyDescent="0.25">
      <c r="N18" s="1"/>
      <c r="O18" s="1"/>
      <c r="P18" s="1"/>
      <c r="Q18" s="1"/>
    </row>
    <row r="19" spans="14:17" x14ac:dyDescent="0.25">
      <c r="N19" s="1"/>
      <c r="O19" s="1"/>
      <c r="P19" s="1"/>
      <c r="Q19" s="1"/>
    </row>
    <row r="20" spans="14:17" x14ac:dyDescent="0.25">
      <c r="N20" s="1"/>
      <c r="O20" s="1"/>
      <c r="P20" s="1"/>
      <c r="Q20" s="1"/>
    </row>
    <row r="21" spans="14:17" x14ac:dyDescent="0.25">
      <c r="N21" s="1"/>
      <c r="O21" s="1"/>
      <c r="P21" s="1"/>
      <c r="Q21" s="1"/>
    </row>
    <row r="22" spans="14:17" x14ac:dyDescent="0.25">
      <c r="N22" s="1"/>
      <c r="O22" s="1"/>
      <c r="P22" s="1"/>
      <c r="Q22" s="1"/>
    </row>
    <row r="23" spans="14:17" x14ac:dyDescent="0.25">
      <c r="N23" s="1"/>
      <c r="O23" s="1"/>
      <c r="P23" s="1"/>
      <c r="Q23" s="1"/>
    </row>
    <row r="24" spans="14:17" x14ac:dyDescent="0.25">
      <c r="N24" s="1"/>
      <c r="O24" s="1"/>
      <c r="P24" s="1"/>
      <c r="Q24" s="1"/>
    </row>
    <row r="25" spans="14:17" x14ac:dyDescent="0.25">
      <c r="N25" s="1"/>
      <c r="O25" s="1"/>
      <c r="P25" s="1"/>
      <c r="Q25" s="1"/>
    </row>
    <row r="26" spans="14:17" x14ac:dyDescent="0.25">
      <c r="N26" s="1"/>
      <c r="O26" s="1"/>
      <c r="P26" s="1"/>
      <c r="Q26" s="1"/>
    </row>
    <row r="27" spans="14:17" x14ac:dyDescent="0.25">
      <c r="N27" s="1"/>
      <c r="O27" s="1"/>
      <c r="P27" s="1"/>
      <c r="Q27" s="1"/>
    </row>
    <row r="28" spans="14:17" x14ac:dyDescent="0.25">
      <c r="N28" s="1"/>
      <c r="O28" s="1"/>
      <c r="P28" s="1"/>
      <c r="Q28" s="1"/>
    </row>
    <row r="29" spans="14:17" x14ac:dyDescent="0.25">
      <c r="N29" s="1"/>
      <c r="O29" s="1"/>
      <c r="P29" s="1"/>
      <c r="Q29" s="1"/>
    </row>
    <row r="30" spans="14:17" x14ac:dyDescent="0.25">
      <c r="N30" s="1"/>
      <c r="O30" s="1"/>
      <c r="P30" s="1"/>
      <c r="Q30" s="1"/>
    </row>
    <row r="31" spans="14:17" x14ac:dyDescent="0.25">
      <c r="N31" s="1"/>
      <c r="O31" s="1"/>
      <c r="P31" s="1"/>
      <c r="Q31" s="1"/>
    </row>
    <row r="32" spans="14:17" x14ac:dyDescent="0.25">
      <c r="N32" s="1"/>
      <c r="O32" s="1"/>
      <c r="P32" s="1"/>
      <c r="Q32" s="1"/>
    </row>
    <row r="33" spans="14:17" x14ac:dyDescent="0.25">
      <c r="N33" s="1"/>
      <c r="O33" s="1"/>
      <c r="P33" s="1"/>
      <c r="Q33" s="1"/>
    </row>
    <row r="34" spans="14:17" x14ac:dyDescent="0.25">
      <c r="N34" s="1"/>
      <c r="O34" s="1"/>
      <c r="P34" s="1"/>
      <c r="Q34" s="1"/>
    </row>
    <row r="35" spans="14:17" x14ac:dyDescent="0.25">
      <c r="N35" s="1"/>
      <c r="O35" s="1"/>
      <c r="P35" s="1"/>
      <c r="Q35" s="1"/>
    </row>
    <row r="36" spans="14:17" x14ac:dyDescent="0.25">
      <c r="N36" s="1"/>
      <c r="O36" s="1"/>
      <c r="P36" s="1"/>
      <c r="Q36" s="1"/>
    </row>
    <row r="37" spans="14:17" x14ac:dyDescent="0.25">
      <c r="N37" s="1"/>
      <c r="O37" s="1"/>
      <c r="P37" s="1"/>
      <c r="Q37" s="1"/>
    </row>
    <row r="38" spans="14:17" x14ac:dyDescent="0.25">
      <c r="N38" s="1"/>
      <c r="O38" s="1"/>
      <c r="P38" s="1"/>
      <c r="Q38" s="1"/>
    </row>
    <row r="39" spans="14:17" x14ac:dyDescent="0.25">
      <c r="N39" s="1"/>
      <c r="O39" s="1"/>
      <c r="P39" s="1"/>
      <c r="Q39" s="1"/>
    </row>
    <row r="40" spans="14:17" x14ac:dyDescent="0.25">
      <c r="N40" s="1"/>
      <c r="O40" s="1"/>
      <c r="P40" s="1"/>
      <c r="Q40" s="1"/>
    </row>
    <row r="41" spans="14:17" x14ac:dyDescent="0.25">
      <c r="N41" s="1"/>
      <c r="O41" s="1"/>
      <c r="P41" s="1"/>
      <c r="Q41" s="1"/>
    </row>
    <row r="42" spans="14:17" x14ac:dyDescent="0.25">
      <c r="N42" s="1"/>
      <c r="O42" s="1"/>
      <c r="P42" s="1"/>
      <c r="Q42" s="1"/>
    </row>
  </sheetData>
  <mergeCells count="16">
    <mergeCell ref="B6:D7"/>
    <mergeCell ref="N13:Q13"/>
    <mergeCell ref="B10:M10"/>
    <mergeCell ref="A1:M3"/>
    <mergeCell ref="B8:D8"/>
    <mergeCell ref="E8:G8"/>
    <mergeCell ref="N3:Q3"/>
    <mergeCell ref="A4:M4"/>
    <mergeCell ref="N4:Q4"/>
    <mergeCell ref="H8:J8"/>
    <mergeCell ref="K6:M7"/>
    <mergeCell ref="E6:G7"/>
    <mergeCell ref="N1:Q2"/>
    <mergeCell ref="H6:J7"/>
    <mergeCell ref="N9:Q11"/>
    <mergeCell ref="K8:M8"/>
  </mergeCells>
  <pageMargins left="0.75" right="0.75" top="1" bottom="1" header="0.5" footer="0.5"/>
  <pageSetup fitToHeight="0" orientation="landscape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xr:uid="{00000000-0002-0000-0100-000000000000}">
          <x14:formula1>
            <xm:f>Lists!$A$2:$A$7</xm:f>
          </x14:formula1>
          <xm:sqref>N4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Q42"/>
  <sheetViews>
    <sheetView showGridLines="0" zoomScaleNormal="100" workbookViewId="0">
      <selection activeCell="B10" sqref="B10:M10"/>
    </sheetView>
  </sheetViews>
  <sheetFormatPr defaultRowHeight="15" x14ac:dyDescent="0.25"/>
  <cols>
    <col min="1" max="1" width="2.28515625" customWidth="1"/>
    <col min="2" max="12" width="9.140625" customWidth="1"/>
    <col min="13" max="13" width="31.28515625" customWidth="1"/>
    <col min="14" max="16" width="13.42578125" customWidth="1"/>
    <col min="17" max="17" width="11.7109375" customWidth="1"/>
  </cols>
  <sheetData>
    <row r="1" spans="1:17" ht="15.95" customHeight="1" x14ac:dyDescent="0.25">
      <c r="A1" s="56" t="s">
        <v>26</v>
      </c>
      <c r="B1" s="57"/>
      <c r="C1" s="57"/>
      <c r="D1" s="57"/>
      <c r="E1" s="57"/>
      <c r="F1" s="57"/>
      <c r="G1" s="57"/>
      <c r="H1" s="57"/>
      <c r="I1" s="57"/>
      <c r="J1" s="57"/>
      <c r="K1" s="57"/>
      <c r="L1" s="57"/>
      <c r="M1" s="57"/>
      <c r="N1" s="51" t="s">
        <v>0</v>
      </c>
      <c r="O1" s="52"/>
      <c r="P1" s="52"/>
      <c r="Q1" s="52"/>
    </row>
    <row r="2" spans="1:17" ht="20.100000000000001" customHeight="1" x14ac:dyDescent="0.25">
      <c r="A2" s="57"/>
      <c r="B2" s="57"/>
      <c r="C2" s="57"/>
      <c r="D2" s="57"/>
      <c r="E2" s="57"/>
      <c r="F2" s="57"/>
      <c r="G2" s="57"/>
      <c r="H2" s="57"/>
      <c r="I2" s="57"/>
      <c r="J2" s="57"/>
      <c r="K2" s="57"/>
      <c r="L2" s="57"/>
      <c r="M2" s="57"/>
      <c r="N2" s="52"/>
      <c r="O2" s="52"/>
      <c r="P2" s="52"/>
      <c r="Q2" s="52"/>
    </row>
    <row r="3" spans="1:17" ht="15.95" customHeight="1" x14ac:dyDescent="0.25">
      <c r="A3" s="57"/>
      <c r="B3" s="57"/>
      <c r="C3" s="57"/>
      <c r="D3" s="57"/>
      <c r="E3" s="57"/>
      <c r="F3" s="57"/>
      <c r="G3" s="57"/>
      <c r="H3" s="57"/>
      <c r="I3" s="57"/>
      <c r="J3" s="57"/>
      <c r="K3" s="57"/>
      <c r="L3" s="57"/>
      <c r="M3" s="57"/>
      <c r="N3" s="43" t="s">
        <v>1</v>
      </c>
      <c r="O3" s="36"/>
      <c r="P3" s="36"/>
      <c r="Q3" s="36"/>
    </row>
    <row r="4" spans="1:17" ht="14.1" customHeight="1" x14ac:dyDescent="0.25">
      <c r="A4" s="44" t="s">
        <v>27</v>
      </c>
      <c r="B4" s="36"/>
      <c r="C4" s="36"/>
      <c r="D4" s="36"/>
      <c r="E4" s="36"/>
      <c r="F4" s="36"/>
      <c r="G4" s="36"/>
      <c r="H4" s="36"/>
      <c r="I4" s="36"/>
      <c r="J4" s="36"/>
      <c r="K4" s="36"/>
      <c r="L4" s="36"/>
      <c r="M4" s="36"/>
      <c r="N4" s="45" t="s">
        <v>73</v>
      </c>
      <c r="O4" s="36"/>
      <c r="P4" s="36"/>
      <c r="Q4" s="36"/>
    </row>
    <row r="6" spans="1:17" ht="21.95" customHeight="1" x14ac:dyDescent="0.25">
      <c r="B6" s="32">
        <f>Calc!B76</f>
        <v>605</v>
      </c>
      <c r="C6" s="33"/>
      <c r="D6" s="33"/>
      <c r="E6" s="50" t="str">
        <f>TEXT(Calc!B77,"#,##0")</f>
        <v>11,670,458</v>
      </c>
      <c r="F6" s="33"/>
      <c r="G6" s="33"/>
      <c r="H6" s="53" t="str">
        <f>TEXT(Calc!B78,"#,##0")</f>
        <v>19,290</v>
      </c>
      <c r="I6" s="33"/>
      <c r="J6" s="33"/>
      <c r="K6" s="47" t="s">
        <v>28</v>
      </c>
      <c r="L6" s="48"/>
      <c r="M6" s="48"/>
      <c r="N6" s="1"/>
      <c r="O6" s="1"/>
      <c r="P6" s="1"/>
      <c r="Q6" s="1"/>
    </row>
    <row r="7" spans="1:17" ht="21.95" customHeight="1" x14ac:dyDescent="0.25">
      <c r="B7" s="34"/>
      <c r="C7" s="34"/>
      <c r="D7" s="34"/>
      <c r="E7" s="34"/>
      <c r="F7" s="34"/>
      <c r="G7" s="34"/>
      <c r="H7" s="34"/>
      <c r="I7" s="34"/>
      <c r="J7" s="34"/>
      <c r="K7" s="49"/>
      <c r="L7" s="49"/>
      <c r="M7" s="49"/>
      <c r="N7" s="1"/>
      <c r="O7" s="1"/>
      <c r="P7" s="1"/>
      <c r="Q7" s="1"/>
    </row>
    <row r="8" spans="1:17" ht="15.95" customHeight="1" x14ac:dyDescent="0.25">
      <c r="B8" s="41" t="s">
        <v>6</v>
      </c>
      <c r="C8" s="34"/>
      <c r="D8" s="34"/>
      <c r="E8" s="42" t="s">
        <v>29</v>
      </c>
      <c r="F8" s="34"/>
      <c r="G8" s="34"/>
      <c r="H8" s="46" t="s">
        <v>30</v>
      </c>
      <c r="I8" s="34"/>
      <c r="J8" s="34"/>
      <c r="K8" s="55"/>
      <c r="L8" s="34"/>
      <c r="M8" s="34"/>
      <c r="N8" s="1"/>
      <c r="O8" s="1"/>
      <c r="P8" s="1"/>
      <c r="Q8" s="1"/>
    </row>
    <row r="9" spans="1:17" x14ac:dyDescent="0.25">
      <c r="N9" s="54" t="s">
        <v>31</v>
      </c>
      <c r="O9" s="36"/>
      <c r="P9" s="36"/>
      <c r="Q9" s="36"/>
    </row>
    <row r="10" spans="1:17" x14ac:dyDescent="0.25">
      <c r="B10" s="37" t="s">
        <v>32</v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6"/>
      <c r="O10" s="36"/>
      <c r="P10" s="36"/>
      <c r="Q10" s="36"/>
    </row>
    <row r="11" spans="1:17" x14ac:dyDescent="0.25">
      <c r="N11" s="36"/>
      <c r="O11" s="36"/>
      <c r="P11" s="36"/>
      <c r="Q11" s="36"/>
    </row>
    <row r="12" spans="1:17" x14ac:dyDescent="0.25">
      <c r="N12" s="1"/>
      <c r="O12" s="1"/>
      <c r="P12" s="1"/>
      <c r="Q12" s="1"/>
    </row>
    <row r="13" spans="1:17" x14ac:dyDescent="0.25">
      <c r="N13" s="35" t="str">
        <f>HYPERLINK("#Home!A1","← Back to Home")</f>
        <v>← Back to Home</v>
      </c>
      <c r="O13" s="36"/>
      <c r="P13" s="36"/>
      <c r="Q13" s="36"/>
    </row>
    <row r="14" spans="1:17" x14ac:dyDescent="0.25">
      <c r="N14" s="1"/>
      <c r="O14" s="1"/>
      <c r="P14" s="1"/>
      <c r="Q14" s="1"/>
    </row>
    <row r="15" spans="1:17" x14ac:dyDescent="0.25">
      <c r="N15" s="1"/>
      <c r="O15" s="1"/>
      <c r="P15" s="1"/>
      <c r="Q15" s="1"/>
    </row>
    <row r="16" spans="1:17" x14ac:dyDescent="0.25">
      <c r="N16" s="1"/>
      <c r="O16" s="1"/>
      <c r="P16" s="1"/>
      <c r="Q16" s="1"/>
    </row>
    <row r="17" spans="14:17" x14ac:dyDescent="0.25">
      <c r="N17" s="1"/>
      <c r="O17" s="1"/>
      <c r="P17" s="1"/>
      <c r="Q17" s="1"/>
    </row>
    <row r="18" spans="14:17" x14ac:dyDescent="0.25">
      <c r="N18" s="1"/>
      <c r="O18" s="1"/>
      <c r="P18" s="1"/>
      <c r="Q18" s="1"/>
    </row>
    <row r="19" spans="14:17" x14ac:dyDescent="0.25">
      <c r="N19" s="1"/>
      <c r="O19" s="1"/>
      <c r="P19" s="1"/>
      <c r="Q19" s="1"/>
    </row>
    <row r="20" spans="14:17" x14ac:dyDescent="0.25">
      <c r="N20" s="1"/>
      <c r="O20" s="1"/>
      <c r="P20" s="1"/>
      <c r="Q20" s="1"/>
    </row>
    <row r="21" spans="14:17" x14ac:dyDescent="0.25">
      <c r="N21" s="1"/>
      <c r="O21" s="1"/>
      <c r="P21" s="1"/>
      <c r="Q21" s="1"/>
    </row>
    <row r="22" spans="14:17" x14ac:dyDescent="0.25">
      <c r="N22" s="1"/>
      <c r="O22" s="1"/>
      <c r="P22" s="1"/>
      <c r="Q22" s="1"/>
    </row>
    <row r="23" spans="14:17" x14ac:dyDescent="0.25">
      <c r="N23" s="1"/>
      <c r="O23" s="1"/>
      <c r="P23" s="1"/>
      <c r="Q23" s="1"/>
    </row>
    <row r="24" spans="14:17" x14ac:dyDescent="0.25">
      <c r="N24" s="1"/>
      <c r="O24" s="1"/>
      <c r="P24" s="1"/>
      <c r="Q24" s="1"/>
    </row>
    <row r="25" spans="14:17" x14ac:dyDescent="0.25">
      <c r="N25" s="1"/>
      <c r="O25" s="1"/>
      <c r="P25" s="1"/>
      <c r="Q25" s="1"/>
    </row>
    <row r="26" spans="14:17" x14ac:dyDescent="0.25">
      <c r="N26" s="1"/>
      <c r="O26" s="1"/>
      <c r="P26" s="1"/>
      <c r="Q26" s="1"/>
    </row>
    <row r="27" spans="14:17" x14ac:dyDescent="0.25">
      <c r="N27" s="1"/>
      <c r="O27" s="1"/>
      <c r="P27" s="1"/>
      <c r="Q27" s="1"/>
    </row>
    <row r="28" spans="14:17" x14ac:dyDescent="0.25">
      <c r="N28" s="1"/>
      <c r="O28" s="1"/>
      <c r="P28" s="1"/>
      <c r="Q28" s="1"/>
    </row>
    <row r="29" spans="14:17" x14ac:dyDescent="0.25">
      <c r="N29" s="1"/>
      <c r="O29" s="1"/>
      <c r="P29" s="1"/>
      <c r="Q29" s="1"/>
    </row>
    <row r="30" spans="14:17" x14ac:dyDescent="0.25">
      <c r="N30" s="1"/>
      <c r="O30" s="1"/>
      <c r="P30" s="1"/>
      <c r="Q30" s="1"/>
    </row>
    <row r="31" spans="14:17" x14ac:dyDescent="0.25">
      <c r="N31" s="1"/>
      <c r="O31" s="1"/>
      <c r="P31" s="1"/>
      <c r="Q31" s="1"/>
    </row>
    <row r="32" spans="14:17" x14ac:dyDescent="0.25">
      <c r="N32" s="1"/>
      <c r="O32" s="1"/>
      <c r="P32" s="1"/>
      <c r="Q32" s="1"/>
    </row>
    <row r="33" spans="14:17" x14ac:dyDescent="0.25">
      <c r="N33" s="1"/>
      <c r="O33" s="1"/>
      <c r="P33" s="1"/>
      <c r="Q33" s="1"/>
    </row>
    <row r="34" spans="14:17" x14ac:dyDescent="0.25">
      <c r="N34" s="1"/>
      <c r="O34" s="1"/>
      <c r="P34" s="1"/>
      <c r="Q34" s="1"/>
    </row>
    <row r="35" spans="14:17" x14ac:dyDescent="0.25">
      <c r="N35" s="1"/>
      <c r="O35" s="1"/>
      <c r="P35" s="1"/>
      <c r="Q35" s="1"/>
    </row>
    <row r="36" spans="14:17" x14ac:dyDescent="0.25">
      <c r="N36" s="1"/>
      <c r="O36" s="1"/>
      <c r="P36" s="1"/>
      <c r="Q36" s="1"/>
    </row>
    <row r="37" spans="14:17" x14ac:dyDescent="0.25">
      <c r="N37" s="1"/>
      <c r="O37" s="1"/>
      <c r="P37" s="1"/>
      <c r="Q37" s="1"/>
    </row>
    <row r="38" spans="14:17" x14ac:dyDescent="0.25">
      <c r="N38" s="1"/>
      <c r="O38" s="1"/>
      <c r="P38" s="1"/>
      <c r="Q38" s="1"/>
    </row>
    <row r="39" spans="14:17" x14ac:dyDescent="0.25">
      <c r="N39" s="1"/>
      <c r="O39" s="1"/>
      <c r="P39" s="1"/>
      <c r="Q39" s="1"/>
    </row>
    <row r="40" spans="14:17" x14ac:dyDescent="0.25">
      <c r="N40" s="1"/>
      <c r="O40" s="1"/>
      <c r="P40" s="1"/>
      <c r="Q40" s="1"/>
    </row>
    <row r="41" spans="14:17" x14ac:dyDescent="0.25">
      <c r="N41" s="1"/>
      <c r="O41" s="1"/>
      <c r="P41" s="1"/>
      <c r="Q41" s="1"/>
    </row>
    <row r="42" spans="14:17" x14ac:dyDescent="0.25">
      <c r="N42" s="1"/>
      <c r="O42" s="1"/>
      <c r="P42" s="1"/>
      <c r="Q42" s="1"/>
    </row>
  </sheetData>
  <mergeCells count="16">
    <mergeCell ref="B6:D7"/>
    <mergeCell ref="N13:Q13"/>
    <mergeCell ref="B10:M10"/>
    <mergeCell ref="A1:M3"/>
    <mergeCell ref="B8:D8"/>
    <mergeCell ref="E8:G8"/>
    <mergeCell ref="N3:Q3"/>
    <mergeCell ref="A4:M4"/>
    <mergeCell ref="N4:Q4"/>
    <mergeCell ref="H8:J8"/>
    <mergeCell ref="K6:M7"/>
    <mergeCell ref="E6:G7"/>
    <mergeCell ref="N1:Q2"/>
    <mergeCell ref="H6:J7"/>
    <mergeCell ref="N9:Q11"/>
    <mergeCell ref="K8:M8"/>
  </mergeCells>
  <pageMargins left="0.75" right="0.75" top="1" bottom="1" header="0.5" footer="0.5"/>
  <pageSetup fitToHeight="0" orientation="landscape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xr:uid="{00000000-0002-0000-0200-000000000000}">
          <x14:formula1>
            <xm:f>Lists!$A$2:$A$7</xm:f>
          </x14:formula1>
          <xm:sqref>N4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Q42"/>
  <sheetViews>
    <sheetView showGridLines="0" workbookViewId="0">
      <selection activeCell="K6" sqref="K6:M7"/>
    </sheetView>
  </sheetViews>
  <sheetFormatPr defaultRowHeight="15" x14ac:dyDescent="0.25"/>
  <cols>
    <col min="1" max="1" width="2.28515625" customWidth="1"/>
    <col min="2" max="12" width="9.140625" customWidth="1"/>
    <col min="13" max="13" width="21.5703125" customWidth="1"/>
    <col min="14" max="16" width="13.42578125" customWidth="1"/>
    <col min="17" max="17" width="18.5703125" customWidth="1"/>
  </cols>
  <sheetData>
    <row r="1" spans="1:17" ht="15.95" customHeight="1" x14ac:dyDescent="0.25">
      <c r="A1" s="56" t="s">
        <v>33</v>
      </c>
      <c r="B1" s="57"/>
      <c r="C1" s="57"/>
      <c r="D1" s="57"/>
      <c r="E1" s="57"/>
      <c r="F1" s="57"/>
      <c r="G1" s="57"/>
      <c r="H1" s="57"/>
      <c r="I1" s="57"/>
      <c r="J1" s="57"/>
      <c r="K1" s="57"/>
      <c r="L1" s="57"/>
      <c r="M1" s="57"/>
      <c r="N1" s="51" t="s">
        <v>0</v>
      </c>
      <c r="O1" s="52"/>
      <c r="P1" s="52"/>
      <c r="Q1" s="52"/>
    </row>
    <row r="2" spans="1:17" ht="20.100000000000001" customHeight="1" x14ac:dyDescent="0.25">
      <c r="A2" s="57"/>
      <c r="B2" s="57"/>
      <c r="C2" s="57"/>
      <c r="D2" s="57"/>
      <c r="E2" s="57"/>
      <c r="F2" s="57"/>
      <c r="G2" s="57"/>
      <c r="H2" s="57"/>
      <c r="I2" s="57"/>
      <c r="J2" s="57"/>
      <c r="K2" s="57"/>
      <c r="L2" s="57"/>
      <c r="M2" s="57"/>
      <c r="N2" s="52"/>
      <c r="O2" s="52"/>
      <c r="P2" s="52"/>
      <c r="Q2" s="52"/>
    </row>
    <row r="3" spans="1:17" ht="15.95" customHeight="1" x14ac:dyDescent="0.25">
      <c r="A3" s="57"/>
      <c r="B3" s="57"/>
      <c r="C3" s="57"/>
      <c r="D3" s="57"/>
      <c r="E3" s="57"/>
      <c r="F3" s="57"/>
      <c r="G3" s="57"/>
      <c r="H3" s="57"/>
      <c r="I3" s="57"/>
      <c r="J3" s="57"/>
      <c r="K3" s="57"/>
      <c r="L3" s="57"/>
      <c r="M3" s="57"/>
      <c r="N3" s="43" t="s">
        <v>1</v>
      </c>
      <c r="O3" s="36"/>
      <c r="P3" s="36"/>
      <c r="Q3" s="36"/>
    </row>
    <row r="4" spans="1:17" ht="16.5" customHeight="1" x14ac:dyDescent="0.25">
      <c r="A4" s="44" t="s">
        <v>34</v>
      </c>
      <c r="B4" s="36"/>
      <c r="C4" s="36"/>
      <c r="D4" s="36"/>
      <c r="E4" s="36"/>
      <c r="F4" s="36"/>
      <c r="G4" s="36"/>
      <c r="H4" s="36"/>
      <c r="I4" s="36"/>
      <c r="J4" s="36"/>
      <c r="K4" s="36"/>
      <c r="L4" s="36"/>
      <c r="M4" s="36"/>
      <c r="N4" s="45" t="s">
        <v>3</v>
      </c>
      <c r="O4" s="36"/>
      <c r="P4" s="36"/>
      <c r="Q4" s="36"/>
    </row>
    <row r="6" spans="1:17" ht="21.95" customHeight="1" x14ac:dyDescent="0.25">
      <c r="B6" s="32">
        <f>Calc!B136</f>
        <v>320</v>
      </c>
      <c r="C6" s="33"/>
      <c r="D6" s="33"/>
      <c r="E6" s="50" t="str">
        <f>TEXT(Calc!B137,"#,##0")</f>
        <v>359,793,000</v>
      </c>
      <c r="F6" s="33"/>
      <c r="G6" s="33"/>
      <c r="H6" s="53" t="str">
        <f>TEXT(Calc!B138,"#,##0")</f>
        <v>1,124,353</v>
      </c>
      <c r="I6" s="33"/>
      <c r="J6" s="33"/>
      <c r="K6" s="58" t="str">
        <f>TEXT(Calc!B139,"0.00")&amp;"%"</f>
        <v>11.25%</v>
      </c>
      <c r="L6" s="33"/>
      <c r="M6" s="33"/>
      <c r="N6" s="1"/>
      <c r="O6" s="1"/>
      <c r="P6" s="1"/>
      <c r="Q6" s="1"/>
    </row>
    <row r="7" spans="1:17" ht="21.95" customHeight="1" x14ac:dyDescent="0.25">
      <c r="B7" s="34"/>
      <c r="C7" s="34"/>
      <c r="D7" s="34"/>
      <c r="E7" s="34"/>
      <c r="F7" s="34"/>
      <c r="G7" s="34"/>
      <c r="H7" s="34"/>
      <c r="I7" s="34"/>
      <c r="J7" s="34"/>
      <c r="K7" s="34"/>
      <c r="L7" s="34"/>
      <c r="M7" s="34"/>
      <c r="N7" s="1"/>
      <c r="O7" s="1"/>
      <c r="P7" s="1"/>
      <c r="Q7" s="1"/>
    </row>
    <row r="8" spans="1:17" ht="15.95" customHeight="1" x14ac:dyDescent="0.25">
      <c r="B8" s="41" t="s">
        <v>35</v>
      </c>
      <c r="C8" s="34"/>
      <c r="D8" s="34"/>
      <c r="E8" s="42" t="s">
        <v>36</v>
      </c>
      <c r="F8" s="34"/>
      <c r="G8" s="34"/>
      <c r="H8" s="46" t="s">
        <v>37</v>
      </c>
      <c r="I8" s="34"/>
      <c r="J8" s="34"/>
      <c r="K8" s="59" t="s">
        <v>38</v>
      </c>
      <c r="L8" s="34"/>
      <c r="M8" s="34"/>
      <c r="N8" s="1"/>
      <c r="O8" s="1"/>
      <c r="P8" s="1"/>
      <c r="Q8" s="1"/>
    </row>
    <row r="9" spans="1:17" x14ac:dyDescent="0.25">
      <c r="N9" s="54" t="s">
        <v>39</v>
      </c>
      <c r="O9" s="36"/>
      <c r="P9" s="36"/>
      <c r="Q9" s="36"/>
    </row>
    <row r="10" spans="1:17" x14ac:dyDescent="0.25">
      <c r="B10" s="37" t="s">
        <v>40</v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6"/>
      <c r="O10" s="36"/>
      <c r="P10" s="36"/>
      <c r="Q10" s="36"/>
    </row>
    <row r="11" spans="1:17" x14ac:dyDescent="0.25">
      <c r="N11" s="36"/>
      <c r="O11" s="36"/>
      <c r="P11" s="36"/>
      <c r="Q11" s="36"/>
    </row>
    <row r="12" spans="1:17" x14ac:dyDescent="0.25">
      <c r="N12" s="1"/>
      <c r="O12" s="1"/>
      <c r="P12" s="1"/>
      <c r="Q12" s="1"/>
    </row>
    <row r="13" spans="1:17" x14ac:dyDescent="0.25">
      <c r="N13" s="35" t="str">
        <f>HYPERLINK("#Home!A1","← Back to Home")</f>
        <v>← Back to Home</v>
      </c>
      <c r="O13" s="36"/>
      <c r="P13" s="36"/>
      <c r="Q13" s="36"/>
    </row>
    <row r="14" spans="1:17" x14ac:dyDescent="0.25">
      <c r="N14" s="1"/>
      <c r="O14" s="1"/>
      <c r="P14" s="1"/>
      <c r="Q14" s="1"/>
    </row>
    <row r="15" spans="1:17" x14ac:dyDescent="0.25">
      <c r="N15" s="1"/>
      <c r="O15" s="1"/>
      <c r="P15" s="1"/>
      <c r="Q15" s="1"/>
    </row>
    <row r="16" spans="1:17" x14ac:dyDescent="0.25">
      <c r="N16" s="1"/>
      <c r="O16" s="1"/>
      <c r="P16" s="1"/>
      <c r="Q16" s="1"/>
    </row>
    <row r="17" spans="14:17" x14ac:dyDescent="0.25">
      <c r="N17" s="1"/>
      <c r="O17" s="1"/>
      <c r="P17" s="1"/>
      <c r="Q17" s="1"/>
    </row>
    <row r="18" spans="14:17" x14ac:dyDescent="0.25">
      <c r="N18" s="1"/>
      <c r="O18" s="1"/>
      <c r="P18" s="1"/>
      <c r="Q18" s="1"/>
    </row>
    <row r="19" spans="14:17" x14ac:dyDescent="0.25">
      <c r="N19" s="1"/>
      <c r="O19" s="1"/>
      <c r="P19" s="1"/>
      <c r="Q19" s="1"/>
    </row>
    <row r="20" spans="14:17" x14ac:dyDescent="0.25">
      <c r="N20" s="1"/>
      <c r="O20" s="1"/>
      <c r="P20" s="1"/>
      <c r="Q20" s="1"/>
    </row>
    <row r="21" spans="14:17" x14ac:dyDescent="0.25">
      <c r="N21" s="1"/>
      <c r="O21" s="1"/>
      <c r="P21" s="1"/>
      <c r="Q21" s="1"/>
    </row>
    <row r="22" spans="14:17" x14ac:dyDescent="0.25">
      <c r="N22" s="1"/>
      <c r="O22" s="1"/>
      <c r="P22" s="1"/>
      <c r="Q22" s="1"/>
    </row>
    <row r="23" spans="14:17" x14ac:dyDescent="0.25">
      <c r="N23" s="1"/>
      <c r="O23" s="1"/>
      <c r="P23" s="1"/>
      <c r="Q23" s="1"/>
    </row>
    <row r="24" spans="14:17" x14ac:dyDescent="0.25">
      <c r="N24" s="1"/>
      <c r="O24" s="1"/>
      <c r="P24" s="1"/>
      <c r="Q24" s="1"/>
    </row>
    <row r="25" spans="14:17" x14ac:dyDescent="0.25">
      <c r="N25" s="1"/>
      <c r="O25" s="1"/>
      <c r="P25" s="1"/>
      <c r="Q25" s="1"/>
    </row>
    <row r="26" spans="14:17" x14ac:dyDescent="0.25">
      <c r="N26" s="1"/>
      <c r="O26" s="1"/>
      <c r="P26" s="1"/>
      <c r="Q26" s="1"/>
    </row>
    <row r="27" spans="14:17" x14ac:dyDescent="0.25">
      <c r="N27" s="1"/>
      <c r="O27" s="1"/>
      <c r="P27" s="1"/>
      <c r="Q27" s="1"/>
    </row>
    <row r="28" spans="14:17" x14ac:dyDescent="0.25">
      <c r="N28" s="1"/>
      <c r="O28" s="1"/>
      <c r="P28" s="1"/>
      <c r="Q28" s="1"/>
    </row>
    <row r="29" spans="14:17" x14ac:dyDescent="0.25">
      <c r="N29" s="1"/>
      <c r="O29" s="1"/>
      <c r="P29" s="1"/>
      <c r="Q29" s="1"/>
    </row>
    <row r="30" spans="14:17" x14ac:dyDescent="0.25">
      <c r="N30" s="1"/>
      <c r="O30" s="1"/>
      <c r="P30" s="1"/>
      <c r="Q30" s="1"/>
    </row>
    <row r="31" spans="14:17" x14ac:dyDescent="0.25">
      <c r="N31" s="1"/>
      <c r="O31" s="1"/>
      <c r="P31" s="1"/>
      <c r="Q31" s="1"/>
    </row>
    <row r="32" spans="14:17" x14ac:dyDescent="0.25">
      <c r="N32" s="1"/>
      <c r="O32" s="1"/>
      <c r="P32" s="1"/>
      <c r="Q32" s="1"/>
    </row>
    <row r="33" spans="14:17" x14ac:dyDescent="0.25">
      <c r="N33" s="1"/>
      <c r="O33" s="1"/>
      <c r="P33" s="1"/>
      <c r="Q33" s="1"/>
    </row>
    <row r="34" spans="14:17" x14ac:dyDescent="0.25">
      <c r="N34" s="1"/>
      <c r="O34" s="1"/>
      <c r="P34" s="1"/>
      <c r="Q34" s="1"/>
    </row>
    <row r="35" spans="14:17" x14ac:dyDescent="0.25">
      <c r="N35" s="1"/>
      <c r="O35" s="1"/>
      <c r="P35" s="1"/>
      <c r="Q35" s="1"/>
    </row>
    <row r="36" spans="14:17" x14ac:dyDescent="0.25">
      <c r="N36" s="1"/>
      <c r="O36" s="1"/>
      <c r="P36" s="1"/>
      <c r="Q36" s="1"/>
    </row>
    <row r="37" spans="14:17" x14ac:dyDescent="0.25">
      <c r="N37" s="1"/>
      <c r="O37" s="1"/>
      <c r="P37" s="1"/>
      <c r="Q37" s="1"/>
    </row>
    <row r="38" spans="14:17" x14ac:dyDescent="0.25">
      <c r="N38" s="1"/>
      <c r="O38" s="1"/>
      <c r="P38" s="1"/>
      <c r="Q38" s="1"/>
    </row>
    <row r="39" spans="14:17" x14ac:dyDescent="0.25">
      <c r="N39" s="1"/>
      <c r="O39" s="1"/>
      <c r="P39" s="1"/>
      <c r="Q39" s="1"/>
    </row>
    <row r="40" spans="14:17" x14ac:dyDescent="0.25">
      <c r="N40" s="1"/>
      <c r="O40" s="1"/>
      <c r="P40" s="1"/>
      <c r="Q40" s="1"/>
    </row>
    <row r="41" spans="14:17" x14ac:dyDescent="0.25">
      <c r="N41" s="1"/>
      <c r="O41" s="1"/>
      <c r="P41" s="1"/>
      <c r="Q41" s="1"/>
    </row>
    <row r="42" spans="14:17" x14ac:dyDescent="0.25">
      <c r="N42" s="1"/>
      <c r="O42" s="1"/>
      <c r="P42" s="1"/>
      <c r="Q42" s="1"/>
    </row>
  </sheetData>
  <mergeCells count="16">
    <mergeCell ref="B6:D7"/>
    <mergeCell ref="N13:Q13"/>
    <mergeCell ref="B10:M10"/>
    <mergeCell ref="A1:M3"/>
    <mergeCell ref="B8:D8"/>
    <mergeCell ref="E8:G8"/>
    <mergeCell ref="N3:Q3"/>
    <mergeCell ref="A4:M4"/>
    <mergeCell ref="N4:Q4"/>
    <mergeCell ref="H8:J8"/>
    <mergeCell ref="K6:M7"/>
    <mergeCell ref="E6:G7"/>
    <mergeCell ref="N1:Q2"/>
    <mergeCell ref="H6:J7"/>
    <mergeCell ref="N9:Q11"/>
    <mergeCell ref="K8:M8"/>
  </mergeCells>
  <pageMargins left="0.75" right="0.75" top="1" bottom="1" header="0.5" footer="0.5"/>
  <pageSetup fitToHeight="0" orientation="landscape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xr:uid="{00000000-0002-0000-0300-000000000000}">
          <x14:formula1>
            <xm:f>Lists!$A$2:$A$7</xm:f>
          </x14:formula1>
          <xm:sqref>N4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Q42"/>
  <sheetViews>
    <sheetView showGridLines="0" tabSelected="1" workbookViewId="0">
      <selection activeCell="N17" sqref="N17"/>
    </sheetView>
  </sheetViews>
  <sheetFormatPr defaultRowHeight="15" x14ac:dyDescent="0.25"/>
  <cols>
    <col min="1" max="1" width="2.28515625" customWidth="1"/>
    <col min="2" max="12" width="9.140625" customWidth="1"/>
    <col min="13" max="13" width="14.5703125" customWidth="1"/>
    <col min="14" max="16" width="13.42578125" customWidth="1"/>
    <col min="17" max="17" width="20.28515625" customWidth="1"/>
  </cols>
  <sheetData>
    <row r="1" spans="1:17" ht="15.95" customHeight="1" x14ac:dyDescent="0.25">
      <c r="A1" s="56" t="s">
        <v>41</v>
      </c>
      <c r="B1" s="57"/>
      <c r="C1" s="57"/>
      <c r="D1" s="57"/>
      <c r="E1" s="57"/>
      <c r="F1" s="57"/>
      <c r="G1" s="57"/>
      <c r="H1" s="57"/>
      <c r="I1" s="57"/>
      <c r="J1" s="57"/>
      <c r="K1" s="57"/>
      <c r="L1" s="57"/>
      <c r="M1" s="57"/>
      <c r="N1" s="51" t="s">
        <v>0</v>
      </c>
      <c r="O1" s="52"/>
      <c r="P1" s="52"/>
      <c r="Q1" s="52"/>
    </row>
    <row r="2" spans="1:17" ht="20.100000000000001" customHeight="1" x14ac:dyDescent="0.25">
      <c r="A2" s="57"/>
      <c r="B2" s="57"/>
      <c r="C2" s="57"/>
      <c r="D2" s="57"/>
      <c r="E2" s="57"/>
      <c r="F2" s="57"/>
      <c r="G2" s="57"/>
      <c r="H2" s="57"/>
      <c r="I2" s="57"/>
      <c r="J2" s="57"/>
      <c r="K2" s="57"/>
      <c r="L2" s="57"/>
      <c r="M2" s="57"/>
      <c r="N2" s="52"/>
      <c r="O2" s="52"/>
      <c r="P2" s="52"/>
      <c r="Q2" s="52"/>
    </row>
    <row r="3" spans="1:17" ht="15.95" customHeight="1" x14ac:dyDescent="0.25">
      <c r="A3" s="57"/>
      <c r="B3" s="57"/>
      <c r="C3" s="57"/>
      <c r="D3" s="57"/>
      <c r="E3" s="57"/>
      <c r="F3" s="57"/>
      <c r="G3" s="57"/>
      <c r="H3" s="57"/>
      <c r="I3" s="57"/>
      <c r="J3" s="57"/>
      <c r="K3" s="57"/>
      <c r="L3" s="57"/>
      <c r="M3" s="57"/>
      <c r="N3" s="43" t="s">
        <v>1</v>
      </c>
      <c r="O3" s="36"/>
      <c r="P3" s="36"/>
      <c r="Q3" s="36"/>
    </row>
    <row r="4" spans="1:17" ht="14.1" customHeight="1" x14ac:dyDescent="0.25">
      <c r="A4" s="44" t="s">
        <v>42</v>
      </c>
      <c r="B4" s="36"/>
      <c r="C4" s="36"/>
      <c r="D4" s="36"/>
      <c r="E4" s="36"/>
      <c r="F4" s="36"/>
      <c r="G4" s="36"/>
      <c r="H4" s="36"/>
      <c r="I4" s="36"/>
      <c r="J4" s="36"/>
      <c r="K4" s="36"/>
      <c r="L4" s="36"/>
      <c r="M4" s="36"/>
      <c r="N4" s="45" t="s">
        <v>96</v>
      </c>
      <c r="O4" s="36"/>
      <c r="P4" s="36"/>
      <c r="Q4" s="36"/>
    </row>
    <row r="6" spans="1:17" ht="21.95" customHeight="1" x14ac:dyDescent="0.25">
      <c r="B6" s="32" t="str">
        <f>TEXT(Calc!B159,"0.0")&amp;"%"</f>
        <v>94.0%</v>
      </c>
      <c r="C6" s="33"/>
      <c r="D6" s="33"/>
      <c r="E6" s="50">
        <f>Calc!B160</f>
        <v>18</v>
      </c>
      <c r="F6" s="33"/>
      <c r="G6" s="33"/>
      <c r="H6" s="53" t="str">
        <f>TEXT(Calc!B161,"#,##0")</f>
        <v>52,291,274</v>
      </c>
      <c r="I6" s="33"/>
      <c r="J6" s="33"/>
      <c r="K6" s="58" t="str">
        <f>TEXT(Calc!B162,"0.0")&amp;"%"</f>
        <v>12.9%</v>
      </c>
      <c r="L6" s="33"/>
      <c r="M6" s="33"/>
      <c r="N6" s="1"/>
      <c r="O6" s="1"/>
      <c r="P6" s="1"/>
      <c r="Q6" s="1"/>
    </row>
    <row r="7" spans="1:17" ht="21.95" customHeight="1" x14ac:dyDescent="0.25">
      <c r="B7" s="34"/>
      <c r="C7" s="34"/>
      <c r="D7" s="34"/>
      <c r="E7" s="34"/>
      <c r="F7" s="34"/>
      <c r="G7" s="34"/>
      <c r="H7" s="34"/>
      <c r="I7" s="34"/>
      <c r="J7" s="34"/>
      <c r="K7" s="34"/>
      <c r="L7" s="34"/>
      <c r="M7" s="34"/>
      <c r="N7" s="1"/>
      <c r="O7" s="1"/>
      <c r="P7" s="1"/>
      <c r="Q7" s="1"/>
    </row>
    <row r="8" spans="1:17" ht="15.95" customHeight="1" x14ac:dyDescent="0.25">
      <c r="B8" s="41" t="s">
        <v>7</v>
      </c>
      <c r="C8" s="34"/>
      <c r="D8" s="34"/>
      <c r="E8" s="42" t="s">
        <v>43</v>
      </c>
      <c r="F8" s="34"/>
      <c r="G8" s="34"/>
      <c r="H8" s="46" t="s">
        <v>44</v>
      </c>
      <c r="I8" s="34"/>
      <c r="J8" s="34"/>
      <c r="K8" s="59" t="s">
        <v>45</v>
      </c>
      <c r="L8" s="34"/>
      <c r="M8" s="34"/>
      <c r="N8" s="1"/>
      <c r="O8" s="1"/>
      <c r="P8" s="1"/>
      <c r="Q8" s="1"/>
    </row>
    <row r="9" spans="1:17" x14ac:dyDescent="0.25">
      <c r="N9" s="54" t="s">
        <v>46</v>
      </c>
      <c r="O9" s="36"/>
      <c r="P9" s="36"/>
      <c r="Q9" s="36"/>
    </row>
    <row r="10" spans="1:17" x14ac:dyDescent="0.25">
      <c r="B10" s="37" t="s">
        <v>47</v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6"/>
      <c r="O10" s="36"/>
      <c r="P10" s="36"/>
      <c r="Q10" s="36"/>
    </row>
    <row r="11" spans="1:17" x14ac:dyDescent="0.25">
      <c r="N11" s="36"/>
      <c r="O11" s="36"/>
      <c r="P11" s="36"/>
      <c r="Q11" s="36"/>
    </row>
    <row r="12" spans="1:17" x14ac:dyDescent="0.25">
      <c r="N12" s="1"/>
      <c r="O12" s="1"/>
      <c r="P12" s="1"/>
      <c r="Q12" s="1"/>
    </row>
    <row r="13" spans="1:17" x14ac:dyDescent="0.25">
      <c r="N13" s="35" t="str">
        <f>HYPERLINK("#Home!A1","← Back to Home")</f>
        <v>← Back to Home</v>
      </c>
      <c r="O13" s="36"/>
      <c r="P13" s="36"/>
      <c r="Q13" s="36"/>
    </row>
    <row r="14" spans="1:17" x14ac:dyDescent="0.25">
      <c r="N14" s="1"/>
      <c r="O14" s="1"/>
      <c r="P14" s="1"/>
      <c r="Q14" s="1"/>
    </row>
    <row r="15" spans="1:17" x14ac:dyDescent="0.25">
      <c r="N15" s="1"/>
      <c r="O15" s="1"/>
      <c r="P15" s="1"/>
      <c r="Q15" s="1"/>
    </row>
    <row r="16" spans="1:17" x14ac:dyDescent="0.25">
      <c r="N16" s="1"/>
      <c r="O16" s="1"/>
      <c r="P16" s="1"/>
      <c r="Q16" s="1"/>
    </row>
    <row r="17" spans="14:17" x14ac:dyDescent="0.25">
      <c r="N17" s="1"/>
      <c r="O17" s="1"/>
      <c r="P17" s="1"/>
      <c r="Q17" s="1"/>
    </row>
    <row r="18" spans="14:17" x14ac:dyDescent="0.25">
      <c r="N18" s="1"/>
      <c r="O18" s="1"/>
      <c r="P18" s="1"/>
      <c r="Q18" s="1"/>
    </row>
    <row r="19" spans="14:17" x14ac:dyDescent="0.25">
      <c r="N19" s="1"/>
      <c r="O19" s="1"/>
      <c r="P19" s="1"/>
      <c r="Q19" s="1"/>
    </row>
    <row r="20" spans="14:17" x14ac:dyDescent="0.25">
      <c r="N20" s="1"/>
      <c r="O20" s="1"/>
      <c r="P20" s="1"/>
      <c r="Q20" s="1"/>
    </row>
    <row r="21" spans="14:17" x14ac:dyDescent="0.25">
      <c r="N21" s="1"/>
      <c r="O21" s="1"/>
      <c r="P21" s="1"/>
      <c r="Q21" s="1"/>
    </row>
    <row r="22" spans="14:17" x14ac:dyDescent="0.25">
      <c r="N22" s="1"/>
      <c r="O22" s="1"/>
      <c r="P22" s="1"/>
      <c r="Q22" s="1"/>
    </row>
    <row r="23" spans="14:17" x14ac:dyDescent="0.25">
      <c r="N23" s="1"/>
      <c r="O23" s="1"/>
      <c r="P23" s="1"/>
      <c r="Q23" s="1"/>
    </row>
    <row r="24" spans="14:17" x14ac:dyDescent="0.25">
      <c r="N24" s="1"/>
      <c r="O24" s="1"/>
      <c r="P24" s="1"/>
      <c r="Q24" s="1"/>
    </row>
    <row r="25" spans="14:17" x14ac:dyDescent="0.25">
      <c r="N25" s="1"/>
      <c r="O25" s="1"/>
      <c r="P25" s="1"/>
      <c r="Q25" s="1"/>
    </row>
    <row r="26" spans="14:17" x14ac:dyDescent="0.25">
      <c r="N26" s="1"/>
      <c r="O26" s="1"/>
      <c r="P26" s="1"/>
      <c r="Q26" s="1"/>
    </row>
    <row r="27" spans="14:17" x14ac:dyDescent="0.25">
      <c r="N27" s="1"/>
      <c r="O27" s="1"/>
      <c r="P27" s="1"/>
      <c r="Q27" s="1"/>
    </row>
    <row r="28" spans="14:17" x14ac:dyDescent="0.25">
      <c r="N28" s="1"/>
      <c r="O28" s="1"/>
      <c r="P28" s="1"/>
      <c r="Q28" s="1"/>
    </row>
    <row r="29" spans="14:17" x14ac:dyDescent="0.25">
      <c r="N29" s="1"/>
      <c r="O29" s="1"/>
      <c r="P29" s="1"/>
      <c r="Q29" s="1"/>
    </row>
    <row r="30" spans="14:17" x14ac:dyDescent="0.25">
      <c r="N30" s="1"/>
      <c r="O30" s="1"/>
      <c r="P30" s="1"/>
      <c r="Q30" s="1"/>
    </row>
    <row r="31" spans="14:17" x14ac:dyDescent="0.25">
      <c r="N31" s="1"/>
      <c r="O31" s="1"/>
      <c r="P31" s="1"/>
      <c r="Q31" s="1"/>
    </row>
    <row r="32" spans="14:17" x14ac:dyDescent="0.25">
      <c r="N32" s="1"/>
      <c r="O32" s="1"/>
      <c r="P32" s="1"/>
      <c r="Q32" s="1"/>
    </row>
    <row r="33" spans="14:17" x14ac:dyDescent="0.25">
      <c r="N33" s="1"/>
      <c r="O33" s="1"/>
      <c r="P33" s="1"/>
      <c r="Q33" s="1"/>
    </row>
    <row r="34" spans="14:17" x14ac:dyDescent="0.25">
      <c r="N34" s="1"/>
      <c r="O34" s="1"/>
      <c r="P34" s="1"/>
      <c r="Q34" s="1"/>
    </row>
    <row r="35" spans="14:17" x14ac:dyDescent="0.25">
      <c r="N35" s="1"/>
      <c r="O35" s="1"/>
      <c r="P35" s="1"/>
      <c r="Q35" s="1"/>
    </row>
    <row r="36" spans="14:17" x14ac:dyDescent="0.25">
      <c r="N36" s="1"/>
      <c r="O36" s="1"/>
      <c r="P36" s="1"/>
      <c r="Q36" s="1"/>
    </row>
    <row r="37" spans="14:17" x14ac:dyDescent="0.25">
      <c r="N37" s="1"/>
      <c r="O37" s="1"/>
      <c r="P37" s="1"/>
      <c r="Q37" s="1"/>
    </row>
    <row r="38" spans="14:17" x14ac:dyDescent="0.25">
      <c r="N38" s="1"/>
      <c r="O38" s="1"/>
      <c r="P38" s="1"/>
      <c r="Q38" s="1"/>
    </row>
    <row r="39" spans="14:17" x14ac:dyDescent="0.25">
      <c r="N39" s="1"/>
      <c r="O39" s="1"/>
      <c r="P39" s="1"/>
      <c r="Q39" s="1"/>
    </row>
    <row r="40" spans="14:17" x14ac:dyDescent="0.25">
      <c r="N40" s="1"/>
      <c r="O40" s="1"/>
      <c r="P40" s="1"/>
      <c r="Q40" s="1"/>
    </row>
    <row r="41" spans="14:17" x14ac:dyDescent="0.25">
      <c r="N41" s="1"/>
      <c r="O41" s="1"/>
      <c r="P41" s="1"/>
      <c r="Q41" s="1"/>
    </row>
    <row r="42" spans="14:17" x14ac:dyDescent="0.25">
      <c r="N42" s="1"/>
      <c r="O42" s="1"/>
      <c r="P42" s="1"/>
      <c r="Q42" s="1"/>
    </row>
  </sheetData>
  <mergeCells count="16">
    <mergeCell ref="B6:D7"/>
    <mergeCell ref="N13:Q13"/>
    <mergeCell ref="B10:M10"/>
    <mergeCell ref="A1:M3"/>
    <mergeCell ref="B8:D8"/>
    <mergeCell ref="E8:G8"/>
    <mergeCell ref="N3:Q3"/>
    <mergeCell ref="A4:M4"/>
    <mergeCell ref="N4:Q4"/>
    <mergeCell ref="H8:J8"/>
    <mergeCell ref="K6:M7"/>
    <mergeCell ref="E6:G7"/>
    <mergeCell ref="N1:Q2"/>
    <mergeCell ref="H6:J7"/>
    <mergeCell ref="N9:Q11"/>
    <mergeCell ref="K8:M8"/>
  </mergeCells>
  <pageMargins left="0.75" right="0.75" top="1" bottom="1" header="0.5" footer="0.5"/>
  <pageSetup fitToHeight="0" orientation="landscape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xr:uid="{00000000-0002-0000-0400-000000000000}">
          <x14:formula1>
            <xm:f>Lists!$A$2:$A$7</xm:f>
          </x14:formula1>
          <xm:sqref>N4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Q42"/>
  <sheetViews>
    <sheetView showGridLines="0" topLeftCell="A14" workbookViewId="0">
      <selection activeCell="R6" sqref="R6"/>
    </sheetView>
  </sheetViews>
  <sheetFormatPr defaultRowHeight="15" x14ac:dyDescent="0.25"/>
  <cols>
    <col min="1" max="1" width="2.28515625" customWidth="1"/>
    <col min="2" max="12" width="9.140625" customWidth="1"/>
    <col min="13" max="13" width="14.7109375" customWidth="1"/>
    <col min="14" max="16" width="13.42578125" customWidth="1"/>
    <col min="17" max="17" width="26.5703125" customWidth="1"/>
  </cols>
  <sheetData>
    <row r="1" spans="1:17" ht="15.95" customHeight="1" x14ac:dyDescent="0.25">
      <c r="A1" s="56" t="s">
        <v>48</v>
      </c>
      <c r="B1" s="57"/>
      <c r="C1" s="57"/>
      <c r="D1" s="57"/>
      <c r="E1" s="57"/>
      <c r="F1" s="57"/>
      <c r="G1" s="57"/>
      <c r="H1" s="57"/>
      <c r="I1" s="57"/>
      <c r="J1" s="57"/>
      <c r="K1" s="57"/>
      <c r="L1" s="57"/>
      <c r="M1" s="57"/>
      <c r="N1" s="51" t="s">
        <v>0</v>
      </c>
      <c r="O1" s="52"/>
      <c r="P1" s="52"/>
      <c r="Q1" s="52"/>
    </row>
    <row r="2" spans="1:17" ht="20.100000000000001" customHeight="1" x14ac:dyDescent="0.25">
      <c r="A2" s="57"/>
      <c r="B2" s="57"/>
      <c r="C2" s="57"/>
      <c r="D2" s="57"/>
      <c r="E2" s="57"/>
      <c r="F2" s="57"/>
      <c r="G2" s="57"/>
      <c r="H2" s="57"/>
      <c r="I2" s="57"/>
      <c r="J2" s="57"/>
      <c r="K2" s="57"/>
      <c r="L2" s="57"/>
      <c r="M2" s="57"/>
      <c r="N2" s="52"/>
      <c r="O2" s="52"/>
      <c r="P2" s="52"/>
      <c r="Q2" s="52"/>
    </row>
    <row r="3" spans="1:17" ht="15.95" customHeight="1" x14ac:dyDescent="0.25">
      <c r="A3" s="57"/>
      <c r="B3" s="57"/>
      <c r="C3" s="57"/>
      <c r="D3" s="57"/>
      <c r="E3" s="57"/>
      <c r="F3" s="57"/>
      <c r="G3" s="57"/>
      <c r="H3" s="57"/>
      <c r="I3" s="57"/>
      <c r="J3" s="57"/>
      <c r="K3" s="57"/>
      <c r="L3" s="57"/>
      <c r="M3" s="57"/>
      <c r="N3" s="43" t="s">
        <v>49</v>
      </c>
      <c r="O3" s="36"/>
      <c r="P3" s="36"/>
      <c r="Q3" s="36"/>
    </row>
    <row r="4" spans="1:17" ht="14.1" customHeight="1" x14ac:dyDescent="0.25">
      <c r="A4" s="44" t="s">
        <v>50</v>
      </c>
      <c r="B4" s="36"/>
      <c r="C4" s="36"/>
      <c r="D4" s="36"/>
      <c r="E4" s="36"/>
      <c r="F4" s="36"/>
      <c r="G4" s="36"/>
      <c r="H4" s="36"/>
      <c r="I4" s="36"/>
      <c r="J4" s="36"/>
      <c r="K4" s="36"/>
      <c r="L4" s="36"/>
      <c r="M4" s="36"/>
      <c r="N4" s="45" t="s">
        <v>51</v>
      </c>
      <c r="O4" s="36"/>
      <c r="P4" s="36"/>
      <c r="Q4" s="36"/>
    </row>
    <row r="6" spans="1:17" ht="21.95" customHeight="1" x14ac:dyDescent="0.25">
      <c r="B6" s="32">
        <f>Calc!B199</f>
        <v>77</v>
      </c>
      <c r="C6" s="33"/>
      <c r="D6" s="33"/>
      <c r="E6" s="50" t="str">
        <f>TEXT(Calc!B200,"#,##0")</f>
        <v>63,121,000</v>
      </c>
      <c r="F6" s="33"/>
      <c r="G6" s="33"/>
      <c r="H6" s="53" t="str">
        <f>TEXT(Calc!B201,"#,##0")</f>
        <v>12,531,235</v>
      </c>
      <c r="I6" s="33"/>
      <c r="J6" s="33"/>
      <c r="K6" s="58" t="str">
        <f>TEXT(Calc!B202,"0.0")&amp;"%"</f>
        <v>93.3%</v>
      </c>
      <c r="L6" s="33"/>
      <c r="M6" s="33"/>
      <c r="N6" s="1"/>
      <c r="O6" s="1"/>
      <c r="P6" s="1"/>
      <c r="Q6" s="1"/>
    </row>
    <row r="7" spans="1:17" ht="21.95" customHeight="1" x14ac:dyDescent="0.25">
      <c r="B7" s="34"/>
      <c r="C7" s="34"/>
      <c r="D7" s="34"/>
      <c r="E7" s="34"/>
      <c r="F7" s="34"/>
      <c r="G7" s="34"/>
      <c r="H7" s="34"/>
      <c r="I7" s="34"/>
      <c r="J7" s="34"/>
      <c r="K7" s="34"/>
      <c r="L7" s="34"/>
      <c r="M7" s="34"/>
      <c r="N7" s="1"/>
      <c r="O7" s="1"/>
      <c r="P7" s="1"/>
      <c r="Q7" s="1"/>
    </row>
    <row r="8" spans="1:17" ht="15.95" customHeight="1" x14ac:dyDescent="0.25">
      <c r="B8" s="41" t="s">
        <v>52</v>
      </c>
      <c r="C8" s="34"/>
      <c r="D8" s="34"/>
      <c r="E8" s="42" t="s">
        <v>53</v>
      </c>
      <c r="F8" s="34"/>
      <c r="G8" s="34"/>
      <c r="H8" s="46" t="s">
        <v>54</v>
      </c>
      <c r="I8" s="34"/>
      <c r="J8" s="34"/>
      <c r="K8" s="59" t="s">
        <v>55</v>
      </c>
      <c r="L8" s="34"/>
      <c r="M8" s="34"/>
      <c r="N8" s="1"/>
      <c r="O8" s="1"/>
      <c r="P8" s="1"/>
      <c r="Q8" s="1"/>
    </row>
    <row r="9" spans="1:17" x14ac:dyDescent="0.25">
      <c r="N9" s="54" t="s">
        <v>56</v>
      </c>
      <c r="O9" s="36"/>
      <c r="P9" s="36"/>
      <c r="Q9" s="36"/>
    </row>
    <row r="10" spans="1:17" x14ac:dyDescent="0.25">
      <c r="B10" s="37" t="s">
        <v>57</v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6"/>
      <c r="O10" s="36"/>
      <c r="P10" s="36"/>
      <c r="Q10" s="36"/>
    </row>
    <row r="11" spans="1:17" x14ac:dyDescent="0.25">
      <c r="N11" s="36"/>
      <c r="O11" s="36"/>
      <c r="P11" s="36"/>
      <c r="Q11" s="36"/>
    </row>
    <row r="12" spans="1:17" x14ac:dyDescent="0.25">
      <c r="N12" s="1"/>
      <c r="O12" s="1"/>
      <c r="P12" s="1"/>
      <c r="Q12" s="1"/>
    </row>
    <row r="13" spans="1:17" x14ac:dyDescent="0.25">
      <c r="N13" s="35" t="str">
        <f>HYPERLINK("#Home!A1","← Back to Home")</f>
        <v>← Back to Home</v>
      </c>
      <c r="O13" s="36"/>
      <c r="P13" s="36"/>
      <c r="Q13" s="36"/>
    </row>
    <row r="14" spans="1:17" x14ac:dyDescent="0.25">
      <c r="N14" s="1"/>
      <c r="O14" s="1"/>
      <c r="P14" s="1"/>
      <c r="Q14" s="1"/>
    </row>
    <row r="15" spans="1:17" x14ac:dyDescent="0.25">
      <c r="N15" s="1"/>
      <c r="O15" s="1"/>
      <c r="P15" s="1"/>
      <c r="Q15" s="1"/>
    </row>
    <row r="16" spans="1:17" x14ac:dyDescent="0.25">
      <c r="N16" s="1"/>
      <c r="O16" s="1"/>
      <c r="P16" s="1"/>
      <c r="Q16" s="1"/>
    </row>
    <row r="17" spans="14:17" x14ac:dyDescent="0.25">
      <c r="N17" s="1"/>
      <c r="O17" s="1"/>
      <c r="P17" s="1"/>
      <c r="Q17" s="1"/>
    </row>
    <row r="18" spans="14:17" x14ac:dyDescent="0.25">
      <c r="N18" s="1"/>
      <c r="O18" s="1"/>
      <c r="P18" s="1"/>
      <c r="Q18" s="1"/>
    </row>
    <row r="19" spans="14:17" x14ac:dyDescent="0.25">
      <c r="N19" s="1"/>
      <c r="O19" s="1"/>
      <c r="P19" s="1"/>
      <c r="Q19" s="1"/>
    </row>
    <row r="20" spans="14:17" x14ac:dyDescent="0.25">
      <c r="N20" s="1"/>
      <c r="O20" s="1"/>
      <c r="P20" s="1"/>
      <c r="Q20" s="1"/>
    </row>
    <row r="21" spans="14:17" x14ac:dyDescent="0.25">
      <c r="N21" s="1"/>
      <c r="O21" s="1"/>
      <c r="P21" s="1"/>
      <c r="Q21" s="1"/>
    </row>
    <row r="22" spans="14:17" x14ac:dyDescent="0.25">
      <c r="N22" s="1"/>
      <c r="O22" s="1"/>
      <c r="P22" s="1"/>
      <c r="Q22" s="1"/>
    </row>
    <row r="23" spans="14:17" x14ac:dyDescent="0.25">
      <c r="N23" s="1"/>
      <c r="O23" s="1"/>
      <c r="P23" s="1"/>
      <c r="Q23" s="1"/>
    </row>
    <row r="24" spans="14:17" x14ac:dyDescent="0.25">
      <c r="N24" s="1"/>
      <c r="O24" s="1"/>
      <c r="P24" s="1"/>
      <c r="Q24" s="1"/>
    </row>
    <row r="25" spans="14:17" x14ac:dyDescent="0.25">
      <c r="N25" s="1"/>
      <c r="O25" s="1"/>
      <c r="P25" s="1"/>
      <c r="Q25" s="1"/>
    </row>
    <row r="26" spans="14:17" x14ac:dyDescent="0.25">
      <c r="N26" s="1"/>
      <c r="O26" s="1"/>
      <c r="P26" s="1"/>
      <c r="Q26" s="1"/>
    </row>
    <row r="27" spans="14:17" x14ac:dyDescent="0.25">
      <c r="N27" s="1"/>
      <c r="O27" s="1"/>
      <c r="P27" s="1"/>
      <c r="Q27" s="1"/>
    </row>
    <row r="28" spans="14:17" x14ac:dyDescent="0.25">
      <c r="N28" s="1"/>
      <c r="O28" s="1"/>
      <c r="P28" s="1"/>
      <c r="Q28" s="1"/>
    </row>
    <row r="29" spans="14:17" x14ac:dyDescent="0.25">
      <c r="N29" s="1"/>
      <c r="O29" s="1"/>
      <c r="P29" s="1"/>
      <c r="Q29" s="1"/>
    </row>
    <row r="30" spans="14:17" x14ac:dyDescent="0.25">
      <c r="N30" s="1"/>
      <c r="O30" s="1"/>
      <c r="P30" s="1"/>
      <c r="Q30" s="1"/>
    </row>
    <row r="31" spans="14:17" x14ac:dyDescent="0.25">
      <c r="N31" s="1"/>
      <c r="O31" s="1"/>
      <c r="P31" s="1"/>
      <c r="Q31" s="1"/>
    </row>
    <row r="32" spans="14:17" x14ac:dyDescent="0.25">
      <c r="N32" s="1"/>
      <c r="O32" s="1"/>
      <c r="P32" s="1"/>
      <c r="Q32" s="1"/>
    </row>
    <row r="33" spans="14:17" x14ac:dyDescent="0.25">
      <c r="N33" s="1"/>
      <c r="O33" s="1"/>
      <c r="P33" s="1"/>
      <c r="Q33" s="1"/>
    </row>
    <row r="34" spans="14:17" x14ac:dyDescent="0.25">
      <c r="N34" s="1"/>
      <c r="O34" s="1"/>
      <c r="P34" s="1"/>
      <c r="Q34" s="1"/>
    </row>
    <row r="35" spans="14:17" x14ac:dyDescent="0.25">
      <c r="N35" s="1"/>
      <c r="O35" s="1"/>
      <c r="P35" s="1"/>
      <c r="Q35" s="1"/>
    </row>
    <row r="36" spans="14:17" x14ac:dyDescent="0.25">
      <c r="N36" s="1"/>
      <c r="O36" s="1"/>
      <c r="P36" s="1"/>
      <c r="Q36" s="1"/>
    </row>
    <row r="37" spans="14:17" x14ac:dyDescent="0.25">
      <c r="N37" s="1"/>
      <c r="O37" s="1"/>
      <c r="P37" s="1"/>
      <c r="Q37" s="1"/>
    </row>
    <row r="38" spans="14:17" x14ac:dyDescent="0.25">
      <c r="N38" s="1"/>
      <c r="O38" s="1"/>
      <c r="P38" s="1"/>
      <c r="Q38" s="1"/>
    </row>
    <row r="39" spans="14:17" x14ac:dyDescent="0.25">
      <c r="N39" s="1"/>
      <c r="O39" s="1"/>
      <c r="P39" s="1"/>
      <c r="Q39" s="1"/>
    </row>
    <row r="40" spans="14:17" x14ac:dyDescent="0.25">
      <c r="N40" s="1"/>
      <c r="O40" s="1"/>
      <c r="P40" s="1"/>
      <c r="Q40" s="1"/>
    </row>
    <row r="41" spans="14:17" x14ac:dyDescent="0.25">
      <c r="N41" s="1"/>
      <c r="O41" s="1"/>
      <c r="P41" s="1"/>
      <c r="Q41" s="1"/>
    </row>
    <row r="42" spans="14:17" x14ac:dyDescent="0.25">
      <c r="N42" s="1"/>
      <c r="O42" s="1"/>
      <c r="P42" s="1"/>
      <c r="Q42" s="1"/>
    </row>
  </sheetData>
  <mergeCells count="16">
    <mergeCell ref="B6:D7"/>
    <mergeCell ref="N13:Q13"/>
    <mergeCell ref="B10:M10"/>
    <mergeCell ref="A1:M3"/>
    <mergeCell ref="B8:D8"/>
    <mergeCell ref="E8:G8"/>
    <mergeCell ref="N3:Q3"/>
    <mergeCell ref="A4:M4"/>
    <mergeCell ref="N4:Q4"/>
    <mergeCell ref="H8:J8"/>
    <mergeCell ref="K6:M7"/>
    <mergeCell ref="E6:G7"/>
    <mergeCell ref="N1:Q2"/>
    <mergeCell ref="H6:J7"/>
    <mergeCell ref="N9:Q11"/>
    <mergeCell ref="K8:M8"/>
  </mergeCells>
  <pageMargins left="0.75" right="0.75" top="1" bottom="1" header="0.5" footer="0.5"/>
  <pageSetup fitToHeight="0" orientation="landscape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xr:uid="{00000000-0002-0000-0500-000000000000}">
          <x14:formula1>
            <xm:f>Lists!$B$2:$B$6</xm:f>
          </x14:formula1>
          <xm:sqref>N4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7C8B9B"/>
  </sheetPr>
  <dimension ref="A1:K401"/>
  <sheetViews>
    <sheetView topLeftCell="A2" workbookViewId="0">
      <selection activeCell="K2" sqref="K2:K401"/>
    </sheetView>
  </sheetViews>
  <sheetFormatPr defaultRowHeight="15" x14ac:dyDescent="0.25"/>
  <cols>
    <col min="1" max="5" width="15" customWidth="1"/>
    <col min="6" max="6" width="23.42578125" bestFit="1" customWidth="1"/>
    <col min="7" max="7" width="21.85546875" bestFit="1" customWidth="1"/>
    <col min="8" max="11" width="15" customWidth="1"/>
  </cols>
  <sheetData>
    <row r="1" spans="1:11" x14ac:dyDescent="0.25">
      <c r="A1" s="2" t="s">
        <v>58</v>
      </c>
      <c r="B1" s="2" t="s">
        <v>59</v>
      </c>
      <c r="C1" s="2" t="s">
        <v>60</v>
      </c>
      <c r="D1" s="2" t="s">
        <v>61</v>
      </c>
      <c r="E1" s="2" t="s">
        <v>62</v>
      </c>
      <c r="F1" s="2" t="s">
        <v>63</v>
      </c>
      <c r="G1" s="2" t="s">
        <v>64</v>
      </c>
      <c r="H1" s="2" t="s">
        <v>65</v>
      </c>
      <c r="I1" s="2" t="s">
        <v>66</v>
      </c>
      <c r="J1" s="2" t="s">
        <v>67</v>
      </c>
      <c r="K1" s="2" t="s">
        <v>68</v>
      </c>
    </row>
    <row r="2" spans="1:11" x14ac:dyDescent="0.25">
      <c r="A2" t="s">
        <v>69</v>
      </c>
      <c r="B2" t="s">
        <v>70</v>
      </c>
      <c r="C2" t="s">
        <v>71</v>
      </c>
      <c r="D2">
        <v>55</v>
      </c>
      <c r="E2" t="s">
        <v>72</v>
      </c>
      <c r="F2" t="s">
        <v>73</v>
      </c>
      <c r="G2" t="s">
        <v>74</v>
      </c>
      <c r="H2">
        <v>40500</v>
      </c>
      <c r="I2" t="s">
        <v>75</v>
      </c>
      <c r="J2">
        <v>200900</v>
      </c>
      <c r="K2" t="s">
        <v>76</v>
      </c>
    </row>
    <row r="3" spans="1:11" x14ac:dyDescent="0.25">
      <c r="A3" t="s">
        <v>77</v>
      </c>
      <c r="B3" t="s">
        <v>78</v>
      </c>
      <c r="C3" t="s">
        <v>79</v>
      </c>
      <c r="D3">
        <v>38</v>
      </c>
      <c r="E3" t="s">
        <v>80</v>
      </c>
      <c r="F3" t="s">
        <v>51</v>
      </c>
      <c r="G3" t="s">
        <v>81</v>
      </c>
      <c r="H3">
        <v>99200</v>
      </c>
      <c r="I3" t="s">
        <v>82</v>
      </c>
      <c r="J3">
        <v>9600</v>
      </c>
      <c r="K3" t="s">
        <v>83</v>
      </c>
    </row>
    <row r="4" spans="1:11" x14ac:dyDescent="0.25">
      <c r="A4" t="s">
        <v>84</v>
      </c>
      <c r="B4" t="s">
        <v>85</v>
      </c>
      <c r="C4" t="s">
        <v>79</v>
      </c>
      <c r="D4">
        <v>36</v>
      </c>
      <c r="E4" t="s">
        <v>86</v>
      </c>
      <c r="F4" t="s">
        <v>87</v>
      </c>
      <c r="G4" t="s">
        <v>81</v>
      </c>
      <c r="H4">
        <v>19900</v>
      </c>
      <c r="I4" t="s">
        <v>75</v>
      </c>
      <c r="J4">
        <v>29400</v>
      </c>
      <c r="K4" t="s">
        <v>88</v>
      </c>
    </row>
    <row r="5" spans="1:11" x14ac:dyDescent="0.25">
      <c r="A5" t="s">
        <v>89</v>
      </c>
      <c r="B5" t="s">
        <v>90</v>
      </c>
      <c r="C5" t="s">
        <v>71</v>
      </c>
      <c r="D5">
        <v>31</v>
      </c>
      <c r="E5" t="s">
        <v>86</v>
      </c>
      <c r="F5" t="s">
        <v>87</v>
      </c>
      <c r="G5" t="s">
        <v>91</v>
      </c>
      <c r="H5">
        <v>67500</v>
      </c>
      <c r="I5" t="s">
        <v>75</v>
      </c>
      <c r="J5">
        <v>6000</v>
      </c>
      <c r="K5" t="s">
        <v>92</v>
      </c>
    </row>
    <row r="6" spans="1:11" x14ac:dyDescent="0.25">
      <c r="A6" t="s">
        <v>93</v>
      </c>
      <c r="B6" t="s">
        <v>94</v>
      </c>
      <c r="C6" t="s">
        <v>79</v>
      </c>
      <c r="D6">
        <v>42</v>
      </c>
      <c r="E6" t="s">
        <v>95</v>
      </c>
      <c r="F6" t="s">
        <v>96</v>
      </c>
      <c r="G6" t="s">
        <v>81</v>
      </c>
      <c r="H6">
        <v>43800</v>
      </c>
      <c r="I6" t="s">
        <v>75</v>
      </c>
      <c r="J6">
        <v>13700</v>
      </c>
      <c r="K6" t="s">
        <v>97</v>
      </c>
    </row>
    <row r="7" spans="1:11" x14ac:dyDescent="0.25">
      <c r="A7" t="s">
        <v>98</v>
      </c>
      <c r="B7" t="s">
        <v>99</v>
      </c>
      <c r="C7" t="s">
        <v>79</v>
      </c>
      <c r="D7">
        <v>45</v>
      </c>
      <c r="E7" t="s">
        <v>95</v>
      </c>
      <c r="F7" t="s">
        <v>96</v>
      </c>
      <c r="G7" t="s">
        <v>91</v>
      </c>
      <c r="H7">
        <v>46700</v>
      </c>
      <c r="I7" t="s">
        <v>75</v>
      </c>
      <c r="J7">
        <v>1500</v>
      </c>
      <c r="K7" t="s">
        <v>100</v>
      </c>
    </row>
    <row r="8" spans="1:11" x14ac:dyDescent="0.25">
      <c r="A8" t="s">
        <v>101</v>
      </c>
      <c r="B8" t="s">
        <v>102</v>
      </c>
      <c r="C8" t="s">
        <v>79</v>
      </c>
      <c r="D8">
        <v>43</v>
      </c>
      <c r="E8" t="s">
        <v>95</v>
      </c>
      <c r="F8" t="s">
        <v>96</v>
      </c>
      <c r="G8" t="s">
        <v>74</v>
      </c>
      <c r="H8">
        <v>50000</v>
      </c>
      <c r="I8" t="s">
        <v>82</v>
      </c>
      <c r="J8">
        <v>17000</v>
      </c>
      <c r="K8" t="s">
        <v>103</v>
      </c>
    </row>
    <row r="9" spans="1:11" x14ac:dyDescent="0.25">
      <c r="A9" t="s">
        <v>104</v>
      </c>
      <c r="B9" t="s">
        <v>105</v>
      </c>
      <c r="C9" t="s">
        <v>79</v>
      </c>
      <c r="D9">
        <v>46</v>
      </c>
      <c r="E9" t="s">
        <v>95</v>
      </c>
      <c r="F9" t="s">
        <v>96</v>
      </c>
      <c r="G9" t="s">
        <v>81</v>
      </c>
      <c r="H9">
        <v>49700</v>
      </c>
      <c r="I9" t="s">
        <v>75</v>
      </c>
      <c r="J9">
        <v>9200</v>
      </c>
      <c r="K9" t="s">
        <v>106</v>
      </c>
    </row>
    <row r="10" spans="1:11" x14ac:dyDescent="0.25">
      <c r="A10" t="s">
        <v>107</v>
      </c>
      <c r="B10" t="s">
        <v>108</v>
      </c>
      <c r="C10" t="s">
        <v>79</v>
      </c>
      <c r="D10">
        <v>55</v>
      </c>
      <c r="E10" t="s">
        <v>95</v>
      </c>
      <c r="F10" t="s">
        <v>96</v>
      </c>
      <c r="G10" t="s">
        <v>74</v>
      </c>
      <c r="H10">
        <v>50500</v>
      </c>
      <c r="I10" t="s">
        <v>75</v>
      </c>
      <c r="J10">
        <v>72600</v>
      </c>
      <c r="K10" t="s">
        <v>109</v>
      </c>
    </row>
    <row r="11" spans="1:11" x14ac:dyDescent="0.25">
      <c r="A11" t="s">
        <v>110</v>
      </c>
      <c r="B11" t="s">
        <v>111</v>
      </c>
      <c r="C11" t="s">
        <v>71</v>
      </c>
      <c r="D11">
        <v>21</v>
      </c>
      <c r="E11" t="s">
        <v>80</v>
      </c>
      <c r="F11" t="s">
        <v>51</v>
      </c>
      <c r="G11" t="s">
        <v>81</v>
      </c>
      <c r="H11">
        <v>45500</v>
      </c>
      <c r="I11" t="s">
        <v>82</v>
      </c>
      <c r="J11">
        <v>39900</v>
      </c>
      <c r="K11" t="s">
        <v>112</v>
      </c>
    </row>
    <row r="12" spans="1:11" x14ac:dyDescent="0.25">
      <c r="A12" t="s">
        <v>113</v>
      </c>
      <c r="B12" t="s">
        <v>114</v>
      </c>
      <c r="C12" t="s">
        <v>71</v>
      </c>
      <c r="D12">
        <v>32</v>
      </c>
      <c r="E12" t="s">
        <v>72</v>
      </c>
      <c r="F12" t="s">
        <v>73</v>
      </c>
      <c r="G12" t="s">
        <v>91</v>
      </c>
      <c r="H12">
        <v>11400</v>
      </c>
      <c r="I12" t="s">
        <v>115</v>
      </c>
      <c r="J12">
        <v>6800</v>
      </c>
      <c r="K12" t="s">
        <v>116</v>
      </c>
    </row>
    <row r="13" spans="1:11" x14ac:dyDescent="0.25">
      <c r="A13" t="s">
        <v>117</v>
      </c>
      <c r="B13" t="s">
        <v>118</v>
      </c>
      <c r="C13" t="s">
        <v>79</v>
      </c>
      <c r="D13">
        <v>42</v>
      </c>
      <c r="E13" t="s">
        <v>95</v>
      </c>
      <c r="F13" t="s">
        <v>96</v>
      </c>
      <c r="G13" t="s">
        <v>74</v>
      </c>
      <c r="H13">
        <v>57600</v>
      </c>
      <c r="I13" t="s">
        <v>75</v>
      </c>
      <c r="J13">
        <v>28200</v>
      </c>
      <c r="K13" t="s">
        <v>119</v>
      </c>
    </row>
    <row r="14" spans="1:11" x14ac:dyDescent="0.25">
      <c r="A14" t="s">
        <v>120</v>
      </c>
      <c r="B14" t="s">
        <v>121</v>
      </c>
      <c r="C14" t="s">
        <v>71</v>
      </c>
      <c r="D14">
        <v>21</v>
      </c>
      <c r="E14" t="s">
        <v>80</v>
      </c>
      <c r="F14" t="s">
        <v>51</v>
      </c>
      <c r="G14" t="s">
        <v>122</v>
      </c>
      <c r="H14">
        <v>101100</v>
      </c>
      <c r="I14" t="s">
        <v>75</v>
      </c>
      <c r="J14">
        <v>79300</v>
      </c>
      <c r="K14" t="s">
        <v>123</v>
      </c>
    </row>
    <row r="15" spans="1:11" x14ac:dyDescent="0.25">
      <c r="A15" t="s">
        <v>124</v>
      </c>
      <c r="B15" t="s">
        <v>125</v>
      </c>
      <c r="C15" t="s">
        <v>71</v>
      </c>
      <c r="D15">
        <v>51</v>
      </c>
      <c r="E15" t="s">
        <v>72</v>
      </c>
      <c r="F15" t="s">
        <v>73</v>
      </c>
      <c r="G15" t="s">
        <v>91</v>
      </c>
      <c r="H15">
        <v>28000</v>
      </c>
      <c r="I15" t="s">
        <v>75</v>
      </c>
      <c r="J15">
        <v>16800</v>
      </c>
      <c r="K15" t="s">
        <v>126</v>
      </c>
    </row>
    <row r="16" spans="1:11" x14ac:dyDescent="0.25">
      <c r="A16" t="s">
        <v>127</v>
      </c>
      <c r="B16" t="s">
        <v>128</v>
      </c>
      <c r="C16" t="s">
        <v>71</v>
      </c>
      <c r="D16">
        <v>56</v>
      </c>
      <c r="E16" t="s">
        <v>86</v>
      </c>
      <c r="F16" t="s">
        <v>87</v>
      </c>
      <c r="G16" t="s">
        <v>129</v>
      </c>
      <c r="H16">
        <v>25700</v>
      </c>
      <c r="I16" t="s">
        <v>75</v>
      </c>
      <c r="J16">
        <v>17800</v>
      </c>
      <c r="K16" t="s">
        <v>130</v>
      </c>
    </row>
    <row r="17" spans="1:11" x14ac:dyDescent="0.25">
      <c r="A17" t="s">
        <v>131</v>
      </c>
      <c r="B17" t="s">
        <v>132</v>
      </c>
      <c r="C17" t="s">
        <v>71</v>
      </c>
      <c r="D17">
        <v>31</v>
      </c>
      <c r="E17" t="s">
        <v>80</v>
      </c>
      <c r="F17" t="s">
        <v>51</v>
      </c>
      <c r="G17" t="s">
        <v>122</v>
      </c>
      <c r="H17">
        <v>132100</v>
      </c>
      <c r="I17" t="s">
        <v>115</v>
      </c>
      <c r="J17">
        <v>95500</v>
      </c>
      <c r="K17" t="s">
        <v>133</v>
      </c>
    </row>
    <row r="18" spans="1:11" x14ac:dyDescent="0.25">
      <c r="A18" t="s">
        <v>134</v>
      </c>
      <c r="B18" t="s">
        <v>135</v>
      </c>
      <c r="C18" t="s">
        <v>71</v>
      </c>
      <c r="D18">
        <v>41</v>
      </c>
      <c r="E18" t="s">
        <v>86</v>
      </c>
      <c r="F18" t="s">
        <v>87</v>
      </c>
      <c r="G18" t="s">
        <v>91</v>
      </c>
      <c r="H18">
        <v>84000</v>
      </c>
      <c r="I18" t="s">
        <v>82</v>
      </c>
      <c r="J18">
        <v>58500</v>
      </c>
      <c r="K18" t="s">
        <v>136</v>
      </c>
    </row>
    <row r="19" spans="1:11" x14ac:dyDescent="0.25">
      <c r="A19" t="s">
        <v>137</v>
      </c>
      <c r="B19" t="s">
        <v>138</v>
      </c>
      <c r="C19" t="s">
        <v>79</v>
      </c>
      <c r="D19">
        <v>39</v>
      </c>
      <c r="E19" t="s">
        <v>86</v>
      </c>
      <c r="F19" t="s">
        <v>87</v>
      </c>
      <c r="G19" t="s">
        <v>122</v>
      </c>
      <c r="H19">
        <v>140400</v>
      </c>
      <c r="I19" t="s">
        <v>75</v>
      </c>
      <c r="J19">
        <v>217400</v>
      </c>
      <c r="K19" t="s">
        <v>139</v>
      </c>
    </row>
    <row r="20" spans="1:11" x14ac:dyDescent="0.25">
      <c r="A20" t="s">
        <v>140</v>
      </c>
      <c r="B20" t="s">
        <v>141</v>
      </c>
      <c r="C20" t="s">
        <v>71</v>
      </c>
      <c r="D20">
        <v>38</v>
      </c>
      <c r="E20" t="s">
        <v>80</v>
      </c>
      <c r="F20" t="s">
        <v>51</v>
      </c>
      <c r="G20" t="s">
        <v>122</v>
      </c>
      <c r="H20">
        <v>92600</v>
      </c>
      <c r="I20" t="s">
        <v>82</v>
      </c>
      <c r="J20">
        <v>6600</v>
      </c>
      <c r="K20" t="s">
        <v>142</v>
      </c>
    </row>
    <row r="21" spans="1:11" x14ac:dyDescent="0.25">
      <c r="A21" t="s">
        <v>143</v>
      </c>
      <c r="B21" t="s">
        <v>144</v>
      </c>
      <c r="C21" t="s">
        <v>79</v>
      </c>
      <c r="D21">
        <v>45</v>
      </c>
      <c r="E21" t="s">
        <v>145</v>
      </c>
      <c r="F21" t="s">
        <v>146</v>
      </c>
      <c r="G21" t="s">
        <v>74</v>
      </c>
      <c r="H21">
        <v>21400</v>
      </c>
      <c r="I21" t="s">
        <v>115</v>
      </c>
      <c r="J21">
        <v>7500</v>
      </c>
      <c r="K21" t="s">
        <v>147</v>
      </c>
    </row>
    <row r="22" spans="1:11" x14ac:dyDescent="0.25">
      <c r="A22" t="s">
        <v>148</v>
      </c>
      <c r="B22" t="s">
        <v>149</v>
      </c>
      <c r="C22" t="s">
        <v>79</v>
      </c>
      <c r="D22">
        <v>35</v>
      </c>
      <c r="E22" t="s">
        <v>72</v>
      </c>
      <c r="F22" t="s">
        <v>73</v>
      </c>
      <c r="G22" t="s">
        <v>91</v>
      </c>
      <c r="H22">
        <v>67100</v>
      </c>
      <c r="I22" t="s">
        <v>75</v>
      </c>
      <c r="J22">
        <v>160700</v>
      </c>
      <c r="K22" t="s">
        <v>150</v>
      </c>
    </row>
    <row r="23" spans="1:11" x14ac:dyDescent="0.25">
      <c r="A23" t="s">
        <v>151</v>
      </c>
      <c r="B23" t="s">
        <v>152</v>
      </c>
      <c r="C23" t="s">
        <v>71</v>
      </c>
      <c r="D23">
        <v>32</v>
      </c>
      <c r="E23" t="s">
        <v>145</v>
      </c>
      <c r="F23" t="s">
        <v>146</v>
      </c>
      <c r="G23" t="s">
        <v>91</v>
      </c>
      <c r="H23">
        <v>35800</v>
      </c>
      <c r="I23" t="s">
        <v>75</v>
      </c>
      <c r="J23">
        <v>28900</v>
      </c>
      <c r="K23" t="s">
        <v>153</v>
      </c>
    </row>
    <row r="24" spans="1:11" x14ac:dyDescent="0.25">
      <c r="A24" t="s">
        <v>154</v>
      </c>
      <c r="B24" t="s">
        <v>155</v>
      </c>
      <c r="C24" t="s">
        <v>71</v>
      </c>
      <c r="D24">
        <v>35</v>
      </c>
      <c r="E24" t="s">
        <v>145</v>
      </c>
      <c r="F24" t="s">
        <v>146</v>
      </c>
      <c r="G24" t="s">
        <v>81</v>
      </c>
      <c r="H24">
        <v>75200</v>
      </c>
      <c r="I24" t="s">
        <v>82</v>
      </c>
      <c r="J24">
        <v>14400</v>
      </c>
      <c r="K24" t="s">
        <v>156</v>
      </c>
    </row>
    <row r="25" spans="1:11" x14ac:dyDescent="0.25">
      <c r="A25" t="s">
        <v>157</v>
      </c>
      <c r="B25" t="s">
        <v>158</v>
      </c>
      <c r="C25" t="s">
        <v>71</v>
      </c>
      <c r="D25">
        <v>22</v>
      </c>
      <c r="E25" t="s">
        <v>145</v>
      </c>
      <c r="F25" t="s">
        <v>146</v>
      </c>
      <c r="G25" t="s">
        <v>129</v>
      </c>
      <c r="H25">
        <v>19900</v>
      </c>
      <c r="I25" t="s">
        <v>115</v>
      </c>
      <c r="J25">
        <v>9200</v>
      </c>
      <c r="K25" t="s">
        <v>159</v>
      </c>
    </row>
    <row r="26" spans="1:11" x14ac:dyDescent="0.25">
      <c r="A26" t="s">
        <v>160</v>
      </c>
      <c r="B26" t="s">
        <v>161</v>
      </c>
      <c r="C26" t="s">
        <v>79</v>
      </c>
      <c r="D26">
        <v>33</v>
      </c>
      <c r="E26" t="s">
        <v>72</v>
      </c>
      <c r="F26" t="s">
        <v>73</v>
      </c>
      <c r="G26" t="s">
        <v>74</v>
      </c>
      <c r="H26">
        <v>29100</v>
      </c>
      <c r="I26" t="s">
        <v>75</v>
      </c>
      <c r="J26">
        <v>22500</v>
      </c>
      <c r="K26" t="s">
        <v>162</v>
      </c>
    </row>
    <row r="27" spans="1:11" x14ac:dyDescent="0.25">
      <c r="A27" t="s">
        <v>163</v>
      </c>
      <c r="B27" t="s">
        <v>164</v>
      </c>
      <c r="C27" t="s">
        <v>79</v>
      </c>
      <c r="D27">
        <v>44</v>
      </c>
      <c r="E27" t="s">
        <v>86</v>
      </c>
      <c r="F27" t="s">
        <v>87</v>
      </c>
      <c r="G27" t="s">
        <v>81</v>
      </c>
      <c r="H27">
        <v>58000</v>
      </c>
      <c r="I27" t="s">
        <v>115</v>
      </c>
      <c r="J27">
        <v>55700</v>
      </c>
      <c r="K27" t="s">
        <v>165</v>
      </c>
    </row>
    <row r="28" spans="1:11" x14ac:dyDescent="0.25">
      <c r="A28" t="s">
        <v>166</v>
      </c>
      <c r="B28" t="s">
        <v>167</v>
      </c>
      <c r="C28" t="s">
        <v>71</v>
      </c>
      <c r="D28">
        <v>53</v>
      </c>
      <c r="E28" t="s">
        <v>86</v>
      </c>
      <c r="F28" t="s">
        <v>87</v>
      </c>
      <c r="G28" t="s">
        <v>74</v>
      </c>
      <c r="H28">
        <v>44600</v>
      </c>
      <c r="I28" t="s">
        <v>75</v>
      </c>
      <c r="J28">
        <v>126600</v>
      </c>
      <c r="K28" t="s">
        <v>168</v>
      </c>
    </row>
    <row r="29" spans="1:11" x14ac:dyDescent="0.25">
      <c r="A29" t="s">
        <v>169</v>
      </c>
      <c r="B29" t="s">
        <v>170</v>
      </c>
      <c r="C29" t="s">
        <v>71</v>
      </c>
      <c r="D29">
        <v>48</v>
      </c>
      <c r="E29" t="s">
        <v>72</v>
      </c>
      <c r="F29" t="s">
        <v>73</v>
      </c>
      <c r="G29" t="s">
        <v>122</v>
      </c>
      <c r="H29">
        <v>103200</v>
      </c>
      <c r="I29" t="s">
        <v>75</v>
      </c>
      <c r="J29">
        <v>375500</v>
      </c>
      <c r="K29" t="s">
        <v>171</v>
      </c>
    </row>
    <row r="30" spans="1:11" x14ac:dyDescent="0.25">
      <c r="A30" t="s">
        <v>172</v>
      </c>
      <c r="B30" t="s">
        <v>173</v>
      </c>
      <c r="C30" t="s">
        <v>79</v>
      </c>
      <c r="D30">
        <v>34</v>
      </c>
      <c r="E30" t="s">
        <v>145</v>
      </c>
      <c r="F30" t="s">
        <v>146</v>
      </c>
      <c r="G30" t="s">
        <v>91</v>
      </c>
      <c r="H30">
        <v>19600</v>
      </c>
      <c r="I30" t="s">
        <v>82</v>
      </c>
      <c r="J30">
        <v>40600</v>
      </c>
      <c r="K30" t="s">
        <v>174</v>
      </c>
    </row>
    <row r="31" spans="1:11" x14ac:dyDescent="0.25">
      <c r="A31" t="s">
        <v>175</v>
      </c>
      <c r="B31" t="s">
        <v>176</v>
      </c>
      <c r="C31" t="s">
        <v>71</v>
      </c>
      <c r="D31">
        <v>28</v>
      </c>
      <c r="E31" t="s">
        <v>145</v>
      </c>
      <c r="F31" t="s">
        <v>146</v>
      </c>
      <c r="G31" t="s">
        <v>74</v>
      </c>
      <c r="H31">
        <v>55300</v>
      </c>
      <c r="I31" t="s">
        <v>75</v>
      </c>
      <c r="J31">
        <v>77300</v>
      </c>
      <c r="K31" t="s">
        <v>177</v>
      </c>
    </row>
    <row r="32" spans="1:11" x14ac:dyDescent="0.25">
      <c r="A32" t="s">
        <v>178</v>
      </c>
      <c r="B32" t="s">
        <v>179</v>
      </c>
      <c r="C32" t="s">
        <v>71</v>
      </c>
      <c r="D32">
        <v>34</v>
      </c>
      <c r="E32" t="s">
        <v>86</v>
      </c>
      <c r="F32" t="s">
        <v>87</v>
      </c>
      <c r="G32" t="s">
        <v>74</v>
      </c>
      <c r="H32">
        <v>38500</v>
      </c>
      <c r="I32" t="s">
        <v>82</v>
      </c>
      <c r="J32">
        <v>83900</v>
      </c>
      <c r="K32" t="s">
        <v>180</v>
      </c>
    </row>
    <row r="33" spans="1:11" x14ac:dyDescent="0.25">
      <c r="A33" t="s">
        <v>181</v>
      </c>
      <c r="B33" t="s">
        <v>182</v>
      </c>
      <c r="C33" t="s">
        <v>79</v>
      </c>
      <c r="D33">
        <v>58</v>
      </c>
      <c r="E33" t="s">
        <v>86</v>
      </c>
      <c r="F33" t="s">
        <v>87</v>
      </c>
      <c r="G33" t="s">
        <v>74</v>
      </c>
      <c r="H33">
        <v>25800</v>
      </c>
      <c r="I33" t="s">
        <v>75</v>
      </c>
      <c r="J33">
        <v>43700</v>
      </c>
      <c r="K33" t="s">
        <v>183</v>
      </c>
    </row>
    <row r="34" spans="1:11" x14ac:dyDescent="0.25">
      <c r="A34" t="s">
        <v>184</v>
      </c>
      <c r="B34" t="s">
        <v>185</v>
      </c>
      <c r="C34" t="s">
        <v>79</v>
      </c>
      <c r="D34">
        <v>43</v>
      </c>
      <c r="E34" t="s">
        <v>95</v>
      </c>
      <c r="F34" t="s">
        <v>96</v>
      </c>
      <c r="G34" t="s">
        <v>74</v>
      </c>
      <c r="H34">
        <v>58800</v>
      </c>
      <c r="I34" t="s">
        <v>75</v>
      </c>
      <c r="J34">
        <v>1000</v>
      </c>
      <c r="K34" t="s">
        <v>186</v>
      </c>
    </row>
    <row r="35" spans="1:11" x14ac:dyDescent="0.25">
      <c r="A35" t="s">
        <v>187</v>
      </c>
      <c r="B35" t="s">
        <v>188</v>
      </c>
      <c r="C35" t="s">
        <v>79</v>
      </c>
      <c r="D35">
        <v>24</v>
      </c>
      <c r="E35" t="s">
        <v>72</v>
      </c>
      <c r="F35" t="s">
        <v>73</v>
      </c>
      <c r="G35" t="s">
        <v>122</v>
      </c>
      <c r="H35">
        <v>13200</v>
      </c>
      <c r="I35" t="s">
        <v>75</v>
      </c>
      <c r="J35">
        <v>1000</v>
      </c>
      <c r="K35" t="s">
        <v>189</v>
      </c>
    </row>
    <row r="36" spans="1:11" x14ac:dyDescent="0.25">
      <c r="A36" t="s">
        <v>190</v>
      </c>
      <c r="B36" t="s">
        <v>191</v>
      </c>
      <c r="C36" t="s">
        <v>71</v>
      </c>
      <c r="D36">
        <v>61</v>
      </c>
      <c r="E36" t="s">
        <v>95</v>
      </c>
      <c r="F36" t="s">
        <v>96</v>
      </c>
      <c r="G36" t="s">
        <v>74</v>
      </c>
      <c r="H36">
        <v>61900</v>
      </c>
      <c r="I36" t="s">
        <v>75</v>
      </c>
      <c r="J36">
        <v>141900</v>
      </c>
      <c r="K36" t="s">
        <v>192</v>
      </c>
    </row>
    <row r="37" spans="1:11" x14ac:dyDescent="0.25">
      <c r="A37" t="s">
        <v>193</v>
      </c>
      <c r="B37" t="s">
        <v>194</v>
      </c>
      <c r="C37" t="s">
        <v>71</v>
      </c>
      <c r="D37">
        <v>44</v>
      </c>
      <c r="E37" t="s">
        <v>145</v>
      </c>
      <c r="F37" t="s">
        <v>146</v>
      </c>
      <c r="G37" t="s">
        <v>81</v>
      </c>
      <c r="H37">
        <v>29100</v>
      </c>
      <c r="I37" t="s">
        <v>75</v>
      </c>
      <c r="J37">
        <v>5400</v>
      </c>
      <c r="K37" t="s">
        <v>195</v>
      </c>
    </row>
    <row r="38" spans="1:11" x14ac:dyDescent="0.25">
      <c r="A38" t="s">
        <v>196</v>
      </c>
      <c r="B38" t="s">
        <v>197</v>
      </c>
      <c r="C38" t="s">
        <v>71</v>
      </c>
      <c r="D38">
        <v>41</v>
      </c>
      <c r="E38" t="s">
        <v>80</v>
      </c>
      <c r="F38" t="s">
        <v>51</v>
      </c>
      <c r="G38" t="s">
        <v>81</v>
      </c>
      <c r="H38">
        <v>24900</v>
      </c>
      <c r="I38" t="s">
        <v>115</v>
      </c>
      <c r="J38">
        <v>6000</v>
      </c>
      <c r="K38" t="s">
        <v>198</v>
      </c>
    </row>
    <row r="39" spans="1:11" x14ac:dyDescent="0.25">
      <c r="A39" t="s">
        <v>199</v>
      </c>
      <c r="B39" t="s">
        <v>200</v>
      </c>
      <c r="C39" t="s">
        <v>79</v>
      </c>
      <c r="D39">
        <v>42</v>
      </c>
      <c r="E39" t="s">
        <v>72</v>
      </c>
      <c r="F39" t="s">
        <v>73</v>
      </c>
      <c r="G39" t="s">
        <v>129</v>
      </c>
      <c r="H39">
        <v>30700</v>
      </c>
      <c r="I39" t="s">
        <v>75</v>
      </c>
      <c r="J39">
        <v>1400</v>
      </c>
      <c r="K39" t="s">
        <v>201</v>
      </c>
    </row>
    <row r="40" spans="1:11" x14ac:dyDescent="0.25">
      <c r="A40" t="s">
        <v>202</v>
      </c>
      <c r="B40" t="s">
        <v>203</v>
      </c>
      <c r="C40" t="s">
        <v>79</v>
      </c>
      <c r="D40">
        <v>52</v>
      </c>
      <c r="E40" t="s">
        <v>95</v>
      </c>
      <c r="F40" t="s">
        <v>96</v>
      </c>
      <c r="G40" t="s">
        <v>74</v>
      </c>
      <c r="H40">
        <v>50500</v>
      </c>
      <c r="I40" t="s">
        <v>115</v>
      </c>
      <c r="J40">
        <v>242500</v>
      </c>
      <c r="K40" t="s">
        <v>204</v>
      </c>
    </row>
    <row r="41" spans="1:11" x14ac:dyDescent="0.25">
      <c r="A41" t="s">
        <v>205</v>
      </c>
      <c r="B41" t="s">
        <v>206</v>
      </c>
      <c r="C41" t="s">
        <v>71</v>
      </c>
      <c r="D41">
        <v>28</v>
      </c>
      <c r="E41" t="s">
        <v>95</v>
      </c>
      <c r="F41" t="s">
        <v>96</v>
      </c>
      <c r="G41" t="s">
        <v>74</v>
      </c>
      <c r="H41">
        <v>39500</v>
      </c>
      <c r="I41" t="s">
        <v>75</v>
      </c>
      <c r="J41">
        <v>107500</v>
      </c>
      <c r="K41" t="s">
        <v>207</v>
      </c>
    </row>
    <row r="42" spans="1:11" x14ac:dyDescent="0.25">
      <c r="A42" t="s">
        <v>208</v>
      </c>
      <c r="B42" t="s">
        <v>209</v>
      </c>
      <c r="C42" t="s">
        <v>71</v>
      </c>
      <c r="D42">
        <v>55</v>
      </c>
      <c r="E42" t="s">
        <v>72</v>
      </c>
      <c r="F42" t="s">
        <v>73</v>
      </c>
      <c r="G42" t="s">
        <v>122</v>
      </c>
      <c r="H42">
        <v>71300</v>
      </c>
      <c r="I42" t="s">
        <v>82</v>
      </c>
      <c r="J42">
        <v>173000</v>
      </c>
      <c r="K42" t="s">
        <v>210</v>
      </c>
    </row>
    <row r="43" spans="1:11" x14ac:dyDescent="0.25">
      <c r="A43" t="s">
        <v>211</v>
      </c>
      <c r="B43" t="s">
        <v>212</v>
      </c>
      <c r="C43" t="s">
        <v>79</v>
      </c>
      <c r="D43">
        <v>42</v>
      </c>
      <c r="E43" t="s">
        <v>145</v>
      </c>
      <c r="F43" t="s">
        <v>146</v>
      </c>
      <c r="G43" t="s">
        <v>122</v>
      </c>
      <c r="H43">
        <v>55600</v>
      </c>
      <c r="I43" t="s">
        <v>75</v>
      </c>
      <c r="J43">
        <v>119200</v>
      </c>
      <c r="K43" t="s">
        <v>213</v>
      </c>
    </row>
    <row r="44" spans="1:11" x14ac:dyDescent="0.25">
      <c r="A44" t="s">
        <v>214</v>
      </c>
      <c r="B44" t="s">
        <v>215</v>
      </c>
      <c r="C44" t="s">
        <v>71</v>
      </c>
      <c r="D44">
        <v>23</v>
      </c>
      <c r="E44" t="s">
        <v>80</v>
      </c>
      <c r="F44" t="s">
        <v>51</v>
      </c>
      <c r="G44" t="s">
        <v>122</v>
      </c>
      <c r="H44">
        <v>90500</v>
      </c>
      <c r="I44" t="s">
        <v>82</v>
      </c>
      <c r="J44">
        <v>4300</v>
      </c>
      <c r="K44" t="s">
        <v>216</v>
      </c>
    </row>
    <row r="45" spans="1:11" x14ac:dyDescent="0.25">
      <c r="A45" t="s">
        <v>217</v>
      </c>
      <c r="B45" t="s">
        <v>218</v>
      </c>
      <c r="C45" t="s">
        <v>71</v>
      </c>
      <c r="D45">
        <v>46</v>
      </c>
      <c r="E45" t="s">
        <v>80</v>
      </c>
      <c r="F45" t="s">
        <v>51</v>
      </c>
      <c r="G45" t="s">
        <v>74</v>
      </c>
      <c r="H45">
        <v>38200</v>
      </c>
      <c r="I45" t="s">
        <v>115</v>
      </c>
      <c r="J45">
        <v>2300</v>
      </c>
      <c r="K45" t="s">
        <v>219</v>
      </c>
    </row>
    <row r="46" spans="1:11" x14ac:dyDescent="0.25">
      <c r="A46" t="s">
        <v>220</v>
      </c>
      <c r="B46" t="s">
        <v>221</v>
      </c>
      <c r="C46" t="s">
        <v>71</v>
      </c>
      <c r="D46">
        <v>37</v>
      </c>
      <c r="E46" t="s">
        <v>80</v>
      </c>
      <c r="F46" t="s">
        <v>51</v>
      </c>
      <c r="G46" t="s">
        <v>129</v>
      </c>
      <c r="H46">
        <v>25000</v>
      </c>
      <c r="I46" t="s">
        <v>75</v>
      </c>
      <c r="J46">
        <v>38800</v>
      </c>
      <c r="K46" t="s">
        <v>222</v>
      </c>
    </row>
    <row r="47" spans="1:11" x14ac:dyDescent="0.25">
      <c r="A47" t="s">
        <v>223</v>
      </c>
      <c r="B47" t="s">
        <v>224</v>
      </c>
      <c r="C47" t="s">
        <v>79</v>
      </c>
      <c r="D47">
        <v>25</v>
      </c>
      <c r="E47" t="s">
        <v>72</v>
      </c>
      <c r="F47" t="s">
        <v>73</v>
      </c>
      <c r="G47" t="s">
        <v>81</v>
      </c>
      <c r="H47">
        <v>44600</v>
      </c>
      <c r="I47" t="s">
        <v>75</v>
      </c>
      <c r="J47">
        <v>23300</v>
      </c>
      <c r="K47" t="s">
        <v>225</v>
      </c>
    </row>
    <row r="48" spans="1:11" x14ac:dyDescent="0.25">
      <c r="A48" t="s">
        <v>226</v>
      </c>
      <c r="B48" t="s">
        <v>227</v>
      </c>
      <c r="C48" t="s">
        <v>79</v>
      </c>
      <c r="D48">
        <v>44</v>
      </c>
      <c r="E48" t="s">
        <v>145</v>
      </c>
      <c r="F48" t="s">
        <v>146</v>
      </c>
      <c r="G48" t="s">
        <v>91</v>
      </c>
      <c r="H48">
        <v>50100</v>
      </c>
      <c r="I48" t="s">
        <v>75</v>
      </c>
      <c r="J48">
        <v>319200</v>
      </c>
      <c r="K48" t="s">
        <v>228</v>
      </c>
    </row>
    <row r="49" spans="1:11" x14ac:dyDescent="0.25">
      <c r="A49" t="s">
        <v>229</v>
      </c>
      <c r="B49" t="s">
        <v>230</v>
      </c>
      <c r="C49" t="s">
        <v>79</v>
      </c>
      <c r="D49">
        <v>53</v>
      </c>
      <c r="E49" t="s">
        <v>86</v>
      </c>
      <c r="F49" t="s">
        <v>87</v>
      </c>
      <c r="G49" t="s">
        <v>91</v>
      </c>
      <c r="H49">
        <v>44300</v>
      </c>
      <c r="I49" t="s">
        <v>82</v>
      </c>
      <c r="J49">
        <v>115800</v>
      </c>
      <c r="K49" t="s">
        <v>231</v>
      </c>
    </row>
    <row r="50" spans="1:11" x14ac:dyDescent="0.25">
      <c r="A50" t="s">
        <v>232</v>
      </c>
      <c r="B50" t="s">
        <v>233</v>
      </c>
      <c r="C50" t="s">
        <v>79</v>
      </c>
      <c r="D50">
        <v>47</v>
      </c>
      <c r="E50" t="s">
        <v>145</v>
      </c>
      <c r="F50" t="s">
        <v>146</v>
      </c>
      <c r="G50" t="s">
        <v>91</v>
      </c>
      <c r="H50">
        <v>52500</v>
      </c>
      <c r="I50" t="s">
        <v>75</v>
      </c>
      <c r="J50">
        <v>1700</v>
      </c>
      <c r="K50" t="s">
        <v>234</v>
      </c>
    </row>
    <row r="51" spans="1:11" x14ac:dyDescent="0.25">
      <c r="A51" t="s">
        <v>235</v>
      </c>
      <c r="B51" t="s">
        <v>236</v>
      </c>
      <c r="C51" t="s">
        <v>71</v>
      </c>
      <c r="D51">
        <v>26</v>
      </c>
      <c r="E51" t="s">
        <v>86</v>
      </c>
      <c r="F51" t="s">
        <v>87</v>
      </c>
      <c r="G51" t="s">
        <v>91</v>
      </c>
      <c r="H51">
        <v>32600</v>
      </c>
      <c r="I51" t="s">
        <v>82</v>
      </c>
      <c r="J51">
        <v>5400</v>
      </c>
      <c r="K51" t="s">
        <v>237</v>
      </c>
    </row>
    <row r="52" spans="1:11" x14ac:dyDescent="0.25">
      <c r="A52" t="s">
        <v>238</v>
      </c>
      <c r="B52" t="s">
        <v>239</v>
      </c>
      <c r="C52" t="s">
        <v>71</v>
      </c>
      <c r="D52">
        <v>31</v>
      </c>
      <c r="E52" t="s">
        <v>145</v>
      </c>
      <c r="F52" t="s">
        <v>146</v>
      </c>
      <c r="G52" t="s">
        <v>122</v>
      </c>
      <c r="H52">
        <v>91300</v>
      </c>
      <c r="I52" t="s">
        <v>75</v>
      </c>
      <c r="J52">
        <v>53100</v>
      </c>
      <c r="K52" t="s">
        <v>240</v>
      </c>
    </row>
    <row r="53" spans="1:11" x14ac:dyDescent="0.25">
      <c r="A53" t="s">
        <v>241</v>
      </c>
      <c r="B53" t="s">
        <v>242</v>
      </c>
      <c r="C53" t="s">
        <v>79</v>
      </c>
      <c r="D53">
        <v>23</v>
      </c>
      <c r="E53" t="s">
        <v>72</v>
      </c>
      <c r="F53" t="s">
        <v>73</v>
      </c>
      <c r="G53" t="s">
        <v>74</v>
      </c>
      <c r="H53">
        <v>42800</v>
      </c>
      <c r="I53" t="s">
        <v>115</v>
      </c>
      <c r="J53">
        <v>41000</v>
      </c>
      <c r="K53" t="s">
        <v>243</v>
      </c>
    </row>
    <row r="54" spans="1:11" x14ac:dyDescent="0.25">
      <c r="A54" t="s">
        <v>244</v>
      </c>
      <c r="B54" t="s">
        <v>245</v>
      </c>
      <c r="C54" t="s">
        <v>79</v>
      </c>
      <c r="D54">
        <v>21</v>
      </c>
      <c r="E54" t="s">
        <v>95</v>
      </c>
      <c r="F54" t="s">
        <v>96</v>
      </c>
      <c r="G54" t="s">
        <v>91</v>
      </c>
      <c r="H54">
        <v>54000</v>
      </c>
      <c r="I54" t="s">
        <v>82</v>
      </c>
      <c r="J54">
        <v>93800</v>
      </c>
      <c r="K54" t="s">
        <v>246</v>
      </c>
    </row>
    <row r="55" spans="1:11" x14ac:dyDescent="0.25">
      <c r="A55" t="s">
        <v>247</v>
      </c>
      <c r="B55" t="s">
        <v>248</v>
      </c>
      <c r="C55" t="s">
        <v>71</v>
      </c>
      <c r="D55">
        <v>32</v>
      </c>
      <c r="E55" t="s">
        <v>72</v>
      </c>
      <c r="F55" t="s">
        <v>73</v>
      </c>
      <c r="G55" t="s">
        <v>81</v>
      </c>
      <c r="H55">
        <v>41000</v>
      </c>
      <c r="I55" t="s">
        <v>75</v>
      </c>
      <c r="J55">
        <v>23300</v>
      </c>
      <c r="K55" t="s">
        <v>249</v>
      </c>
    </row>
    <row r="56" spans="1:11" x14ac:dyDescent="0.25">
      <c r="A56" t="s">
        <v>250</v>
      </c>
      <c r="B56" t="s">
        <v>251</v>
      </c>
      <c r="C56" t="s">
        <v>79</v>
      </c>
      <c r="D56">
        <v>23</v>
      </c>
      <c r="E56" t="s">
        <v>95</v>
      </c>
      <c r="F56" t="s">
        <v>96</v>
      </c>
      <c r="G56" t="s">
        <v>122</v>
      </c>
      <c r="H56">
        <v>69600</v>
      </c>
      <c r="I56" t="s">
        <v>75</v>
      </c>
      <c r="J56">
        <v>227100</v>
      </c>
      <c r="K56" t="s">
        <v>252</v>
      </c>
    </row>
    <row r="57" spans="1:11" x14ac:dyDescent="0.25">
      <c r="A57" t="s">
        <v>253</v>
      </c>
      <c r="B57" t="s">
        <v>254</v>
      </c>
      <c r="C57" t="s">
        <v>79</v>
      </c>
      <c r="D57">
        <v>22</v>
      </c>
      <c r="E57" t="s">
        <v>86</v>
      </c>
      <c r="F57" t="s">
        <v>87</v>
      </c>
      <c r="G57" t="s">
        <v>74</v>
      </c>
      <c r="H57">
        <v>37900</v>
      </c>
      <c r="I57" t="s">
        <v>75</v>
      </c>
      <c r="J57">
        <v>29600</v>
      </c>
      <c r="K57" t="s">
        <v>255</v>
      </c>
    </row>
    <row r="58" spans="1:11" x14ac:dyDescent="0.25">
      <c r="A58" t="s">
        <v>256</v>
      </c>
      <c r="B58" t="s">
        <v>257</v>
      </c>
      <c r="C58" t="s">
        <v>71</v>
      </c>
      <c r="D58">
        <v>37</v>
      </c>
      <c r="E58" t="s">
        <v>80</v>
      </c>
      <c r="F58" t="s">
        <v>51</v>
      </c>
      <c r="G58" t="s">
        <v>81</v>
      </c>
      <c r="H58">
        <v>19300</v>
      </c>
      <c r="I58" t="s">
        <v>82</v>
      </c>
      <c r="J58">
        <v>64200</v>
      </c>
      <c r="K58" t="s">
        <v>258</v>
      </c>
    </row>
    <row r="59" spans="1:11" x14ac:dyDescent="0.25">
      <c r="A59" t="s">
        <v>259</v>
      </c>
      <c r="B59" t="s">
        <v>260</v>
      </c>
      <c r="C59" t="s">
        <v>71</v>
      </c>
      <c r="D59">
        <v>54</v>
      </c>
      <c r="E59" t="s">
        <v>145</v>
      </c>
      <c r="F59" t="s">
        <v>146</v>
      </c>
      <c r="G59" t="s">
        <v>122</v>
      </c>
      <c r="H59">
        <v>48700</v>
      </c>
      <c r="I59" t="s">
        <v>82</v>
      </c>
      <c r="J59">
        <v>57300</v>
      </c>
      <c r="K59" t="s">
        <v>261</v>
      </c>
    </row>
    <row r="60" spans="1:11" x14ac:dyDescent="0.25">
      <c r="A60" t="s">
        <v>262</v>
      </c>
      <c r="B60" t="s">
        <v>263</v>
      </c>
      <c r="C60" t="s">
        <v>71</v>
      </c>
      <c r="D60">
        <v>21</v>
      </c>
      <c r="E60" t="s">
        <v>95</v>
      </c>
      <c r="F60" t="s">
        <v>96</v>
      </c>
      <c r="G60" t="s">
        <v>74</v>
      </c>
      <c r="H60">
        <v>60100</v>
      </c>
      <c r="I60" t="s">
        <v>75</v>
      </c>
      <c r="J60">
        <v>87200</v>
      </c>
      <c r="K60" t="s">
        <v>264</v>
      </c>
    </row>
    <row r="61" spans="1:11" x14ac:dyDescent="0.25">
      <c r="A61" t="s">
        <v>265</v>
      </c>
      <c r="B61" t="s">
        <v>266</v>
      </c>
      <c r="C61" t="s">
        <v>79</v>
      </c>
      <c r="D61">
        <v>47</v>
      </c>
      <c r="E61" t="s">
        <v>145</v>
      </c>
      <c r="F61" t="s">
        <v>146</v>
      </c>
      <c r="G61" t="s">
        <v>91</v>
      </c>
      <c r="H61">
        <v>68600</v>
      </c>
      <c r="I61" t="s">
        <v>115</v>
      </c>
      <c r="J61">
        <v>14200</v>
      </c>
      <c r="K61" t="s">
        <v>267</v>
      </c>
    </row>
    <row r="62" spans="1:11" x14ac:dyDescent="0.25">
      <c r="A62" t="s">
        <v>268</v>
      </c>
      <c r="B62" t="s">
        <v>269</v>
      </c>
      <c r="C62" t="s">
        <v>79</v>
      </c>
      <c r="D62">
        <v>57</v>
      </c>
      <c r="E62" t="s">
        <v>72</v>
      </c>
      <c r="F62" t="s">
        <v>73</v>
      </c>
      <c r="G62" t="s">
        <v>81</v>
      </c>
      <c r="H62">
        <v>24000</v>
      </c>
      <c r="I62" t="s">
        <v>82</v>
      </c>
      <c r="J62">
        <v>1300</v>
      </c>
      <c r="K62" t="s">
        <v>270</v>
      </c>
    </row>
    <row r="63" spans="1:11" x14ac:dyDescent="0.25">
      <c r="A63" t="s">
        <v>271</v>
      </c>
      <c r="B63" t="s">
        <v>272</v>
      </c>
      <c r="C63" t="s">
        <v>79</v>
      </c>
      <c r="D63">
        <v>51</v>
      </c>
      <c r="E63" t="s">
        <v>80</v>
      </c>
      <c r="F63" t="s">
        <v>51</v>
      </c>
      <c r="G63" t="s">
        <v>122</v>
      </c>
      <c r="H63">
        <v>105200</v>
      </c>
      <c r="I63" t="s">
        <v>75</v>
      </c>
      <c r="J63">
        <v>28500</v>
      </c>
      <c r="K63" t="s">
        <v>225</v>
      </c>
    </row>
    <row r="64" spans="1:11" x14ac:dyDescent="0.25">
      <c r="A64" t="s">
        <v>273</v>
      </c>
      <c r="B64" t="s">
        <v>274</v>
      </c>
      <c r="C64" t="s">
        <v>79</v>
      </c>
      <c r="D64">
        <v>25</v>
      </c>
      <c r="E64" t="s">
        <v>95</v>
      </c>
      <c r="F64" t="s">
        <v>96</v>
      </c>
      <c r="G64" t="s">
        <v>74</v>
      </c>
      <c r="H64">
        <v>35000</v>
      </c>
      <c r="I64" t="s">
        <v>75</v>
      </c>
      <c r="J64">
        <v>41200</v>
      </c>
      <c r="K64" t="s">
        <v>275</v>
      </c>
    </row>
    <row r="65" spans="1:11" x14ac:dyDescent="0.25">
      <c r="A65" t="s">
        <v>276</v>
      </c>
      <c r="B65" t="s">
        <v>277</v>
      </c>
      <c r="C65" t="s">
        <v>79</v>
      </c>
      <c r="D65">
        <v>21</v>
      </c>
      <c r="E65" t="s">
        <v>95</v>
      </c>
      <c r="F65" t="s">
        <v>96</v>
      </c>
      <c r="G65" t="s">
        <v>81</v>
      </c>
      <c r="H65">
        <v>22400</v>
      </c>
      <c r="I65" t="s">
        <v>75</v>
      </c>
      <c r="J65">
        <v>3200</v>
      </c>
      <c r="K65" t="s">
        <v>278</v>
      </c>
    </row>
    <row r="66" spans="1:11" x14ac:dyDescent="0.25">
      <c r="A66" t="s">
        <v>279</v>
      </c>
      <c r="B66" t="s">
        <v>280</v>
      </c>
      <c r="C66" t="s">
        <v>71</v>
      </c>
      <c r="D66">
        <v>47</v>
      </c>
      <c r="E66" t="s">
        <v>80</v>
      </c>
      <c r="F66" t="s">
        <v>51</v>
      </c>
      <c r="G66" t="s">
        <v>122</v>
      </c>
      <c r="H66">
        <v>101800</v>
      </c>
      <c r="I66" t="s">
        <v>75</v>
      </c>
      <c r="J66">
        <v>131400</v>
      </c>
      <c r="K66" t="s">
        <v>281</v>
      </c>
    </row>
    <row r="67" spans="1:11" x14ac:dyDescent="0.25">
      <c r="A67" t="s">
        <v>282</v>
      </c>
      <c r="B67" t="s">
        <v>283</v>
      </c>
      <c r="C67" t="s">
        <v>79</v>
      </c>
      <c r="D67">
        <v>45</v>
      </c>
      <c r="E67" t="s">
        <v>80</v>
      </c>
      <c r="F67" t="s">
        <v>51</v>
      </c>
      <c r="G67" t="s">
        <v>81</v>
      </c>
      <c r="H67">
        <v>37000</v>
      </c>
      <c r="I67" t="s">
        <v>75</v>
      </c>
      <c r="J67">
        <v>7600</v>
      </c>
      <c r="K67" t="s">
        <v>284</v>
      </c>
    </row>
    <row r="68" spans="1:11" x14ac:dyDescent="0.25">
      <c r="A68" t="s">
        <v>285</v>
      </c>
      <c r="B68" t="s">
        <v>286</v>
      </c>
      <c r="C68" t="s">
        <v>79</v>
      </c>
      <c r="D68">
        <v>40</v>
      </c>
      <c r="E68" t="s">
        <v>95</v>
      </c>
      <c r="F68" t="s">
        <v>96</v>
      </c>
      <c r="G68" t="s">
        <v>91</v>
      </c>
      <c r="H68">
        <v>67500</v>
      </c>
      <c r="I68" t="s">
        <v>82</v>
      </c>
      <c r="J68">
        <v>30000</v>
      </c>
      <c r="K68" t="s">
        <v>287</v>
      </c>
    </row>
    <row r="69" spans="1:11" x14ac:dyDescent="0.25">
      <c r="A69" t="s">
        <v>288</v>
      </c>
      <c r="B69" t="s">
        <v>289</v>
      </c>
      <c r="C69" t="s">
        <v>79</v>
      </c>
      <c r="D69">
        <v>62</v>
      </c>
      <c r="E69" t="s">
        <v>145</v>
      </c>
      <c r="F69" t="s">
        <v>146</v>
      </c>
      <c r="G69" t="s">
        <v>74</v>
      </c>
      <c r="H69">
        <v>51800</v>
      </c>
      <c r="I69" t="s">
        <v>75</v>
      </c>
      <c r="J69">
        <v>20100</v>
      </c>
      <c r="K69" t="s">
        <v>290</v>
      </c>
    </row>
    <row r="70" spans="1:11" x14ac:dyDescent="0.25">
      <c r="A70" t="s">
        <v>291</v>
      </c>
      <c r="B70" t="s">
        <v>292</v>
      </c>
      <c r="C70" t="s">
        <v>71</v>
      </c>
      <c r="D70">
        <v>34</v>
      </c>
      <c r="E70" t="s">
        <v>86</v>
      </c>
      <c r="F70" t="s">
        <v>87</v>
      </c>
      <c r="G70" t="s">
        <v>122</v>
      </c>
      <c r="H70">
        <v>119100</v>
      </c>
      <c r="I70" t="s">
        <v>75</v>
      </c>
      <c r="J70">
        <v>345100</v>
      </c>
      <c r="K70" t="s">
        <v>293</v>
      </c>
    </row>
    <row r="71" spans="1:11" x14ac:dyDescent="0.25">
      <c r="A71" t="s">
        <v>294</v>
      </c>
      <c r="B71" t="s">
        <v>295</v>
      </c>
      <c r="C71" t="s">
        <v>71</v>
      </c>
      <c r="D71">
        <v>22</v>
      </c>
      <c r="E71" t="s">
        <v>86</v>
      </c>
      <c r="F71" t="s">
        <v>87</v>
      </c>
      <c r="G71" t="s">
        <v>91</v>
      </c>
      <c r="H71">
        <v>64800</v>
      </c>
      <c r="I71" t="s">
        <v>75</v>
      </c>
      <c r="J71">
        <v>118200</v>
      </c>
      <c r="K71" t="s">
        <v>296</v>
      </c>
    </row>
    <row r="72" spans="1:11" x14ac:dyDescent="0.25">
      <c r="A72" t="s">
        <v>297</v>
      </c>
      <c r="B72" t="s">
        <v>298</v>
      </c>
      <c r="C72" t="s">
        <v>71</v>
      </c>
      <c r="D72">
        <v>21</v>
      </c>
      <c r="E72" t="s">
        <v>72</v>
      </c>
      <c r="F72" t="s">
        <v>73</v>
      </c>
      <c r="G72" t="s">
        <v>74</v>
      </c>
      <c r="H72">
        <v>81000</v>
      </c>
      <c r="I72" t="s">
        <v>75</v>
      </c>
      <c r="J72">
        <v>237700</v>
      </c>
      <c r="K72" t="s">
        <v>299</v>
      </c>
    </row>
    <row r="73" spans="1:11" x14ac:dyDescent="0.25">
      <c r="A73" t="s">
        <v>300</v>
      </c>
      <c r="B73" t="s">
        <v>301</v>
      </c>
      <c r="C73" t="s">
        <v>79</v>
      </c>
      <c r="D73">
        <v>37</v>
      </c>
      <c r="E73" t="s">
        <v>86</v>
      </c>
      <c r="F73" t="s">
        <v>87</v>
      </c>
      <c r="G73" t="s">
        <v>74</v>
      </c>
      <c r="H73">
        <v>37300</v>
      </c>
      <c r="I73" t="s">
        <v>75</v>
      </c>
      <c r="J73">
        <v>19300</v>
      </c>
      <c r="K73" t="s">
        <v>302</v>
      </c>
    </row>
    <row r="74" spans="1:11" x14ac:dyDescent="0.25">
      <c r="A74" t="s">
        <v>303</v>
      </c>
      <c r="B74" t="s">
        <v>304</v>
      </c>
      <c r="C74" t="s">
        <v>79</v>
      </c>
      <c r="D74">
        <v>47</v>
      </c>
      <c r="E74" t="s">
        <v>72</v>
      </c>
      <c r="F74" t="s">
        <v>73</v>
      </c>
      <c r="G74" t="s">
        <v>122</v>
      </c>
      <c r="H74">
        <v>89400</v>
      </c>
      <c r="I74" t="s">
        <v>82</v>
      </c>
      <c r="J74">
        <v>106000</v>
      </c>
      <c r="K74" t="s">
        <v>305</v>
      </c>
    </row>
    <row r="75" spans="1:11" x14ac:dyDescent="0.25">
      <c r="A75" t="s">
        <v>306</v>
      </c>
      <c r="B75" t="s">
        <v>307</v>
      </c>
      <c r="C75" t="s">
        <v>71</v>
      </c>
      <c r="D75">
        <v>28</v>
      </c>
      <c r="E75" t="s">
        <v>145</v>
      </c>
      <c r="F75" t="s">
        <v>146</v>
      </c>
      <c r="G75" t="s">
        <v>74</v>
      </c>
      <c r="H75">
        <v>70200</v>
      </c>
      <c r="I75" t="s">
        <v>75</v>
      </c>
      <c r="J75">
        <v>40900</v>
      </c>
      <c r="K75" t="s">
        <v>308</v>
      </c>
    </row>
    <row r="76" spans="1:11" x14ac:dyDescent="0.25">
      <c r="A76" t="s">
        <v>309</v>
      </c>
      <c r="B76" t="s">
        <v>310</v>
      </c>
      <c r="C76" t="s">
        <v>71</v>
      </c>
      <c r="D76">
        <v>33</v>
      </c>
      <c r="E76" t="s">
        <v>86</v>
      </c>
      <c r="F76" t="s">
        <v>87</v>
      </c>
      <c r="G76" t="s">
        <v>74</v>
      </c>
      <c r="H76">
        <v>60600</v>
      </c>
      <c r="I76" t="s">
        <v>75</v>
      </c>
      <c r="J76">
        <v>173200</v>
      </c>
      <c r="K76" t="s">
        <v>311</v>
      </c>
    </row>
    <row r="77" spans="1:11" x14ac:dyDescent="0.25">
      <c r="A77" t="s">
        <v>312</v>
      </c>
      <c r="B77" t="s">
        <v>313</v>
      </c>
      <c r="C77" t="s">
        <v>79</v>
      </c>
      <c r="D77">
        <v>21</v>
      </c>
      <c r="E77" t="s">
        <v>145</v>
      </c>
      <c r="F77" t="s">
        <v>146</v>
      </c>
      <c r="G77" t="s">
        <v>74</v>
      </c>
      <c r="H77">
        <v>66500</v>
      </c>
      <c r="I77" t="s">
        <v>115</v>
      </c>
      <c r="J77">
        <v>5300</v>
      </c>
      <c r="K77" t="s">
        <v>314</v>
      </c>
    </row>
    <row r="78" spans="1:11" x14ac:dyDescent="0.25">
      <c r="A78" t="s">
        <v>315</v>
      </c>
      <c r="B78" t="s">
        <v>316</v>
      </c>
      <c r="C78" t="s">
        <v>79</v>
      </c>
      <c r="D78">
        <v>24</v>
      </c>
      <c r="E78" t="s">
        <v>86</v>
      </c>
      <c r="F78" t="s">
        <v>87</v>
      </c>
      <c r="G78" t="s">
        <v>129</v>
      </c>
      <c r="H78">
        <v>25800</v>
      </c>
      <c r="I78" t="s">
        <v>82</v>
      </c>
      <c r="J78">
        <v>11900</v>
      </c>
      <c r="K78" t="s">
        <v>317</v>
      </c>
    </row>
    <row r="79" spans="1:11" x14ac:dyDescent="0.25">
      <c r="A79" t="s">
        <v>318</v>
      </c>
      <c r="B79" t="s">
        <v>319</v>
      </c>
      <c r="C79" t="s">
        <v>79</v>
      </c>
      <c r="D79">
        <v>31</v>
      </c>
      <c r="E79" t="s">
        <v>80</v>
      </c>
      <c r="F79" t="s">
        <v>51</v>
      </c>
      <c r="G79" t="s">
        <v>74</v>
      </c>
      <c r="H79">
        <v>53700</v>
      </c>
      <c r="I79" t="s">
        <v>82</v>
      </c>
      <c r="J79">
        <v>227200</v>
      </c>
      <c r="K79" t="s">
        <v>320</v>
      </c>
    </row>
    <row r="80" spans="1:11" x14ac:dyDescent="0.25">
      <c r="A80" t="s">
        <v>321</v>
      </c>
      <c r="B80" t="s">
        <v>322</v>
      </c>
      <c r="C80" t="s">
        <v>71</v>
      </c>
      <c r="D80">
        <v>30</v>
      </c>
      <c r="E80" t="s">
        <v>72</v>
      </c>
      <c r="F80" t="s">
        <v>73</v>
      </c>
      <c r="G80" t="s">
        <v>91</v>
      </c>
      <c r="H80">
        <v>48600</v>
      </c>
      <c r="I80" t="s">
        <v>82</v>
      </c>
      <c r="J80">
        <v>168900</v>
      </c>
      <c r="K80" t="s">
        <v>323</v>
      </c>
    </row>
    <row r="81" spans="1:11" x14ac:dyDescent="0.25">
      <c r="A81" t="s">
        <v>324</v>
      </c>
      <c r="B81" t="s">
        <v>325</v>
      </c>
      <c r="C81" t="s">
        <v>71</v>
      </c>
      <c r="D81">
        <v>51</v>
      </c>
      <c r="E81" t="s">
        <v>145</v>
      </c>
      <c r="F81" t="s">
        <v>146</v>
      </c>
      <c r="G81" t="s">
        <v>74</v>
      </c>
      <c r="H81">
        <v>34900</v>
      </c>
      <c r="I81" t="s">
        <v>82</v>
      </c>
      <c r="J81">
        <v>33700</v>
      </c>
      <c r="K81" t="s">
        <v>326</v>
      </c>
    </row>
    <row r="82" spans="1:11" x14ac:dyDescent="0.25">
      <c r="A82" t="s">
        <v>327</v>
      </c>
      <c r="B82" t="s">
        <v>328</v>
      </c>
      <c r="C82" t="s">
        <v>71</v>
      </c>
      <c r="D82">
        <v>34</v>
      </c>
      <c r="E82" t="s">
        <v>80</v>
      </c>
      <c r="F82" t="s">
        <v>51</v>
      </c>
      <c r="G82" t="s">
        <v>74</v>
      </c>
      <c r="H82">
        <v>44400</v>
      </c>
      <c r="I82" t="s">
        <v>75</v>
      </c>
      <c r="J82">
        <v>3100</v>
      </c>
      <c r="K82" t="s">
        <v>329</v>
      </c>
    </row>
    <row r="83" spans="1:11" x14ac:dyDescent="0.25">
      <c r="A83" t="s">
        <v>330</v>
      </c>
      <c r="B83" t="s">
        <v>331</v>
      </c>
      <c r="C83" t="s">
        <v>79</v>
      </c>
      <c r="D83">
        <v>37</v>
      </c>
      <c r="E83" t="s">
        <v>145</v>
      </c>
      <c r="F83" t="s">
        <v>146</v>
      </c>
      <c r="G83" t="s">
        <v>91</v>
      </c>
      <c r="H83">
        <v>33600</v>
      </c>
      <c r="I83" t="s">
        <v>75</v>
      </c>
      <c r="J83">
        <v>5500</v>
      </c>
      <c r="K83" t="s">
        <v>332</v>
      </c>
    </row>
    <row r="84" spans="1:11" x14ac:dyDescent="0.25">
      <c r="A84" t="s">
        <v>333</v>
      </c>
      <c r="B84" t="s">
        <v>334</v>
      </c>
      <c r="C84" t="s">
        <v>79</v>
      </c>
      <c r="D84">
        <v>44</v>
      </c>
      <c r="E84" t="s">
        <v>80</v>
      </c>
      <c r="F84" t="s">
        <v>51</v>
      </c>
      <c r="G84" t="s">
        <v>74</v>
      </c>
      <c r="H84">
        <v>36200</v>
      </c>
      <c r="I84" t="s">
        <v>82</v>
      </c>
      <c r="J84">
        <v>131000</v>
      </c>
      <c r="K84" t="s">
        <v>335</v>
      </c>
    </row>
    <row r="85" spans="1:11" x14ac:dyDescent="0.25">
      <c r="A85" t="s">
        <v>336</v>
      </c>
      <c r="B85" t="s">
        <v>337</v>
      </c>
      <c r="C85" t="s">
        <v>71</v>
      </c>
      <c r="D85">
        <v>34</v>
      </c>
      <c r="E85" t="s">
        <v>86</v>
      </c>
      <c r="F85" t="s">
        <v>87</v>
      </c>
      <c r="G85" t="s">
        <v>81</v>
      </c>
      <c r="H85">
        <v>47800</v>
      </c>
      <c r="I85" t="s">
        <v>75</v>
      </c>
      <c r="J85">
        <v>443800</v>
      </c>
      <c r="K85" t="s">
        <v>338</v>
      </c>
    </row>
    <row r="86" spans="1:11" x14ac:dyDescent="0.25">
      <c r="A86" t="s">
        <v>339</v>
      </c>
      <c r="B86" t="s">
        <v>340</v>
      </c>
      <c r="C86" t="s">
        <v>71</v>
      </c>
      <c r="D86">
        <v>35</v>
      </c>
      <c r="E86" t="s">
        <v>80</v>
      </c>
      <c r="F86" t="s">
        <v>51</v>
      </c>
      <c r="G86" t="s">
        <v>122</v>
      </c>
      <c r="H86">
        <v>69400</v>
      </c>
      <c r="I86" t="s">
        <v>75</v>
      </c>
      <c r="J86">
        <v>69900</v>
      </c>
      <c r="K86" t="s">
        <v>341</v>
      </c>
    </row>
    <row r="87" spans="1:11" x14ac:dyDescent="0.25">
      <c r="A87" t="s">
        <v>342</v>
      </c>
      <c r="B87" t="s">
        <v>343</v>
      </c>
      <c r="C87" t="s">
        <v>79</v>
      </c>
      <c r="D87">
        <v>21</v>
      </c>
      <c r="E87" t="s">
        <v>86</v>
      </c>
      <c r="F87" t="s">
        <v>87</v>
      </c>
      <c r="G87" t="s">
        <v>129</v>
      </c>
      <c r="H87">
        <v>39300</v>
      </c>
      <c r="I87" t="s">
        <v>75</v>
      </c>
      <c r="J87">
        <v>91900</v>
      </c>
      <c r="K87" t="s">
        <v>344</v>
      </c>
    </row>
    <row r="88" spans="1:11" x14ac:dyDescent="0.25">
      <c r="A88" t="s">
        <v>345</v>
      </c>
      <c r="B88" t="s">
        <v>346</v>
      </c>
      <c r="C88" t="s">
        <v>79</v>
      </c>
      <c r="D88">
        <v>31</v>
      </c>
      <c r="E88" t="s">
        <v>80</v>
      </c>
      <c r="F88" t="s">
        <v>51</v>
      </c>
      <c r="G88" t="s">
        <v>122</v>
      </c>
      <c r="H88">
        <v>93500</v>
      </c>
      <c r="I88" t="s">
        <v>75</v>
      </c>
      <c r="J88">
        <v>43100</v>
      </c>
      <c r="K88" t="s">
        <v>347</v>
      </c>
    </row>
    <row r="89" spans="1:11" x14ac:dyDescent="0.25">
      <c r="A89" t="s">
        <v>348</v>
      </c>
      <c r="B89" t="s">
        <v>349</v>
      </c>
      <c r="C89" t="s">
        <v>71</v>
      </c>
      <c r="D89">
        <v>50</v>
      </c>
      <c r="E89" t="s">
        <v>145</v>
      </c>
      <c r="F89" t="s">
        <v>146</v>
      </c>
      <c r="G89" t="s">
        <v>81</v>
      </c>
      <c r="H89">
        <v>10000</v>
      </c>
      <c r="I89" t="s">
        <v>75</v>
      </c>
      <c r="J89">
        <v>23300</v>
      </c>
      <c r="K89" t="s">
        <v>142</v>
      </c>
    </row>
    <row r="90" spans="1:11" x14ac:dyDescent="0.25">
      <c r="A90" t="s">
        <v>350</v>
      </c>
      <c r="B90" t="s">
        <v>351</v>
      </c>
      <c r="C90" t="s">
        <v>79</v>
      </c>
      <c r="D90">
        <v>45</v>
      </c>
      <c r="E90" t="s">
        <v>80</v>
      </c>
      <c r="F90" t="s">
        <v>51</v>
      </c>
      <c r="G90" t="s">
        <v>74</v>
      </c>
      <c r="H90">
        <v>29200</v>
      </c>
      <c r="I90" t="s">
        <v>75</v>
      </c>
      <c r="J90">
        <v>17800</v>
      </c>
      <c r="K90" t="s">
        <v>352</v>
      </c>
    </row>
    <row r="91" spans="1:11" x14ac:dyDescent="0.25">
      <c r="A91" t="s">
        <v>353</v>
      </c>
      <c r="B91" t="s">
        <v>354</v>
      </c>
      <c r="C91" t="s">
        <v>79</v>
      </c>
      <c r="D91">
        <v>29</v>
      </c>
      <c r="E91" t="s">
        <v>95</v>
      </c>
      <c r="F91" t="s">
        <v>96</v>
      </c>
      <c r="G91" t="s">
        <v>81</v>
      </c>
      <c r="H91">
        <v>57500</v>
      </c>
      <c r="I91" t="s">
        <v>82</v>
      </c>
      <c r="J91">
        <v>48400</v>
      </c>
      <c r="K91" t="s">
        <v>355</v>
      </c>
    </row>
    <row r="92" spans="1:11" x14ac:dyDescent="0.25">
      <c r="A92" t="s">
        <v>356</v>
      </c>
      <c r="B92" t="s">
        <v>357</v>
      </c>
      <c r="C92" t="s">
        <v>71</v>
      </c>
      <c r="D92">
        <v>35</v>
      </c>
      <c r="E92" t="s">
        <v>145</v>
      </c>
      <c r="F92" t="s">
        <v>146</v>
      </c>
      <c r="G92" t="s">
        <v>81</v>
      </c>
      <c r="H92">
        <v>44300</v>
      </c>
      <c r="I92" t="s">
        <v>82</v>
      </c>
      <c r="J92">
        <v>157600</v>
      </c>
      <c r="K92" t="s">
        <v>358</v>
      </c>
    </row>
    <row r="93" spans="1:11" x14ac:dyDescent="0.25">
      <c r="A93" t="s">
        <v>359</v>
      </c>
      <c r="B93" t="s">
        <v>360</v>
      </c>
      <c r="C93" t="s">
        <v>71</v>
      </c>
      <c r="D93">
        <v>44</v>
      </c>
      <c r="E93" t="s">
        <v>72</v>
      </c>
      <c r="F93" t="s">
        <v>73</v>
      </c>
      <c r="G93" t="s">
        <v>129</v>
      </c>
      <c r="H93">
        <v>25800</v>
      </c>
      <c r="I93" t="s">
        <v>75</v>
      </c>
      <c r="J93">
        <v>24900</v>
      </c>
      <c r="K93" t="s">
        <v>361</v>
      </c>
    </row>
    <row r="94" spans="1:11" x14ac:dyDescent="0.25">
      <c r="A94" t="s">
        <v>362</v>
      </c>
      <c r="B94" t="s">
        <v>363</v>
      </c>
      <c r="C94" t="s">
        <v>79</v>
      </c>
      <c r="D94">
        <v>31</v>
      </c>
      <c r="E94" t="s">
        <v>145</v>
      </c>
      <c r="F94" t="s">
        <v>146</v>
      </c>
      <c r="G94" t="s">
        <v>129</v>
      </c>
      <c r="H94">
        <v>21000</v>
      </c>
      <c r="I94" t="s">
        <v>82</v>
      </c>
      <c r="J94">
        <v>83300</v>
      </c>
      <c r="K94" t="s">
        <v>364</v>
      </c>
    </row>
    <row r="95" spans="1:11" x14ac:dyDescent="0.25">
      <c r="A95" t="s">
        <v>365</v>
      </c>
      <c r="B95" t="s">
        <v>366</v>
      </c>
      <c r="C95" t="s">
        <v>79</v>
      </c>
      <c r="D95">
        <v>60</v>
      </c>
      <c r="E95" t="s">
        <v>86</v>
      </c>
      <c r="F95" t="s">
        <v>87</v>
      </c>
      <c r="G95" t="s">
        <v>122</v>
      </c>
      <c r="H95">
        <v>79400</v>
      </c>
      <c r="I95" t="s">
        <v>82</v>
      </c>
      <c r="J95">
        <v>139300</v>
      </c>
      <c r="K95" t="s">
        <v>367</v>
      </c>
    </row>
    <row r="96" spans="1:11" x14ac:dyDescent="0.25">
      <c r="A96" t="s">
        <v>368</v>
      </c>
      <c r="B96" t="s">
        <v>369</v>
      </c>
      <c r="C96" t="s">
        <v>79</v>
      </c>
      <c r="D96">
        <v>21</v>
      </c>
      <c r="E96" t="s">
        <v>86</v>
      </c>
      <c r="F96" t="s">
        <v>87</v>
      </c>
      <c r="G96" t="s">
        <v>74</v>
      </c>
      <c r="H96">
        <v>54000</v>
      </c>
      <c r="I96" t="s">
        <v>82</v>
      </c>
      <c r="J96">
        <v>94700</v>
      </c>
      <c r="K96" t="s">
        <v>370</v>
      </c>
    </row>
    <row r="97" spans="1:11" x14ac:dyDescent="0.25">
      <c r="A97" t="s">
        <v>371</v>
      </c>
      <c r="B97" t="s">
        <v>372</v>
      </c>
      <c r="C97" t="s">
        <v>71</v>
      </c>
      <c r="D97">
        <v>37</v>
      </c>
      <c r="E97" t="s">
        <v>95</v>
      </c>
      <c r="F97" t="s">
        <v>96</v>
      </c>
      <c r="G97" t="s">
        <v>74</v>
      </c>
      <c r="H97">
        <v>40300</v>
      </c>
      <c r="I97" t="s">
        <v>75</v>
      </c>
      <c r="J97">
        <v>82500</v>
      </c>
      <c r="K97" t="s">
        <v>373</v>
      </c>
    </row>
    <row r="98" spans="1:11" x14ac:dyDescent="0.25">
      <c r="A98" t="s">
        <v>374</v>
      </c>
      <c r="B98" t="s">
        <v>375</v>
      </c>
      <c r="C98" t="s">
        <v>79</v>
      </c>
      <c r="D98">
        <v>31</v>
      </c>
      <c r="E98" t="s">
        <v>72</v>
      </c>
      <c r="F98" t="s">
        <v>73</v>
      </c>
      <c r="G98" t="s">
        <v>74</v>
      </c>
      <c r="H98">
        <v>52900</v>
      </c>
      <c r="I98" t="s">
        <v>75</v>
      </c>
      <c r="J98">
        <v>123100</v>
      </c>
      <c r="K98" t="s">
        <v>376</v>
      </c>
    </row>
    <row r="99" spans="1:11" x14ac:dyDescent="0.25">
      <c r="A99" t="s">
        <v>377</v>
      </c>
      <c r="B99" t="s">
        <v>378</v>
      </c>
      <c r="C99" t="s">
        <v>71</v>
      </c>
      <c r="D99">
        <v>44</v>
      </c>
      <c r="E99" t="s">
        <v>95</v>
      </c>
      <c r="F99" t="s">
        <v>96</v>
      </c>
      <c r="G99" t="s">
        <v>74</v>
      </c>
      <c r="H99">
        <v>38400</v>
      </c>
      <c r="I99" t="s">
        <v>75</v>
      </c>
      <c r="J99">
        <v>34300</v>
      </c>
      <c r="K99" t="s">
        <v>379</v>
      </c>
    </row>
    <row r="100" spans="1:11" x14ac:dyDescent="0.25">
      <c r="A100" t="s">
        <v>380</v>
      </c>
      <c r="B100" t="s">
        <v>381</v>
      </c>
      <c r="C100" t="s">
        <v>79</v>
      </c>
      <c r="D100">
        <v>42</v>
      </c>
      <c r="E100" t="s">
        <v>80</v>
      </c>
      <c r="F100" t="s">
        <v>51</v>
      </c>
      <c r="G100" t="s">
        <v>74</v>
      </c>
      <c r="H100">
        <v>36400</v>
      </c>
      <c r="I100" t="s">
        <v>75</v>
      </c>
      <c r="J100">
        <v>78100</v>
      </c>
      <c r="K100" t="s">
        <v>382</v>
      </c>
    </row>
    <row r="101" spans="1:11" x14ac:dyDescent="0.25">
      <c r="A101" t="s">
        <v>383</v>
      </c>
      <c r="B101" t="s">
        <v>384</v>
      </c>
      <c r="C101" t="s">
        <v>71</v>
      </c>
      <c r="D101">
        <v>27</v>
      </c>
      <c r="E101" t="s">
        <v>80</v>
      </c>
      <c r="F101" t="s">
        <v>51</v>
      </c>
      <c r="G101" t="s">
        <v>81</v>
      </c>
      <c r="H101">
        <v>35500</v>
      </c>
      <c r="I101" t="s">
        <v>75</v>
      </c>
      <c r="J101">
        <v>7400</v>
      </c>
      <c r="K101" t="s">
        <v>385</v>
      </c>
    </row>
    <row r="102" spans="1:11" x14ac:dyDescent="0.25">
      <c r="A102" t="s">
        <v>386</v>
      </c>
      <c r="B102" t="s">
        <v>387</v>
      </c>
      <c r="C102" t="s">
        <v>79</v>
      </c>
      <c r="D102">
        <v>21</v>
      </c>
      <c r="E102" t="s">
        <v>86</v>
      </c>
      <c r="F102" t="s">
        <v>87</v>
      </c>
      <c r="G102" t="s">
        <v>74</v>
      </c>
      <c r="H102">
        <v>62500</v>
      </c>
      <c r="I102" t="s">
        <v>75</v>
      </c>
      <c r="J102">
        <v>35800</v>
      </c>
      <c r="K102" t="s">
        <v>388</v>
      </c>
    </row>
    <row r="103" spans="1:11" x14ac:dyDescent="0.25">
      <c r="A103" t="s">
        <v>389</v>
      </c>
      <c r="B103" t="s">
        <v>390</v>
      </c>
      <c r="C103" t="s">
        <v>79</v>
      </c>
      <c r="D103">
        <v>21</v>
      </c>
      <c r="E103" t="s">
        <v>145</v>
      </c>
      <c r="F103" t="s">
        <v>146</v>
      </c>
      <c r="G103" t="s">
        <v>74</v>
      </c>
      <c r="H103">
        <v>43100</v>
      </c>
      <c r="I103" t="s">
        <v>75</v>
      </c>
      <c r="J103">
        <v>1000</v>
      </c>
      <c r="K103" t="s">
        <v>391</v>
      </c>
    </row>
    <row r="104" spans="1:11" x14ac:dyDescent="0.25">
      <c r="A104" t="s">
        <v>392</v>
      </c>
      <c r="B104" t="s">
        <v>393</v>
      </c>
      <c r="C104" t="s">
        <v>79</v>
      </c>
      <c r="D104">
        <v>21</v>
      </c>
      <c r="E104" t="s">
        <v>95</v>
      </c>
      <c r="F104" t="s">
        <v>96</v>
      </c>
      <c r="G104" t="s">
        <v>129</v>
      </c>
      <c r="H104">
        <v>26400</v>
      </c>
      <c r="I104" t="s">
        <v>82</v>
      </c>
      <c r="J104">
        <v>20500</v>
      </c>
      <c r="K104" t="s">
        <v>394</v>
      </c>
    </row>
    <row r="105" spans="1:11" x14ac:dyDescent="0.25">
      <c r="A105" t="s">
        <v>395</v>
      </c>
      <c r="B105" t="s">
        <v>396</v>
      </c>
      <c r="C105" t="s">
        <v>71</v>
      </c>
      <c r="D105">
        <v>52</v>
      </c>
      <c r="E105" t="s">
        <v>80</v>
      </c>
      <c r="F105" t="s">
        <v>51</v>
      </c>
      <c r="G105" t="s">
        <v>122</v>
      </c>
      <c r="H105">
        <v>124700</v>
      </c>
      <c r="I105" t="s">
        <v>75</v>
      </c>
      <c r="J105">
        <v>53500</v>
      </c>
      <c r="K105" t="s">
        <v>397</v>
      </c>
    </row>
    <row r="106" spans="1:11" x14ac:dyDescent="0.25">
      <c r="A106" t="s">
        <v>398</v>
      </c>
      <c r="B106" t="s">
        <v>399</v>
      </c>
      <c r="C106" t="s">
        <v>79</v>
      </c>
      <c r="D106">
        <v>42</v>
      </c>
      <c r="E106" t="s">
        <v>86</v>
      </c>
      <c r="F106" t="s">
        <v>87</v>
      </c>
      <c r="G106" t="s">
        <v>91</v>
      </c>
      <c r="H106">
        <v>47500</v>
      </c>
      <c r="I106" t="s">
        <v>82</v>
      </c>
      <c r="J106">
        <v>25900</v>
      </c>
      <c r="K106" t="s">
        <v>400</v>
      </c>
    </row>
    <row r="107" spans="1:11" x14ac:dyDescent="0.25">
      <c r="A107" t="s">
        <v>401</v>
      </c>
      <c r="B107" t="s">
        <v>402</v>
      </c>
      <c r="C107" t="s">
        <v>71</v>
      </c>
      <c r="D107">
        <v>45</v>
      </c>
      <c r="E107" t="s">
        <v>95</v>
      </c>
      <c r="F107" t="s">
        <v>96</v>
      </c>
      <c r="G107" t="s">
        <v>74</v>
      </c>
      <c r="H107">
        <v>56000</v>
      </c>
      <c r="I107" t="s">
        <v>75</v>
      </c>
      <c r="J107">
        <v>32600</v>
      </c>
      <c r="K107" t="s">
        <v>403</v>
      </c>
    </row>
    <row r="108" spans="1:11" x14ac:dyDescent="0.25">
      <c r="A108" t="s">
        <v>404</v>
      </c>
      <c r="B108" t="s">
        <v>405</v>
      </c>
      <c r="C108" t="s">
        <v>79</v>
      </c>
      <c r="D108">
        <v>57</v>
      </c>
      <c r="E108" t="s">
        <v>95</v>
      </c>
      <c r="F108" t="s">
        <v>96</v>
      </c>
      <c r="G108" t="s">
        <v>91</v>
      </c>
      <c r="H108">
        <v>48100</v>
      </c>
      <c r="I108" t="s">
        <v>82</v>
      </c>
      <c r="J108">
        <v>34500</v>
      </c>
      <c r="K108" t="s">
        <v>406</v>
      </c>
    </row>
    <row r="109" spans="1:11" x14ac:dyDescent="0.25">
      <c r="A109" t="s">
        <v>407</v>
      </c>
      <c r="B109" t="s">
        <v>408</v>
      </c>
      <c r="C109" t="s">
        <v>79</v>
      </c>
      <c r="D109">
        <v>25</v>
      </c>
      <c r="E109" t="s">
        <v>86</v>
      </c>
      <c r="F109" t="s">
        <v>87</v>
      </c>
      <c r="G109" t="s">
        <v>74</v>
      </c>
      <c r="H109">
        <v>63200</v>
      </c>
      <c r="I109" t="s">
        <v>75</v>
      </c>
      <c r="J109">
        <v>215300</v>
      </c>
      <c r="K109" t="s">
        <v>409</v>
      </c>
    </row>
    <row r="110" spans="1:11" x14ac:dyDescent="0.25">
      <c r="A110" t="s">
        <v>410</v>
      </c>
      <c r="B110" t="s">
        <v>411</v>
      </c>
      <c r="C110" t="s">
        <v>79</v>
      </c>
      <c r="D110">
        <v>21</v>
      </c>
      <c r="E110" t="s">
        <v>145</v>
      </c>
      <c r="F110" t="s">
        <v>146</v>
      </c>
      <c r="G110" t="s">
        <v>91</v>
      </c>
      <c r="H110">
        <v>52100</v>
      </c>
      <c r="I110" t="s">
        <v>115</v>
      </c>
      <c r="J110">
        <v>38900</v>
      </c>
      <c r="K110" t="s">
        <v>412</v>
      </c>
    </row>
    <row r="111" spans="1:11" x14ac:dyDescent="0.25">
      <c r="A111" t="s">
        <v>413</v>
      </c>
      <c r="B111" t="s">
        <v>414</v>
      </c>
      <c r="C111" t="s">
        <v>79</v>
      </c>
      <c r="D111">
        <v>21</v>
      </c>
      <c r="E111" t="s">
        <v>95</v>
      </c>
      <c r="F111" t="s">
        <v>96</v>
      </c>
      <c r="G111" t="s">
        <v>122</v>
      </c>
      <c r="H111">
        <v>78100</v>
      </c>
      <c r="I111" t="s">
        <v>75</v>
      </c>
      <c r="J111">
        <v>47900</v>
      </c>
      <c r="K111" t="s">
        <v>415</v>
      </c>
    </row>
    <row r="112" spans="1:11" x14ac:dyDescent="0.25">
      <c r="A112" t="s">
        <v>416</v>
      </c>
      <c r="B112" t="s">
        <v>417</v>
      </c>
      <c r="C112" t="s">
        <v>71</v>
      </c>
      <c r="D112">
        <v>29</v>
      </c>
      <c r="E112" t="s">
        <v>86</v>
      </c>
      <c r="F112" t="s">
        <v>87</v>
      </c>
      <c r="G112" t="s">
        <v>122</v>
      </c>
      <c r="H112">
        <v>49100</v>
      </c>
      <c r="I112" t="s">
        <v>75</v>
      </c>
      <c r="J112">
        <v>53800</v>
      </c>
      <c r="K112" t="s">
        <v>418</v>
      </c>
    </row>
    <row r="113" spans="1:11" x14ac:dyDescent="0.25">
      <c r="A113" t="s">
        <v>419</v>
      </c>
      <c r="B113" t="s">
        <v>420</v>
      </c>
      <c r="C113" t="s">
        <v>79</v>
      </c>
      <c r="D113">
        <v>36</v>
      </c>
      <c r="E113" t="s">
        <v>95</v>
      </c>
      <c r="F113" t="s">
        <v>96</v>
      </c>
      <c r="G113" t="s">
        <v>74</v>
      </c>
      <c r="H113">
        <v>25700</v>
      </c>
      <c r="I113" t="s">
        <v>82</v>
      </c>
      <c r="J113">
        <v>27200</v>
      </c>
      <c r="K113" t="s">
        <v>421</v>
      </c>
    </row>
    <row r="114" spans="1:11" x14ac:dyDescent="0.25">
      <c r="A114" t="s">
        <v>422</v>
      </c>
      <c r="B114" t="s">
        <v>423</v>
      </c>
      <c r="C114" t="s">
        <v>79</v>
      </c>
      <c r="D114">
        <v>28</v>
      </c>
      <c r="E114" t="s">
        <v>80</v>
      </c>
      <c r="F114" t="s">
        <v>51</v>
      </c>
      <c r="G114" t="s">
        <v>74</v>
      </c>
      <c r="H114">
        <v>52900</v>
      </c>
      <c r="I114" t="s">
        <v>82</v>
      </c>
      <c r="J114">
        <v>71500</v>
      </c>
      <c r="K114" t="s">
        <v>424</v>
      </c>
    </row>
    <row r="115" spans="1:11" x14ac:dyDescent="0.25">
      <c r="A115" t="s">
        <v>425</v>
      </c>
      <c r="B115" t="s">
        <v>426</v>
      </c>
      <c r="C115" t="s">
        <v>71</v>
      </c>
      <c r="D115">
        <v>34</v>
      </c>
      <c r="E115" t="s">
        <v>145</v>
      </c>
      <c r="F115" t="s">
        <v>146</v>
      </c>
      <c r="G115" t="s">
        <v>91</v>
      </c>
      <c r="H115">
        <v>54400</v>
      </c>
      <c r="I115" t="s">
        <v>75</v>
      </c>
      <c r="J115">
        <v>27300</v>
      </c>
      <c r="K115" t="s">
        <v>427</v>
      </c>
    </row>
    <row r="116" spans="1:11" x14ac:dyDescent="0.25">
      <c r="A116" t="s">
        <v>428</v>
      </c>
      <c r="B116" t="s">
        <v>429</v>
      </c>
      <c r="C116" t="s">
        <v>71</v>
      </c>
      <c r="D116">
        <v>43</v>
      </c>
      <c r="E116" t="s">
        <v>86</v>
      </c>
      <c r="F116" t="s">
        <v>87</v>
      </c>
      <c r="G116" t="s">
        <v>122</v>
      </c>
      <c r="H116">
        <v>83400</v>
      </c>
      <c r="I116" t="s">
        <v>115</v>
      </c>
      <c r="J116">
        <v>100700</v>
      </c>
      <c r="K116" t="s">
        <v>430</v>
      </c>
    </row>
    <row r="117" spans="1:11" x14ac:dyDescent="0.25">
      <c r="A117" t="s">
        <v>431</v>
      </c>
      <c r="B117" t="s">
        <v>432</v>
      </c>
      <c r="C117" t="s">
        <v>79</v>
      </c>
      <c r="D117">
        <v>23</v>
      </c>
      <c r="E117" t="s">
        <v>80</v>
      </c>
      <c r="F117" t="s">
        <v>51</v>
      </c>
      <c r="G117" t="s">
        <v>74</v>
      </c>
      <c r="H117">
        <v>24300</v>
      </c>
      <c r="I117" t="s">
        <v>82</v>
      </c>
      <c r="J117">
        <v>74300</v>
      </c>
      <c r="K117" t="s">
        <v>433</v>
      </c>
    </row>
    <row r="118" spans="1:11" x14ac:dyDescent="0.25">
      <c r="A118" t="s">
        <v>434</v>
      </c>
      <c r="B118" t="s">
        <v>435</v>
      </c>
      <c r="C118" t="s">
        <v>79</v>
      </c>
      <c r="D118">
        <v>34</v>
      </c>
      <c r="E118" t="s">
        <v>86</v>
      </c>
      <c r="F118" t="s">
        <v>87</v>
      </c>
      <c r="G118" t="s">
        <v>81</v>
      </c>
      <c r="H118">
        <v>51700</v>
      </c>
      <c r="I118" t="s">
        <v>75</v>
      </c>
      <c r="J118">
        <v>19200</v>
      </c>
      <c r="K118" t="s">
        <v>436</v>
      </c>
    </row>
    <row r="119" spans="1:11" x14ac:dyDescent="0.25">
      <c r="A119" t="s">
        <v>437</v>
      </c>
      <c r="B119" t="s">
        <v>438</v>
      </c>
      <c r="C119" t="s">
        <v>79</v>
      </c>
      <c r="D119">
        <v>23</v>
      </c>
      <c r="E119" t="s">
        <v>72</v>
      </c>
      <c r="F119" t="s">
        <v>73</v>
      </c>
      <c r="G119" t="s">
        <v>122</v>
      </c>
      <c r="H119">
        <v>68000</v>
      </c>
      <c r="I119" t="s">
        <v>75</v>
      </c>
      <c r="J119">
        <v>73300</v>
      </c>
      <c r="K119" t="s">
        <v>439</v>
      </c>
    </row>
    <row r="120" spans="1:11" x14ac:dyDescent="0.25">
      <c r="A120" t="s">
        <v>440</v>
      </c>
      <c r="B120" t="s">
        <v>441</v>
      </c>
      <c r="C120" t="s">
        <v>71</v>
      </c>
      <c r="D120">
        <v>41</v>
      </c>
      <c r="E120" t="s">
        <v>145</v>
      </c>
      <c r="F120" t="s">
        <v>146</v>
      </c>
      <c r="G120" t="s">
        <v>81</v>
      </c>
      <c r="H120">
        <v>24900</v>
      </c>
      <c r="I120" t="s">
        <v>82</v>
      </c>
      <c r="J120">
        <v>89000</v>
      </c>
      <c r="K120" t="s">
        <v>442</v>
      </c>
    </row>
    <row r="121" spans="1:11" x14ac:dyDescent="0.25">
      <c r="A121" t="s">
        <v>443</v>
      </c>
      <c r="B121" t="s">
        <v>444</v>
      </c>
      <c r="C121" t="s">
        <v>79</v>
      </c>
      <c r="D121">
        <v>32</v>
      </c>
      <c r="E121" t="s">
        <v>80</v>
      </c>
      <c r="F121" t="s">
        <v>51</v>
      </c>
      <c r="G121" t="s">
        <v>129</v>
      </c>
      <c r="H121">
        <v>18600</v>
      </c>
      <c r="I121" t="s">
        <v>82</v>
      </c>
      <c r="J121">
        <v>25100</v>
      </c>
      <c r="K121" t="s">
        <v>445</v>
      </c>
    </row>
    <row r="122" spans="1:11" x14ac:dyDescent="0.25">
      <c r="A122" t="s">
        <v>446</v>
      </c>
      <c r="B122" t="s">
        <v>447</v>
      </c>
      <c r="C122" t="s">
        <v>71</v>
      </c>
      <c r="D122">
        <v>21</v>
      </c>
      <c r="E122" t="s">
        <v>145</v>
      </c>
      <c r="F122" t="s">
        <v>146</v>
      </c>
      <c r="G122" t="s">
        <v>74</v>
      </c>
      <c r="H122">
        <v>37700</v>
      </c>
      <c r="I122" t="s">
        <v>75</v>
      </c>
      <c r="J122">
        <v>20700</v>
      </c>
      <c r="K122" t="s">
        <v>448</v>
      </c>
    </row>
    <row r="123" spans="1:11" x14ac:dyDescent="0.25">
      <c r="A123" t="s">
        <v>449</v>
      </c>
      <c r="B123" t="s">
        <v>450</v>
      </c>
      <c r="C123" t="s">
        <v>71</v>
      </c>
      <c r="D123">
        <v>41</v>
      </c>
      <c r="E123" t="s">
        <v>145</v>
      </c>
      <c r="F123" t="s">
        <v>146</v>
      </c>
      <c r="G123" t="s">
        <v>74</v>
      </c>
      <c r="H123">
        <v>42700</v>
      </c>
      <c r="I123" t="s">
        <v>82</v>
      </c>
      <c r="J123">
        <v>66300</v>
      </c>
      <c r="K123" t="s">
        <v>451</v>
      </c>
    </row>
    <row r="124" spans="1:11" x14ac:dyDescent="0.25">
      <c r="A124" t="s">
        <v>452</v>
      </c>
      <c r="B124" t="s">
        <v>453</v>
      </c>
      <c r="C124" t="s">
        <v>79</v>
      </c>
      <c r="D124">
        <v>55</v>
      </c>
      <c r="E124" t="s">
        <v>95</v>
      </c>
      <c r="F124" t="s">
        <v>96</v>
      </c>
      <c r="G124" t="s">
        <v>74</v>
      </c>
      <c r="H124">
        <v>36200</v>
      </c>
      <c r="I124" t="s">
        <v>82</v>
      </c>
      <c r="J124">
        <v>34500</v>
      </c>
      <c r="K124" t="s">
        <v>454</v>
      </c>
    </row>
    <row r="125" spans="1:11" x14ac:dyDescent="0.25">
      <c r="A125" t="s">
        <v>455</v>
      </c>
      <c r="B125" t="s">
        <v>456</v>
      </c>
      <c r="C125" t="s">
        <v>71</v>
      </c>
      <c r="D125">
        <v>21</v>
      </c>
      <c r="E125" t="s">
        <v>72</v>
      </c>
      <c r="F125" t="s">
        <v>73</v>
      </c>
      <c r="G125" t="s">
        <v>122</v>
      </c>
      <c r="H125">
        <v>98300</v>
      </c>
      <c r="I125" t="s">
        <v>115</v>
      </c>
      <c r="J125">
        <v>85600</v>
      </c>
      <c r="K125" t="s">
        <v>457</v>
      </c>
    </row>
    <row r="126" spans="1:11" x14ac:dyDescent="0.25">
      <c r="A126" t="s">
        <v>458</v>
      </c>
      <c r="B126" t="s">
        <v>459</v>
      </c>
      <c r="C126" t="s">
        <v>79</v>
      </c>
      <c r="D126">
        <v>36</v>
      </c>
      <c r="E126" t="s">
        <v>80</v>
      </c>
      <c r="F126" t="s">
        <v>51</v>
      </c>
      <c r="G126" t="s">
        <v>74</v>
      </c>
      <c r="H126">
        <v>49200</v>
      </c>
      <c r="I126" t="s">
        <v>82</v>
      </c>
      <c r="J126">
        <v>44900</v>
      </c>
      <c r="K126" t="s">
        <v>460</v>
      </c>
    </row>
    <row r="127" spans="1:11" x14ac:dyDescent="0.25">
      <c r="A127" t="s">
        <v>461</v>
      </c>
      <c r="B127" t="s">
        <v>462</v>
      </c>
      <c r="C127" t="s">
        <v>71</v>
      </c>
      <c r="D127">
        <v>29</v>
      </c>
      <c r="E127" t="s">
        <v>86</v>
      </c>
      <c r="F127" t="s">
        <v>87</v>
      </c>
      <c r="G127" t="s">
        <v>74</v>
      </c>
      <c r="H127">
        <v>44200</v>
      </c>
      <c r="I127" t="s">
        <v>82</v>
      </c>
      <c r="J127">
        <v>28900</v>
      </c>
      <c r="K127" t="s">
        <v>463</v>
      </c>
    </row>
    <row r="128" spans="1:11" x14ac:dyDescent="0.25">
      <c r="A128" t="s">
        <v>464</v>
      </c>
      <c r="B128" t="s">
        <v>465</v>
      </c>
      <c r="C128" t="s">
        <v>71</v>
      </c>
      <c r="D128">
        <v>43</v>
      </c>
      <c r="E128" t="s">
        <v>145</v>
      </c>
      <c r="F128" t="s">
        <v>146</v>
      </c>
      <c r="G128" t="s">
        <v>74</v>
      </c>
      <c r="H128">
        <v>64100</v>
      </c>
      <c r="I128" t="s">
        <v>75</v>
      </c>
      <c r="J128">
        <v>99900</v>
      </c>
      <c r="K128" t="s">
        <v>466</v>
      </c>
    </row>
    <row r="129" spans="1:11" x14ac:dyDescent="0.25">
      <c r="A129" t="s">
        <v>467</v>
      </c>
      <c r="B129" t="s">
        <v>468</v>
      </c>
      <c r="C129" t="s">
        <v>71</v>
      </c>
      <c r="D129">
        <v>35</v>
      </c>
      <c r="E129" t="s">
        <v>80</v>
      </c>
      <c r="F129" t="s">
        <v>51</v>
      </c>
      <c r="G129" t="s">
        <v>74</v>
      </c>
      <c r="H129">
        <v>51100</v>
      </c>
      <c r="I129" t="s">
        <v>75</v>
      </c>
      <c r="J129">
        <v>19400</v>
      </c>
      <c r="K129" t="s">
        <v>469</v>
      </c>
    </row>
    <row r="130" spans="1:11" x14ac:dyDescent="0.25">
      <c r="A130" t="s">
        <v>470</v>
      </c>
      <c r="B130" t="s">
        <v>471</v>
      </c>
      <c r="C130" t="s">
        <v>71</v>
      </c>
      <c r="D130">
        <v>37</v>
      </c>
      <c r="E130" t="s">
        <v>145</v>
      </c>
      <c r="F130" t="s">
        <v>146</v>
      </c>
      <c r="G130" t="s">
        <v>74</v>
      </c>
      <c r="H130">
        <v>56400</v>
      </c>
      <c r="I130" t="s">
        <v>82</v>
      </c>
      <c r="J130">
        <v>33700</v>
      </c>
      <c r="K130" t="s">
        <v>472</v>
      </c>
    </row>
    <row r="131" spans="1:11" x14ac:dyDescent="0.25">
      <c r="A131" t="s">
        <v>473</v>
      </c>
      <c r="B131" t="s">
        <v>474</v>
      </c>
      <c r="C131" t="s">
        <v>79</v>
      </c>
      <c r="D131">
        <v>21</v>
      </c>
      <c r="E131" t="s">
        <v>80</v>
      </c>
      <c r="F131" t="s">
        <v>51</v>
      </c>
      <c r="G131" t="s">
        <v>74</v>
      </c>
      <c r="H131">
        <v>43900</v>
      </c>
      <c r="I131" t="s">
        <v>75</v>
      </c>
      <c r="J131">
        <v>50000</v>
      </c>
      <c r="K131" t="s">
        <v>475</v>
      </c>
    </row>
    <row r="132" spans="1:11" x14ac:dyDescent="0.25">
      <c r="A132" t="s">
        <v>476</v>
      </c>
      <c r="B132" t="s">
        <v>477</v>
      </c>
      <c r="C132" t="s">
        <v>79</v>
      </c>
      <c r="D132">
        <v>38</v>
      </c>
      <c r="E132" t="s">
        <v>80</v>
      </c>
      <c r="F132" t="s">
        <v>51</v>
      </c>
      <c r="G132" t="s">
        <v>91</v>
      </c>
      <c r="H132">
        <v>76500</v>
      </c>
      <c r="I132" t="s">
        <v>82</v>
      </c>
      <c r="J132">
        <v>170900</v>
      </c>
      <c r="K132" t="s">
        <v>478</v>
      </c>
    </row>
    <row r="133" spans="1:11" x14ac:dyDescent="0.25">
      <c r="A133" t="s">
        <v>479</v>
      </c>
      <c r="B133" t="s">
        <v>480</v>
      </c>
      <c r="C133" t="s">
        <v>71</v>
      </c>
      <c r="D133">
        <v>39</v>
      </c>
      <c r="E133" t="s">
        <v>86</v>
      </c>
      <c r="F133" t="s">
        <v>87</v>
      </c>
      <c r="G133" t="s">
        <v>74</v>
      </c>
      <c r="H133">
        <v>33400</v>
      </c>
      <c r="I133" t="s">
        <v>115</v>
      </c>
      <c r="J133">
        <v>198300</v>
      </c>
      <c r="K133" t="s">
        <v>481</v>
      </c>
    </row>
    <row r="134" spans="1:11" x14ac:dyDescent="0.25">
      <c r="A134" t="s">
        <v>482</v>
      </c>
      <c r="B134" t="s">
        <v>483</v>
      </c>
      <c r="C134" t="s">
        <v>79</v>
      </c>
      <c r="D134">
        <v>36</v>
      </c>
      <c r="E134" t="s">
        <v>72</v>
      </c>
      <c r="F134" t="s">
        <v>73</v>
      </c>
      <c r="G134" t="s">
        <v>129</v>
      </c>
      <c r="H134">
        <v>19700</v>
      </c>
      <c r="I134" t="s">
        <v>75</v>
      </c>
      <c r="J134">
        <v>25500</v>
      </c>
      <c r="K134" t="s">
        <v>484</v>
      </c>
    </row>
    <row r="135" spans="1:11" x14ac:dyDescent="0.25">
      <c r="A135" t="s">
        <v>485</v>
      </c>
      <c r="B135" t="s">
        <v>486</v>
      </c>
      <c r="C135" t="s">
        <v>79</v>
      </c>
      <c r="D135">
        <v>39</v>
      </c>
      <c r="E135" t="s">
        <v>80</v>
      </c>
      <c r="F135" t="s">
        <v>51</v>
      </c>
      <c r="G135" t="s">
        <v>91</v>
      </c>
      <c r="H135">
        <v>46700</v>
      </c>
      <c r="I135" t="s">
        <v>75</v>
      </c>
      <c r="J135">
        <v>40300</v>
      </c>
      <c r="K135" t="s">
        <v>487</v>
      </c>
    </row>
    <row r="136" spans="1:11" x14ac:dyDescent="0.25">
      <c r="A136" t="s">
        <v>488</v>
      </c>
      <c r="B136" t="s">
        <v>489</v>
      </c>
      <c r="C136" t="s">
        <v>71</v>
      </c>
      <c r="D136">
        <v>47</v>
      </c>
      <c r="E136" t="s">
        <v>95</v>
      </c>
      <c r="F136" t="s">
        <v>96</v>
      </c>
      <c r="G136" t="s">
        <v>81</v>
      </c>
      <c r="H136">
        <v>47200</v>
      </c>
      <c r="I136" t="s">
        <v>82</v>
      </c>
      <c r="J136">
        <v>1000</v>
      </c>
      <c r="K136" t="s">
        <v>490</v>
      </c>
    </row>
    <row r="137" spans="1:11" x14ac:dyDescent="0.25">
      <c r="A137" t="s">
        <v>491</v>
      </c>
      <c r="B137" t="s">
        <v>492</v>
      </c>
      <c r="C137" t="s">
        <v>71</v>
      </c>
      <c r="D137">
        <v>34</v>
      </c>
      <c r="E137" t="s">
        <v>145</v>
      </c>
      <c r="F137" t="s">
        <v>146</v>
      </c>
      <c r="G137" t="s">
        <v>122</v>
      </c>
      <c r="H137">
        <v>13900</v>
      </c>
      <c r="I137" t="s">
        <v>75</v>
      </c>
      <c r="J137">
        <v>11700</v>
      </c>
      <c r="K137" t="s">
        <v>493</v>
      </c>
    </row>
    <row r="138" spans="1:11" x14ac:dyDescent="0.25">
      <c r="A138" t="s">
        <v>494</v>
      </c>
      <c r="B138" t="s">
        <v>495</v>
      </c>
      <c r="C138" t="s">
        <v>71</v>
      </c>
      <c r="D138">
        <v>36</v>
      </c>
      <c r="E138" t="s">
        <v>86</v>
      </c>
      <c r="F138" t="s">
        <v>87</v>
      </c>
      <c r="G138" t="s">
        <v>91</v>
      </c>
      <c r="H138">
        <v>45200</v>
      </c>
      <c r="I138" t="s">
        <v>115</v>
      </c>
      <c r="J138">
        <v>25900</v>
      </c>
      <c r="K138" t="s">
        <v>496</v>
      </c>
    </row>
    <row r="139" spans="1:11" x14ac:dyDescent="0.25">
      <c r="A139" t="s">
        <v>497</v>
      </c>
      <c r="B139" t="s">
        <v>498</v>
      </c>
      <c r="C139" t="s">
        <v>71</v>
      </c>
      <c r="D139">
        <v>44</v>
      </c>
      <c r="E139" t="s">
        <v>145</v>
      </c>
      <c r="F139" t="s">
        <v>146</v>
      </c>
      <c r="G139" t="s">
        <v>74</v>
      </c>
      <c r="H139">
        <v>50200</v>
      </c>
      <c r="I139" t="s">
        <v>75</v>
      </c>
      <c r="J139">
        <v>130100</v>
      </c>
      <c r="K139" t="s">
        <v>499</v>
      </c>
    </row>
    <row r="140" spans="1:11" x14ac:dyDescent="0.25">
      <c r="A140" t="s">
        <v>500</v>
      </c>
      <c r="B140" t="s">
        <v>501</v>
      </c>
      <c r="C140" t="s">
        <v>71</v>
      </c>
      <c r="D140">
        <v>27</v>
      </c>
      <c r="E140" t="s">
        <v>145</v>
      </c>
      <c r="F140" t="s">
        <v>146</v>
      </c>
      <c r="G140" t="s">
        <v>122</v>
      </c>
      <c r="H140">
        <v>76400</v>
      </c>
      <c r="I140" t="s">
        <v>75</v>
      </c>
      <c r="J140">
        <v>92800</v>
      </c>
      <c r="K140" t="s">
        <v>502</v>
      </c>
    </row>
    <row r="141" spans="1:11" x14ac:dyDescent="0.25">
      <c r="A141" t="s">
        <v>503</v>
      </c>
      <c r="B141" t="s">
        <v>504</v>
      </c>
      <c r="C141" t="s">
        <v>71</v>
      </c>
      <c r="D141">
        <v>61</v>
      </c>
      <c r="E141" t="s">
        <v>86</v>
      </c>
      <c r="F141" t="s">
        <v>87</v>
      </c>
      <c r="G141" t="s">
        <v>74</v>
      </c>
      <c r="H141">
        <v>59200</v>
      </c>
      <c r="I141" t="s">
        <v>75</v>
      </c>
      <c r="J141">
        <v>85100</v>
      </c>
      <c r="K141" t="s">
        <v>505</v>
      </c>
    </row>
    <row r="142" spans="1:11" x14ac:dyDescent="0.25">
      <c r="A142" t="s">
        <v>506</v>
      </c>
      <c r="B142" t="s">
        <v>507</v>
      </c>
      <c r="C142" t="s">
        <v>71</v>
      </c>
      <c r="D142">
        <v>36</v>
      </c>
      <c r="E142" t="s">
        <v>95</v>
      </c>
      <c r="F142" t="s">
        <v>96</v>
      </c>
      <c r="G142" t="s">
        <v>74</v>
      </c>
      <c r="H142">
        <v>60600</v>
      </c>
      <c r="I142" t="s">
        <v>82</v>
      </c>
      <c r="J142">
        <v>68900</v>
      </c>
      <c r="K142" t="s">
        <v>508</v>
      </c>
    </row>
    <row r="143" spans="1:11" x14ac:dyDescent="0.25">
      <c r="A143" t="s">
        <v>509</v>
      </c>
      <c r="B143" t="s">
        <v>510</v>
      </c>
      <c r="C143" t="s">
        <v>71</v>
      </c>
      <c r="D143">
        <v>28</v>
      </c>
      <c r="E143" t="s">
        <v>72</v>
      </c>
      <c r="F143" t="s">
        <v>73</v>
      </c>
      <c r="G143" t="s">
        <v>81</v>
      </c>
      <c r="H143">
        <v>35500</v>
      </c>
      <c r="I143" t="s">
        <v>75</v>
      </c>
      <c r="J143">
        <v>34100</v>
      </c>
      <c r="K143" t="s">
        <v>511</v>
      </c>
    </row>
    <row r="144" spans="1:11" x14ac:dyDescent="0.25">
      <c r="A144" t="s">
        <v>512</v>
      </c>
      <c r="B144" t="s">
        <v>513</v>
      </c>
      <c r="C144" t="s">
        <v>71</v>
      </c>
      <c r="D144">
        <v>51</v>
      </c>
      <c r="E144" t="s">
        <v>95</v>
      </c>
      <c r="F144" t="s">
        <v>96</v>
      </c>
      <c r="G144" t="s">
        <v>74</v>
      </c>
      <c r="H144">
        <v>36700</v>
      </c>
      <c r="I144" t="s">
        <v>75</v>
      </c>
      <c r="J144">
        <v>15500</v>
      </c>
      <c r="K144" t="s">
        <v>514</v>
      </c>
    </row>
    <row r="145" spans="1:11" x14ac:dyDescent="0.25">
      <c r="A145" t="s">
        <v>515</v>
      </c>
      <c r="B145" t="s">
        <v>516</v>
      </c>
      <c r="C145" t="s">
        <v>79</v>
      </c>
      <c r="D145">
        <v>41</v>
      </c>
      <c r="E145" t="s">
        <v>86</v>
      </c>
      <c r="F145" t="s">
        <v>87</v>
      </c>
      <c r="G145" t="s">
        <v>122</v>
      </c>
      <c r="H145">
        <v>107600</v>
      </c>
      <c r="I145" t="s">
        <v>75</v>
      </c>
      <c r="J145">
        <v>148200</v>
      </c>
      <c r="K145" t="s">
        <v>517</v>
      </c>
    </row>
    <row r="146" spans="1:11" x14ac:dyDescent="0.25">
      <c r="A146" t="s">
        <v>518</v>
      </c>
      <c r="B146" t="s">
        <v>519</v>
      </c>
      <c r="C146" t="s">
        <v>79</v>
      </c>
      <c r="D146">
        <v>27</v>
      </c>
      <c r="E146" t="s">
        <v>145</v>
      </c>
      <c r="F146" t="s">
        <v>146</v>
      </c>
      <c r="G146" t="s">
        <v>74</v>
      </c>
      <c r="H146">
        <v>23500</v>
      </c>
      <c r="I146" t="s">
        <v>82</v>
      </c>
      <c r="J146">
        <v>73900</v>
      </c>
      <c r="K146" t="s">
        <v>520</v>
      </c>
    </row>
    <row r="147" spans="1:11" x14ac:dyDescent="0.25">
      <c r="A147" t="s">
        <v>521</v>
      </c>
      <c r="B147" t="s">
        <v>522</v>
      </c>
      <c r="C147" t="s">
        <v>71</v>
      </c>
      <c r="D147">
        <v>25</v>
      </c>
      <c r="E147" t="s">
        <v>95</v>
      </c>
      <c r="F147" t="s">
        <v>96</v>
      </c>
      <c r="G147" t="s">
        <v>129</v>
      </c>
      <c r="H147">
        <v>26800</v>
      </c>
      <c r="I147" t="s">
        <v>75</v>
      </c>
      <c r="J147">
        <v>11100</v>
      </c>
      <c r="K147" t="s">
        <v>523</v>
      </c>
    </row>
    <row r="148" spans="1:11" x14ac:dyDescent="0.25">
      <c r="A148" t="s">
        <v>524</v>
      </c>
      <c r="B148" t="s">
        <v>525</v>
      </c>
      <c r="C148" t="s">
        <v>79</v>
      </c>
      <c r="D148">
        <v>42</v>
      </c>
      <c r="E148" t="s">
        <v>86</v>
      </c>
      <c r="F148" t="s">
        <v>87</v>
      </c>
      <c r="G148" t="s">
        <v>74</v>
      </c>
      <c r="H148">
        <v>10000</v>
      </c>
      <c r="I148" t="s">
        <v>75</v>
      </c>
      <c r="J148">
        <v>3700</v>
      </c>
      <c r="K148" t="s">
        <v>526</v>
      </c>
    </row>
    <row r="149" spans="1:11" x14ac:dyDescent="0.25">
      <c r="A149" t="s">
        <v>527</v>
      </c>
      <c r="B149" t="s">
        <v>528</v>
      </c>
      <c r="C149" t="s">
        <v>71</v>
      </c>
      <c r="D149">
        <v>27</v>
      </c>
      <c r="E149" t="s">
        <v>145</v>
      </c>
      <c r="F149" t="s">
        <v>146</v>
      </c>
      <c r="G149" t="s">
        <v>129</v>
      </c>
      <c r="H149">
        <v>26200</v>
      </c>
      <c r="I149" t="s">
        <v>82</v>
      </c>
      <c r="J149">
        <v>36600</v>
      </c>
      <c r="K149" t="s">
        <v>529</v>
      </c>
    </row>
    <row r="150" spans="1:11" x14ac:dyDescent="0.25">
      <c r="A150" t="s">
        <v>530</v>
      </c>
      <c r="B150" t="s">
        <v>531</v>
      </c>
      <c r="C150" t="s">
        <v>79</v>
      </c>
      <c r="D150">
        <v>24</v>
      </c>
      <c r="E150" t="s">
        <v>86</v>
      </c>
      <c r="F150" t="s">
        <v>87</v>
      </c>
      <c r="G150" t="s">
        <v>81</v>
      </c>
      <c r="H150">
        <v>42300</v>
      </c>
      <c r="I150" t="s">
        <v>82</v>
      </c>
      <c r="J150">
        <v>37800</v>
      </c>
      <c r="K150" t="s">
        <v>532</v>
      </c>
    </row>
    <row r="151" spans="1:11" x14ac:dyDescent="0.25">
      <c r="A151" t="s">
        <v>533</v>
      </c>
      <c r="B151" t="s">
        <v>534</v>
      </c>
      <c r="C151" t="s">
        <v>71</v>
      </c>
      <c r="D151">
        <v>29</v>
      </c>
      <c r="E151" t="s">
        <v>86</v>
      </c>
      <c r="F151" t="s">
        <v>87</v>
      </c>
      <c r="G151" t="s">
        <v>74</v>
      </c>
      <c r="H151">
        <v>32900</v>
      </c>
      <c r="I151" t="s">
        <v>82</v>
      </c>
      <c r="J151">
        <v>5700</v>
      </c>
      <c r="K151" t="s">
        <v>535</v>
      </c>
    </row>
    <row r="152" spans="1:11" x14ac:dyDescent="0.25">
      <c r="A152" t="s">
        <v>536</v>
      </c>
      <c r="B152" t="s">
        <v>537</v>
      </c>
      <c r="C152" t="s">
        <v>71</v>
      </c>
      <c r="D152">
        <v>29</v>
      </c>
      <c r="E152" t="s">
        <v>145</v>
      </c>
      <c r="F152" t="s">
        <v>146</v>
      </c>
      <c r="G152" t="s">
        <v>74</v>
      </c>
      <c r="H152">
        <v>62600</v>
      </c>
      <c r="I152" t="s">
        <v>75</v>
      </c>
      <c r="J152">
        <v>253600</v>
      </c>
      <c r="K152" t="s">
        <v>538</v>
      </c>
    </row>
    <row r="153" spans="1:11" x14ac:dyDescent="0.25">
      <c r="A153" t="s">
        <v>539</v>
      </c>
      <c r="B153" t="s">
        <v>540</v>
      </c>
      <c r="C153" t="s">
        <v>79</v>
      </c>
      <c r="D153">
        <v>24</v>
      </c>
      <c r="E153" t="s">
        <v>95</v>
      </c>
      <c r="F153" t="s">
        <v>96</v>
      </c>
      <c r="G153" t="s">
        <v>129</v>
      </c>
      <c r="H153">
        <v>25900</v>
      </c>
      <c r="I153" t="s">
        <v>75</v>
      </c>
      <c r="J153">
        <v>41100</v>
      </c>
      <c r="K153" t="s">
        <v>541</v>
      </c>
    </row>
    <row r="154" spans="1:11" x14ac:dyDescent="0.25">
      <c r="A154" t="s">
        <v>542</v>
      </c>
      <c r="B154" t="s">
        <v>543</v>
      </c>
      <c r="C154" t="s">
        <v>71</v>
      </c>
      <c r="D154">
        <v>43</v>
      </c>
      <c r="E154" t="s">
        <v>86</v>
      </c>
      <c r="F154" t="s">
        <v>87</v>
      </c>
      <c r="G154" t="s">
        <v>81</v>
      </c>
      <c r="H154">
        <v>53600</v>
      </c>
      <c r="I154" t="s">
        <v>75</v>
      </c>
      <c r="J154">
        <v>9800</v>
      </c>
      <c r="K154" t="s">
        <v>544</v>
      </c>
    </row>
    <row r="155" spans="1:11" x14ac:dyDescent="0.25">
      <c r="A155" t="s">
        <v>545</v>
      </c>
      <c r="B155" t="s">
        <v>546</v>
      </c>
      <c r="C155" t="s">
        <v>79</v>
      </c>
      <c r="D155">
        <v>41</v>
      </c>
      <c r="E155" t="s">
        <v>95</v>
      </c>
      <c r="F155" t="s">
        <v>96</v>
      </c>
      <c r="G155" t="s">
        <v>91</v>
      </c>
      <c r="H155">
        <v>53600</v>
      </c>
      <c r="I155" t="s">
        <v>115</v>
      </c>
      <c r="J155">
        <v>25300</v>
      </c>
      <c r="K155" t="s">
        <v>547</v>
      </c>
    </row>
    <row r="156" spans="1:11" x14ac:dyDescent="0.25">
      <c r="A156" t="s">
        <v>548</v>
      </c>
      <c r="B156" t="s">
        <v>549</v>
      </c>
      <c r="C156" t="s">
        <v>79</v>
      </c>
      <c r="D156">
        <v>61</v>
      </c>
      <c r="E156" t="s">
        <v>80</v>
      </c>
      <c r="F156" t="s">
        <v>51</v>
      </c>
      <c r="G156" t="s">
        <v>81</v>
      </c>
      <c r="H156">
        <v>34700</v>
      </c>
      <c r="I156" t="s">
        <v>75</v>
      </c>
      <c r="J156">
        <v>12700</v>
      </c>
      <c r="K156" t="s">
        <v>550</v>
      </c>
    </row>
    <row r="157" spans="1:11" x14ac:dyDescent="0.25">
      <c r="A157" t="s">
        <v>551</v>
      </c>
      <c r="B157" t="s">
        <v>552</v>
      </c>
      <c r="C157" t="s">
        <v>79</v>
      </c>
      <c r="D157">
        <v>41</v>
      </c>
      <c r="E157" t="s">
        <v>86</v>
      </c>
      <c r="F157" t="s">
        <v>87</v>
      </c>
      <c r="G157" t="s">
        <v>74</v>
      </c>
      <c r="H157">
        <v>59700</v>
      </c>
      <c r="I157" t="s">
        <v>82</v>
      </c>
      <c r="J157">
        <v>150800</v>
      </c>
      <c r="K157" t="s">
        <v>553</v>
      </c>
    </row>
    <row r="158" spans="1:11" x14ac:dyDescent="0.25">
      <c r="A158" t="s">
        <v>554</v>
      </c>
      <c r="B158" t="s">
        <v>555</v>
      </c>
      <c r="C158" t="s">
        <v>71</v>
      </c>
      <c r="D158">
        <v>48</v>
      </c>
      <c r="E158" t="s">
        <v>80</v>
      </c>
      <c r="F158" t="s">
        <v>51</v>
      </c>
      <c r="G158" t="s">
        <v>74</v>
      </c>
      <c r="H158">
        <v>10000</v>
      </c>
      <c r="I158" t="s">
        <v>115</v>
      </c>
      <c r="J158">
        <v>2800</v>
      </c>
      <c r="K158" t="s">
        <v>556</v>
      </c>
    </row>
    <row r="159" spans="1:11" x14ac:dyDescent="0.25">
      <c r="A159" t="s">
        <v>557</v>
      </c>
      <c r="B159" t="s">
        <v>558</v>
      </c>
      <c r="C159" t="s">
        <v>71</v>
      </c>
      <c r="D159">
        <v>49</v>
      </c>
      <c r="E159" t="s">
        <v>145</v>
      </c>
      <c r="F159" t="s">
        <v>146</v>
      </c>
      <c r="G159" t="s">
        <v>74</v>
      </c>
      <c r="H159">
        <v>33400</v>
      </c>
      <c r="I159" t="s">
        <v>75</v>
      </c>
      <c r="J159">
        <v>138700</v>
      </c>
      <c r="K159" t="s">
        <v>559</v>
      </c>
    </row>
    <row r="160" spans="1:11" x14ac:dyDescent="0.25">
      <c r="A160" t="s">
        <v>560</v>
      </c>
      <c r="B160" t="s">
        <v>561</v>
      </c>
      <c r="C160" t="s">
        <v>71</v>
      </c>
      <c r="D160">
        <v>35</v>
      </c>
      <c r="E160" t="s">
        <v>95</v>
      </c>
      <c r="F160" t="s">
        <v>96</v>
      </c>
      <c r="G160" t="s">
        <v>74</v>
      </c>
      <c r="H160">
        <v>36400</v>
      </c>
      <c r="I160" t="s">
        <v>75</v>
      </c>
      <c r="J160">
        <v>74500</v>
      </c>
      <c r="K160" t="s">
        <v>562</v>
      </c>
    </row>
    <row r="161" spans="1:11" x14ac:dyDescent="0.25">
      <c r="A161" t="s">
        <v>563</v>
      </c>
      <c r="B161" t="s">
        <v>564</v>
      </c>
      <c r="C161" t="s">
        <v>71</v>
      </c>
      <c r="D161">
        <v>35</v>
      </c>
      <c r="E161" t="s">
        <v>86</v>
      </c>
      <c r="F161" t="s">
        <v>87</v>
      </c>
      <c r="G161" t="s">
        <v>74</v>
      </c>
      <c r="H161">
        <v>23400</v>
      </c>
      <c r="I161" t="s">
        <v>75</v>
      </c>
      <c r="J161">
        <v>22000</v>
      </c>
      <c r="K161" t="s">
        <v>565</v>
      </c>
    </row>
    <row r="162" spans="1:11" x14ac:dyDescent="0.25">
      <c r="A162" t="s">
        <v>566</v>
      </c>
      <c r="B162" t="s">
        <v>567</v>
      </c>
      <c r="C162" t="s">
        <v>71</v>
      </c>
      <c r="D162">
        <v>33</v>
      </c>
      <c r="E162" t="s">
        <v>86</v>
      </c>
      <c r="F162" t="s">
        <v>87</v>
      </c>
      <c r="G162" t="s">
        <v>74</v>
      </c>
      <c r="H162">
        <v>53000</v>
      </c>
      <c r="I162" t="s">
        <v>115</v>
      </c>
      <c r="J162">
        <v>1000</v>
      </c>
      <c r="K162" t="s">
        <v>568</v>
      </c>
    </row>
    <row r="163" spans="1:11" x14ac:dyDescent="0.25">
      <c r="A163" t="s">
        <v>569</v>
      </c>
      <c r="B163" t="s">
        <v>570</v>
      </c>
      <c r="C163" t="s">
        <v>79</v>
      </c>
      <c r="D163">
        <v>21</v>
      </c>
      <c r="E163" t="s">
        <v>145</v>
      </c>
      <c r="F163" t="s">
        <v>146</v>
      </c>
      <c r="G163" t="s">
        <v>74</v>
      </c>
      <c r="H163">
        <v>49600</v>
      </c>
      <c r="I163" t="s">
        <v>75</v>
      </c>
      <c r="J163">
        <v>22300</v>
      </c>
      <c r="K163" t="s">
        <v>571</v>
      </c>
    </row>
    <row r="164" spans="1:11" x14ac:dyDescent="0.25">
      <c r="A164" t="s">
        <v>572</v>
      </c>
      <c r="B164" t="s">
        <v>573</v>
      </c>
      <c r="C164" t="s">
        <v>71</v>
      </c>
      <c r="D164">
        <v>44</v>
      </c>
      <c r="E164" t="s">
        <v>145</v>
      </c>
      <c r="F164" t="s">
        <v>146</v>
      </c>
      <c r="G164" t="s">
        <v>74</v>
      </c>
      <c r="H164">
        <v>65200</v>
      </c>
      <c r="I164" t="s">
        <v>82</v>
      </c>
      <c r="J164">
        <v>7400</v>
      </c>
      <c r="K164" t="s">
        <v>499</v>
      </c>
    </row>
    <row r="165" spans="1:11" x14ac:dyDescent="0.25">
      <c r="A165" t="s">
        <v>574</v>
      </c>
      <c r="B165" t="s">
        <v>575</v>
      </c>
      <c r="C165" t="s">
        <v>79</v>
      </c>
      <c r="D165">
        <v>52</v>
      </c>
      <c r="E165" t="s">
        <v>72</v>
      </c>
      <c r="F165" t="s">
        <v>73</v>
      </c>
      <c r="G165" t="s">
        <v>81</v>
      </c>
      <c r="H165">
        <v>51600</v>
      </c>
      <c r="I165" t="s">
        <v>75</v>
      </c>
      <c r="J165">
        <v>161300</v>
      </c>
      <c r="K165" t="s">
        <v>576</v>
      </c>
    </row>
    <row r="166" spans="1:11" x14ac:dyDescent="0.25">
      <c r="A166" t="s">
        <v>577</v>
      </c>
      <c r="B166" t="s">
        <v>578</v>
      </c>
      <c r="C166" t="s">
        <v>79</v>
      </c>
      <c r="D166">
        <v>38</v>
      </c>
      <c r="E166" t="s">
        <v>145</v>
      </c>
      <c r="F166" t="s">
        <v>146</v>
      </c>
      <c r="G166" t="s">
        <v>74</v>
      </c>
      <c r="H166">
        <v>44200</v>
      </c>
      <c r="I166" t="s">
        <v>82</v>
      </c>
      <c r="J166">
        <v>52400</v>
      </c>
      <c r="K166" t="s">
        <v>579</v>
      </c>
    </row>
    <row r="167" spans="1:11" x14ac:dyDescent="0.25">
      <c r="A167" t="s">
        <v>580</v>
      </c>
      <c r="B167" t="s">
        <v>581</v>
      </c>
      <c r="C167" t="s">
        <v>79</v>
      </c>
      <c r="D167">
        <v>38</v>
      </c>
      <c r="E167" t="s">
        <v>95</v>
      </c>
      <c r="F167" t="s">
        <v>96</v>
      </c>
      <c r="G167" t="s">
        <v>81</v>
      </c>
      <c r="H167">
        <v>55500</v>
      </c>
      <c r="I167" t="s">
        <v>75</v>
      </c>
      <c r="J167">
        <v>5200</v>
      </c>
      <c r="K167" t="s">
        <v>92</v>
      </c>
    </row>
    <row r="168" spans="1:11" x14ac:dyDescent="0.25">
      <c r="A168" t="s">
        <v>582</v>
      </c>
      <c r="B168" t="s">
        <v>583</v>
      </c>
      <c r="C168" t="s">
        <v>71</v>
      </c>
      <c r="D168">
        <v>24</v>
      </c>
      <c r="E168" t="s">
        <v>145</v>
      </c>
      <c r="F168" t="s">
        <v>146</v>
      </c>
      <c r="G168" t="s">
        <v>91</v>
      </c>
      <c r="H168">
        <v>61100</v>
      </c>
      <c r="I168" t="s">
        <v>75</v>
      </c>
      <c r="J168">
        <v>141700</v>
      </c>
      <c r="K168" t="s">
        <v>584</v>
      </c>
    </row>
    <row r="169" spans="1:11" x14ac:dyDescent="0.25">
      <c r="A169" t="s">
        <v>585</v>
      </c>
      <c r="B169" t="s">
        <v>586</v>
      </c>
      <c r="C169" t="s">
        <v>79</v>
      </c>
      <c r="D169">
        <v>27</v>
      </c>
      <c r="E169" t="s">
        <v>145</v>
      </c>
      <c r="F169" t="s">
        <v>146</v>
      </c>
      <c r="G169" t="s">
        <v>74</v>
      </c>
      <c r="H169">
        <v>55400</v>
      </c>
      <c r="I169" t="s">
        <v>75</v>
      </c>
      <c r="J169">
        <v>74800</v>
      </c>
      <c r="K169" t="s">
        <v>587</v>
      </c>
    </row>
    <row r="170" spans="1:11" x14ac:dyDescent="0.25">
      <c r="A170" t="s">
        <v>588</v>
      </c>
      <c r="B170" t="s">
        <v>589</v>
      </c>
      <c r="C170" t="s">
        <v>79</v>
      </c>
      <c r="D170">
        <v>48</v>
      </c>
      <c r="E170" t="s">
        <v>145</v>
      </c>
      <c r="F170" t="s">
        <v>146</v>
      </c>
      <c r="G170" t="s">
        <v>74</v>
      </c>
      <c r="H170">
        <v>62500</v>
      </c>
      <c r="I170" t="s">
        <v>75</v>
      </c>
      <c r="J170">
        <v>169200</v>
      </c>
      <c r="K170" t="s">
        <v>590</v>
      </c>
    </row>
    <row r="171" spans="1:11" x14ac:dyDescent="0.25">
      <c r="A171" t="s">
        <v>591</v>
      </c>
      <c r="B171" t="s">
        <v>592</v>
      </c>
      <c r="C171" t="s">
        <v>71</v>
      </c>
      <c r="D171">
        <v>25</v>
      </c>
      <c r="E171" t="s">
        <v>80</v>
      </c>
      <c r="F171" t="s">
        <v>51</v>
      </c>
      <c r="G171" t="s">
        <v>122</v>
      </c>
      <c r="H171">
        <v>77200</v>
      </c>
      <c r="I171" t="s">
        <v>82</v>
      </c>
      <c r="J171">
        <v>30300</v>
      </c>
      <c r="K171" t="s">
        <v>593</v>
      </c>
    </row>
    <row r="172" spans="1:11" x14ac:dyDescent="0.25">
      <c r="A172" t="s">
        <v>594</v>
      </c>
      <c r="B172" t="s">
        <v>595</v>
      </c>
      <c r="C172" t="s">
        <v>71</v>
      </c>
      <c r="D172">
        <v>30</v>
      </c>
      <c r="E172" t="s">
        <v>72</v>
      </c>
      <c r="F172" t="s">
        <v>73</v>
      </c>
      <c r="G172" t="s">
        <v>74</v>
      </c>
      <c r="H172">
        <v>45700</v>
      </c>
      <c r="I172" t="s">
        <v>82</v>
      </c>
      <c r="J172">
        <v>73200</v>
      </c>
      <c r="K172" t="s">
        <v>596</v>
      </c>
    </row>
    <row r="173" spans="1:11" x14ac:dyDescent="0.25">
      <c r="A173" t="s">
        <v>597</v>
      </c>
      <c r="B173" t="s">
        <v>598</v>
      </c>
      <c r="C173" t="s">
        <v>71</v>
      </c>
      <c r="D173">
        <v>28</v>
      </c>
      <c r="E173" t="s">
        <v>86</v>
      </c>
      <c r="F173" t="s">
        <v>87</v>
      </c>
      <c r="G173" t="s">
        <v>74</v>
      </c>
      <c r="H173">
        <v>28300</v>
      </c>
      <c r="I173" t="s">
        <v>82</v>
      </c>
      <c r="J173">
        <v>64300</v>
      </c>
      <c r="K173" t="s">
        <v>599</v>
      </c>
    </row>
    <row r="174" spans="1:11" x14ac:dyDescent="0.25">
      <c r="A174" t="s">
        <v>600</v>
      </c>
      <c r="B174" t="s">
        <v>601</v>
      </c>
      <c r="C174" t="s">
        <v>71</v>
      </c>
      <c r="D174">
        <v>21</v>
      </c>
      <c r="E174" t="s">
        <v>145</v>
      </c>
      <c r="F174" t="s">
        <v>146</v>
      </c>
      <c r="G174" t="s">
        <v>74</v>
      </c>
      <c r="H174">
        <v>59600</v>
      </c>
      <c r="I174" t="s">
        <v>75</v>
      </c>
      <c r="J174">
        <v>46200</v>
      </c>
      <c r="K174" t="s">
        <v>602</v>
      </c>
    </row>
    <row r="175" spans="1:11" x14ac:dyDescent="0.25">
      <c r="A175" t="s">
        <v>603</v>
      </c>
      <c r="B175" t="s">
        <v>604</v>
      </c>
      <c r="C175" t="s">
        <v>79</v>
      </c>
      <c r="D175">
        <v>37</v>
      </c>
      <c r="E175" t="s">
        <v>80</v>
      </c>
      <c r="F175" t="s">
        <v>51</v>
      </c>
      <c r="G175" t="s">
        <v>81</v>
      </c>
      <c r="H175">
        <v>50500</v>
      </c>
      <c r="I175" t="s">
        <v>82</v>
      </c>
      <c r="J175">
        <v>13200</v>
      </c>
      <c r="K175" t="s">
        <v>605</v>
      </c>
    </row>
    <row r="176" spans="1:11" x14ac:dyDescent="0.25">
      <c r="A176" t="s">
        <v>606</v>
      </c>
      <c r="B176" t="s">
        <v>607</v>
      </c>
      <c r="C176" t="s">
        <v>79</v>
      </c>
      <c r="D176">
        <v>53</v>
      </c>
      <c r="E176" t="s">
        <v>145</v>
      </c>
      <c r="F176" t="s">
        <v>146</v>
      </c>
      <c r="G176" t="s">
        <v>74</v>
      </c>
      <c r="H176">
        <v>18000</v>
      </c>
      <c r="I176" t="s">
        <v>82</v>
      </c>
      <c r="J176">
        <v>6600</v>
      </c>
      <c r="K176" t="s">
        <v>608</v>
      </c>
    </row>
    <row r="177" spans="1:11" x14ac:dyDescent="0.25">
      <c r="A177" t="s">
        <v>609</v>
      </c>
      <c r="B177" t="s">
        <v>610</v>
      </c>
      <c r="C177" t="s">
        <v>79</v>
      </c>
      <c r="D177">
        <v>40</v>
      </c>
      <c r="E177" t="s">
        <v>86</v>
      </c>
      <c r="F177" t="s">
        <v>87</v>
      </c>
      <c r="G177" t="s">
        <v>122</v>
      </c>
      <c r="H177">
        <v>105300</v>
      </c>
      <c r="I177" t="s">
        <v>75</v>
      </c>
      <c r="J177">
        <v>24200</v>
      </c>
      <c r="K177" t="s">
        <v>611</v>
      </c>
    </row>
    <row r="178" spans="1:11" x14ac:dyDescent="0.25">
      <c r="A178" t="s">
        <v>612</v>
      </c>
      <c r="B178" t="s">
        <v>613</v>
      </c>
      <c r="C178" t="s">
        <v>71</v>
      </c>
      <c r="D178">
        <v>22</v>
      </c>
      <c r="E178" t="s">
        <v>72</v>
      </c>
      <c r="F178" t="s">
        <v>73</v>
      </c>
      <c r="G178" t="s">
        <v>74</v>
      </c>
      <c r="H178">
        <v>52800</v>
      </c>
      <c r="I178" t="s">
        <v>82</v>
      </c>
      <c r="J178">
        <v>53700</v>
      </c>
      <c r="K178" t="s">
        <v>614</v>
      </c>
    </row>
    <row r="179" spans="1:11" x14ac:dyDescent="0.25">
      <c r="A179" t="s">
        <v>615</v>
      </c>
      <c r="B179" t="s">
        <v>616</v>
      </c>
      <c r="C179" t="s">
        <v>79</v>
      </c>
      <c r="D179">
        <v>38</v>
      </c>
      <c r="E179" t="s">
        <v>145</v>
      </c>
      <c r="F179" t="s">
        <v>146</v>
      </c>
      <c r="G179" t="s">
        <v>74</v>
      </c>
      <c r="H179">
        <v>49900</v>
      </c>
      <c r="I179" t="s">
        <v>115</v>
      </c>
      <c r="J179">
        <v>8000</v>
      </c>
      <c r="K179" t="s">
        <v>617</v>
      </c>
    </row>
    <row r="180" spans="1:11" x14ac:dyDescent="0.25">
      <c r="A180" t="s">
        <v>618</v>
      </c>
      <c r="B180" t="s">
        <v>619</v>
      </c>
      <c r="C180" t="s">
        <v>79</v>
      </c>
      <c r="D180">
        <v>27</v>
      </c>
      <c r="E180" t="s">
        <v>145</v>
      </c>
      <c r="F180" t="s">
        <v>146</v>
      </c>
      <c r="G180" t="s">
        <v>74</v>
      </c>
      <c r="H180">
        <v>19500</v>
      </c>
      <c r="I180" t="s">
        <v>75</v>
      </c>
      <c r="J180">
        <v>12300</v>
      </c>
      <c r="K180" t="s">
        <v>620</v>
      </c>
    </row>
    <row r="181" spans="1:11" x14ac:dyDescent="0.25">
      <c r="A181" t="s">
        <v>621</v>
      </c>
      <c r="B181" t="s">
        <v>622</v>
      </c>
      <c r="C181" t="s">
        <v>71</v>
      </c>
      <c r="D181">
        <v>24</v>
      </c>
      <c r="E181" t="s">
        <v>72</v>
      </c>
      <c r="F181" t="s">
        <v>73</v>
      </c>
      <c r="G181" t="s">
        <v>122</v>
      </c>
      <c r="H181">
        <v>14600</v>
      </c>
      <c r="I181" t="s">
        <v>82</v>
      </c>
      <c r="J181">
        <v>26800</v>
      </c>
      <c r="K181" t="s">
        <v>623</v>
      </c>
    </row>
    <row r="182" spans="1:11" x14ac:dyDescent="0.25">
      <c r="A182" t="s">
        <v>624</v>
      </c>
      <c r="B182" t="s">
        <v>625</v>
      </c>
      <c r="C182" t="s">
        <v>71</v>
      </c>
      <c r="D182">
        <v>25</v>
      </c>
      <c r="E182" t="s">
        <v>80</v>
      </c>
      <c r="F182" t="s">
        <v>51</v>
      </c>
      <c r="G182" t="s">
        <v>74</v>
      </c>
      <c r="H182">
        <v>27200</v>
      </c>
      <c r="I182" t="s">
        <v>82</v>
      </c>
      <c r="J182">
        <v>17500</v>
      </c>
      <c r="K182" t="s">
        <v>626</v>
      </c>
    </row>
    <row r="183" spans="1:11" x14ac:dyDescent="0.25">
      <c r="A183" t="s">
        <v>627</v>
      </c>
      <c r="B183" t="s">
        <v>628</v>
      </c>
      <c r="C183" t="s">
        <v>71</v>
      </c>
      <c r="D183">
        <v>41</v>
      </c>
      <c r="E183" t="s">
        <v>80</v>
      </c>
      <c r="F183" t="s">
        <v>51</v>
      </c>
      <c r="G183" t="s">
        <v>91</v>
      </c>
      <c r="H183">
        <v>31700</v>
      </c>
      <c r="I183" t="s">
        <v>75</v>
      </c>
      <c r="J183">
        <v>21100</v>
      </c>
      <c r="K183" t="s">
        <v>629</v>
      </c>
    </row>
    <row r="184" spans="1:11" x14ac:dyDescent="0.25">
      <c r="A184" t="s">
        <v>630</v>
      </c>
      <c r="B184" t="s">
        <v>631</v>
      </c>
      <c r="C184" t="s">
        <v>79</v>
      </c>
      <c r="D184">
        <v>28</v>
      </c>
      <c r="E184" t="s">
        <v>86</v>
      </c>
      <c r="F184" t="s">
        <v>87</v>
      </c>
      <c r="G184" t="s">
        <v>91</v>
      </c>
      <c r="H184">
        <v>35500</v>
      </c>
      <c r="I184" t="s">
        <v>75</v>
      </c>
      <c r="J184">
        <v>70400</v>
      </c>
      <c r="K184" t="s">
        <v>632</v>
      </c>
    </row>
    <row r="185" spans="1:11" x14ac:dyDescent="0.25">
      <c r="A185" t="s">
        <v>633</v>
      </c>
      <c r="B185" t="s">
        <v>634</v>
      </c>
      <c r="C185" t="s">
        <v>71</v>
      </c>
      <c r="D185">
        <v>34</v>
      </c>
      <c r="E185" t="s">
        <v>145</v>
      </c>
      <c r="F185" t="s">
        <v>146</v>
      </c>
      <c r="G185" t="s">
        <v>91</v>
      </c>
      <c r="H185">
        <v>48400</v>
      </c>
      <c r="I185" t="s">
        <v>82</v>
      </c>
      <c r="J185">
        <v>62500</v>
      </c>
      <c r="K185" t="s">
        <v>635</v>
      </c>
    </row>
    <row r="186" spans="1:11" x14ac:dyDescent="0.25">
      <c r="A186" t="s">
        <v>636</v>
      </c>
      <c r="B186" t="s">
        <v>637</v>
      </c>
      <c r="C186" t="s">
        <v>79</v>
      </c>
      <c r="D186">
        <v>51</v>
      </c>
      <c r="E186" t="s">
        <v>145</v>
      </c>
      <c r="F186" t="s">
        <v>146</v>
      </c>
      <c r="G186" t="s">
        <v>74</v>
      </c>
      <c r="H186">
        <v>40200</v>
      </c>
      <c r="I186" t="s">
        <v>82</v>
      </c>
      <c r="J186">
        <v>71800</v>
      </c>
      <c r="K186" t="s">
        <v>638</v>
      </c>
    </row>
    <row r="187" spans="1:11" x14ac:dyDescent="0.25">
      <c r="A187" t="s">
        <v>639</v>
      </c>
      <c r="B187" t="s">
        <v>640</v>
      </c>
      <c r="C187" t="s">
        <v>71</v>
      </c>
      <c r="D187">
        <v>39</v>
      </c>
      <c r="E187" t="s">
        <v>72</v>
      </c>
      <c r="F187" t="s">
        <v>73</v>
      </c>
      <c r="G187" t="s">
        <v>122</v>
      </c>
      <c r="H187">
        <v>99200</v>
      </c>
      <c r="I187" t="s">
        <v>75</v>
      </c>
      <c r="J187">
        <v>314900</v>
      </c>
      <c r="K187" t="s">
        <v>641</v>
      </c>
    </row>
    <row r="188" spans="1:11" x14ac:dyDescent="0.25">
      <c r="A188" t="s">
        <v>642</v>
      </c>
      <c r="B188" t="s">
        <v>643</v>
      </c>
      <c r="C188" t="s">
        <v>71</v>
      </c>
      <c r="D188">
        <v>26</v>
      </c>
      <c r="E188" t="s">
        <v>80</v>
      </c>
      <c r="F188" t="s">
        <v>51</v>
      </c>
      <c r="G188" t="s">
        <v>91</v>
      </c>
      <c r="H188">
        <v>27800</v>
      </c>
      <c r="I188" t="s">
        <v>115</v>
      </c>
      <c r="J188">
        <v>2200</v>
      </c>
      <c r="K188" t="s">
        <v>123</v>
      </c>
    </row>
    <row r="189" spans="1:11" x14ac:dyDescent="0.25">
      <c r="A189" t="s">
        <v>644</v>
      </c>
      <c r="B189" t="s">
        <v>645</v>
      </c>
      <c r="C189" t="s">
        <v>79</v>
      </c>
      <c r="D189">
        <v>42</v>
      </c>
      <c r="E189" t="s">
        <v>145</v>
      </c>
      <c r="F189" t="s">
        <v>146</v>
      </c>
      <c r="G189" t="s">
        <v>91</v>
      </c>
      <c r="H189">
        <v>95400</v>
      </c>
      <c r="I189" t="s">
        <v>75</v>
      </c>
      <c r="J189">
        <v>208600</v>
      </c>
      <c r="K189" t="s">
        <v>646</v>
      </c>
    </row>
    <row r="190" spans="1:11" x14ac:dyDescent="0.25">
      <c r="A190" t="s">
        <v>647</v>
      </c>
      <c r="B190" t="s">
        <v>648</v>
      </c>
      <c r="C190" t="s">
        <v>79</v>
      </c>
      <c r="D190">
        <v>25</v>
      </c>
      <c r="E190" t="s">
        <v>145</v>
      </c>
      <c r="F190" t="s">
        <v>146</v>
      </c>
      <c r="G190" t="s">
        <v>81</v>
      </c>
      <c r="H190">
        <v>42900</v>
      </c>
      <c r="I190" t="s">
        <v>75</v>
      </c>
      <c r="J190">
        <v>26900</v>
      </c>
      <c r="K190" t="s">
        <v>649</v>
      </c>
    </row>
    <row r="191" spans="1:11" x14ac:dyDescent="0.25">
      <c r="A191" t="s">
        <v>650</v>
      </c>
      <c r="B191" t="s">
        <v>651</v>
      </c>
      <c r="C191" t="s">
        <v>79</v>
      </c>
      <c r="D191">
        <v>35</v>
      </c>
      <c r="E191" t="s">
        <v>86</v>
      </c>
      <c r="F191" t="s">
        <v>87</v>
      </c>
      <c r="G191" t="s">
        <v>74</v>
      </c>
      <c r="H191">
        <v>44700</v>
      </c>
      <c r="I191" t="s">
        <v>75</v>
      </c>
      <c r="J191">
        <v>57800</v>
      </c>
      <c r="K191" t="s">
        <v>652</v>
      </c>
    </row>
    <row r="192" spans="1:11" x14ac:dyDescent="0.25">
      <c r="A192" t="s">
        <v>653</v>
      </c>
      <c r="B192" t="s">
        <v>654</v>
      </c>
      <c r="C192" t="s">
        <v>71</v>
      </c>
      <c r="D192">
        <v>21</v>
      </c>
      <c r="E192" t="s">
        <v>145</v>
      </c>
      <c r="F192" t="s">
        <v>146</v>
      </c>
      <c r="G192" t="s">
        <v>129</v>
      </c>
      <c r="H192">
        <v>30400</v>
      </c>
      <c r="I192" t="s">
        <v>82</v>
      </c>
      <c r="J192">
        <v>70900</v>
      </c>
      <c r="K192" t="s">
        <v>655</v>
      </c>
    </row>
    <row r="193" spans="1:11" x14ac:dyDescent="0.25">
      <c r="A193" t="s">
        <v>656</v>
      </c>
      <c r="B193" t="s">
        <v>657</v>
      </c>
      <c r="C193" t="s">
        <v>79</v>
      </c>
      <c r="D193">
        <v>32</v>
      </c>
      <c r="E193" t="s">
        <v>72</v>
      </c>
      <c r="F193" t="s">
        <v>73</v>
      </c>
      <c r="G193" t="s">
        <v>81</v>
      </c>
      <c r="H193">
        <v>34700</v>
      </c>
      <c r="I193" t="s">
        <v>115</v>
      </c>
      <c r="J193">
        <v>124800</v>
      </c>
      <c r="K193" t="s">
        <v>658</v>
      </c>
    </row>
    <row r="194" spans="1:11" x14ac:dyDescent="0.25">
      <c r="A194" t="s">
        <v>659</v>
      </c>
      <c r="B194" t="s">
        <v>660</v>
      </c>
      <c r="C194" t="s">
        <v>79</v>
      </c>
      <c r="D194">
        <v>45</v>
      </c>
      <c r="E194" t="s">
        <v>95</v>
      </c>
      <c r="F194" t="s">
        <v>96</v>
      </c>
      <c r="G194" t="s">
        <v>91</v>
      </c>
      <c r="H194">
        <v>33700</v>
      </c>
      <c r="I194" t="s">
        <v>115</v>
      </c>
      <c r="J194">
        <v>3700</v>
      </c>
      <c r="K194" t="s">
        <v>661</v>
      </c>
    </row>
    <row r="195" spans="1:11" x14ac:dyDescent="0.25">
      <c r="A195" t="s">
        <v>662</v>
      </c>
      <c r="B195" t="s">
        <v>663</v>
      </c>
      <c r="C195" t="s">
        <v>71</v>
      </c>
      <c r="D195">
        <v>59</v>
      </c>
      <c r="E195" t="s">
        <v>80</v>
      </c>
      <c r="F195" t="s">
        <v>51</v>
      </c>
      <c r="G195" t="s">
        <v>74</v>
      </c>
      <c r="H195">
        <v>54800</v>
      </c>
      <c r="I195" t="s">
        <v>75</v>
      </c>
      <c r="J195">
        <v>16800</v>
      </c>
      <c r="K195" t="s">
        <v>664</v>
      </c>
    </row>
    <row r="196" spans="1:11" x14ac:dyDescent="0.25">
      <c r="A196" t="s">
        <v>665</v>
      </c>
      <c r="B196" t="s">
        <v>666</v>
      </c>
      <c r="C196" t="s">
        <v>71</v>
      </c>
      <c r="D196">
        <v>43</v>
      </c>
      <c r="E196" t="s">
        <v>72</v>
      </c>
      <c r="F196" t="s">
        <v>73</v>
      </c>
      <c r="G196" t="s">
        <v>81</v>
      </c>
      <c r="H196">
        <v>16900</v>
      </c>
      <c r="I196" t="s">
        <v>75</v>
      </c>
      <c r="J196">
        <v>19600</v>
      </c>
      <c r="K196" t="s">
        <v>667</v>
      </c>
    </row>
    <row r="197" spans="1:11" x14ac:dyDescent="0.25">
      <c r="A197" t="s">
        <v>668</v>
      </c>
      <c r="B197" t="s">
        <v>669</v>
      </c>
      <c r="C197" t="s">
        <v>79</v>
      </c>
      <c r="D197">
        <v>33</v>
      </c>
      <c r="E197" t="s">
        <v>80</v>
      </c>
      <c r="F197" t="s">
        <v>51</v>
      </c>
      <c r="G197" t="s">
        <v>91</v>
      </c>
      <c r="H197">
        <v>30000</v>
      </c>
      <c r="I197" t="s">
        <v>115</v>
      </c>
      <c r="J197">
        <v>320900</v>
      </c>
      <c r="K197" t="s">
        <v>670</v>
      </c>
    </row>
    <row r="198" spans="1:11" x14ac:dyDescent="0.25">
      <c r="A198" t="s">
        <v>671</v>
      </c>
      <c r="B198" t="s">
        <v>672</v>
      </c>
      <c r="C198" t="s">
        <v>79</v>
      </c>
      <c r="D198">
        <v>48</v>
      </c>
      <c r="E198" t="s">
        <v>145</v>
      </c>
      <c r="F198" t="s">
        <v>146</v>
      </c>
      <c r="G198" t="s">
        <v>74</v>
      </c>
      <c r="H198">
        <v>37300</v>
      </c>
      <c r="I198" t="s">
        <v>75</v>
      </c>
      <c r="J198">
        <v>10900</v>
      </c>
      <c r="K198" t="s">
        <v>673</v>
      </c>
    </row>
    <row r="199" spans="1:11" x14ac:dyDescent="0.25">
      <c r="A199" t="s">
        <v>674</v>
      </c>
      <c r="B199" t="s">
        <v>675</v>
      </c>
      <c r="C199" t="s">
        <v>79</v>
      </c>
      <c r="D199">
        <v>51</v>
      </c>
      <c r="E199" t="s">
        <v>86</v>
      </c>
      <c r="F199" t="s">
        <v>87</v>
      </c>
      <c r="G199" t="s">
        <v>122</v>
      </c>
      <c r="H199">
        <v>10000</v>
      </c>
      <c r="I199" t="s">
        <v>82</v>
      </c>
      <c r="J199">
        <v>11800</v>
      </c>
      <c r="K199" t="s">
        <v>676</v>
      </c>
    </row>
    <row r="200" spans="1:11" x14ac:dyDescent="0.25">
      <c r="A200" t="s">
        <v>677</v>
      </c>
      <c r="B200" t="s">
        <v>678</v>
      </c>
      <c r="C200" t="s">
        <v>79</v>
      </c>
      <c r="D200">
        <v>46</v>
      </c>
      <c r="E200" t="s">
        <v>145</v>
      </c>
      <c r="F200" t="s">
        <v>146</v>
      </c>
      <c r="G200" t="s">
        <v>91</v>
      </c>
      <c r="H200">
        <v>58500</v>
      </c>
      <c r="I200" t="s">
        <v>75</v>
      </c>
      <c r="J200">
        <v>91600</v>
      </c>
      <c r="K200" t="s">
        <v>679</v>
      </c>
    </row>
    <row r="201" spans="1:11" x14ac:dyDescent="0.25">
      <c r="A201" t="s">
        <v>680</v>
      </c>
      <c r="B201" t="s">
        <v>681</v>
      </c>
      <c r="C201" t="s">
        <v>71</v>
      </c>
      <c r="D201">
        <v>39</v>
      </c>
      <c r="E201" t="s">
        <v>86</v>
      </c>
      <c r="F201" t="s">
        <v>87</v>
      </c>
      <c r="G201" t="s">
        <v>91</v>
      </c>
      <c r="H201">
        <v>50300</v>
      </c>
      <c r="I201" t="s">
        <v>75</v>
      </c>
      <c r="J201">
        <v>25800</v>
      </c>
      <c r="K201" t="s">
        <v>682</v>
      </c>
    </row>
    <row r="202" spans="1:11" x14ac:dyDescent="0.25">
      <c r="A202" t="s">
        <v>683</v>
      </c>
      <c r="B202" t="s">
        <v>684</v>
      </c>
      <c r="C202" t="s">
        <v>79</v>
      </c>
      <c r="D202">
        <v>37</v>
      </c>
      <c r="E202" t="s">
        <v>95</v>
      </c>
      <c r="F202" t="s">
        <v>96</v>
      </c>
      <c r="G202" t="s">
        <v>129</v>
      </c>
      <c r="H202">
        <v>37100</v>
      </c>
      <c r="I202" t="s">
        <v>115</v>
      </c>
      <c r="J202">
        <v>14500</v>
      </c>
      <c r="K202" t="s">
        <v>685</v>
      </c>
    </row>
    <row r="203" spans="1:11" x14ac:dyDescent="0.25">
      <c r="A203" t="s">
        <v>686</v>
      </c>
      <c r="B203" t="s">
        <v>687</v>
      </c>
      <c r="C203" t="s">
        <v>71</v>
      </c>
      <c r="D203">
        <v>42</v>
      </c>
      <c r="E203" t="s">
        <v>95</v>
      </c>
      <c r="F203" t="s">
        <v>96</v>
      </c>
      <c r="G203" t="s">
        <v>91</v>
      </c>
      <c r="H203">
        <v>37600</v>
      </c>
      <c r="I203" t="s">
        <v>75</v>
      </c>
      <c r="J203">
        <v>49500</v>
      </c>
      <c r="K203" t="s">
        <v>688</v>
      </c>
    </row>
    <row r="204" spans="1:11" x14ac:dyDescent="0.25">
      <c r="A204" t="s">
        <v>689</v>
      </c>
      <c r="B204" t="s">
        <v>690</v>
      </c>
      <c r="C204" t="s">
        <v>79</v>
      </c>
      <c r="D204">
        <v>38</v>
      </c>
      <c r="E204" t="s">
        <v>86</v>
      </c>
      <c r="F204" t="s">
        <v>87</v>
      </c>
      <c r="G204" t="s">
        <v>122</v>
      </c>
      <c r="H204">
        <v>63600</v>
      </c>
      <c r="I204" t="s">
        <v>82</v>
      </c>
      <c r="J204">
        <v>3800</v>
      </c>
      <c r="K204" t="s">
        <v>691</v>
      </c>
    </row>
    <row r="205" spans="1:11" x14ac:dyDescent="0.25">
      <c r="A205" t="s">
        <v>692</v>
      </c>
      <c r="B205" t="s">
        <v>693</v>
      </c>
      <c r="C205" t="s">
        <v>79</v>
      </c>
      <c r="D205">
        <v>50</v>
      </c>
      <c r="E205" t="s">
        <v>86</v>
      </c>
      <c r="F205" t="s">
        <v>87</v>
      </c>
      <c r="G205" t="s">
        <v>74</v>
      </c>
      <c r="H205">
        <v>16900</v>
      </c>
      <c r="I205" t="s">
        <v>75</v>
      </c>
      <c r="J205">
        <v>23100</v>
      </c>
      <c r="K205" t="s">
        <v>694</v>
      </c>
    </row>
    <row r="206" spans="1:11" x14ac:dyDescent="0.25">
      <c r="A206" t="s">
        <v>695</v>
      </c>
      <c r="B206" t="s">
        <v>696</v>
      </c>
      <c r="C206" t="s">
        <v>71</v>
      </c>
      <c r="D206">
        <v>50</v>
      </c>
      <c r="E206" t="s">
        <v>86</v>
      </c>
      <c r="F206" t="s">
        <v>87</v>
      </c>
      <c r="G206" t="s">
        <v>81</v>
      </c>
      <c r="H206">
        <v>52800</v>
      </c>
      <c r="I206" t="s">
        <v>115</v>
      </c>
      <c r="J206">
        <v>109300</v>
      </c>
      <c r="K206" t="s">
        <v>697</v>
      </c>
    </row>
    <row r="207" spans="1:11" x14ac:dyDescent="0.25">
      <c r="A207" t="s">
        <v>698</v>
      </c>
      <c r="B207" t="s">
        <v>699</v>
      </c>
      <c r="C207" t="s">
        <v>79</v>
      </c>
      <c r="D207">
        <v>48</v>
      </c>
      <c r="E207" t="s">
        <v>80</v>
      </c>
      <c r="F207" t="s">
        <v>51</v>
      </c>
      <c r="G207" t="s">
        <v>81</v>
      </c>
      <c r="H207">
        <v>18100</v>
      </c>
      <c r="I207" t="s">
        <v>75</v>
      </c>
      <c r="J207">
        <v>29800</v>
      </c>
      <c r="K207" t="s">
        <v>700</v>
      </c>
    </row>
    <row r="208" spans="1:11" x14ac:dyDescent="0.25">
      <c r="A208" t="s">
        <v>701</v>
      </c>
      <c r="B208" t="s">
        <v>702</v>
      </c>
      <c r="C208" t="s">
        <v>71</v>
      </c>
      <c r="D208">
        <v>36</v>
      </c>
      <c r="E208" t="s">
        <v>86</v>
      </c>
      <c r="F208" t="s">
        <v>87</v>
      </c>
      <c r="G208" t="s">
        <v>74</v>
      </c>
      <c r="H208">
        <v>65300</v>
      </c>
      <c r="I208" t="s">
        <v>82</v>
      </c>
      <c r="J208">
        <v>176900</v>
      </c>
      <c r="K208" t="s">
        <v>703</v>
      </c>
    </row>
    <row r="209" spans="1:11" x14ac:dyDescent="0.25">
      <c r="A209" t="s">
        <v>704</v>
      </c>
      <c r="B209" t="s">
        <v>705</v>
      </c>
      <c r="C209" t="s">
        <v>71</v>
      </c>
      <c r="D209">
        <v>25</v>
      </c>
      <c r="E209" t="s">
        <v>86</v>
      </c>
      <c r="F209" t="s">
        <v>87</v>
      </c>
      <c r="G209" t="s">
        <v>81</v>
      </c>
      <c r="H209">
        <v>37000</v>
      </c>
      <c r="I209" t="s">
        <v>82</v>
      </c>
      <c r="J209">
        <v>16800</v>
      </c>
      <c r="K209" t="s">
        <v>706</v>
      </c>
    </row>
    <row r="210" spans="1:11" x14ac:dyDescent="0.25">
      <c r="A210" t="s">
        <v>707</v>
      </c>
      <c r="B210" t="s">
        <v>708</v>
      </c>
      <c r="C210" t="s">
        <v>79</v>
      </c>
      <c r="D210">
        <v>43</v>
      </c>
      <c r="E210" t="s">
        <v>95</v>
      </c>
      <c r="F210" t="s">
        <v>96</v>
      </c>
      <c r="G210" t="s">
        <v>74</v>
      </c>
      <c r="H210">
        <v>53400</v>
      </c>
      <c r="I210" t="s">
        <v>75</v>
      </c>
      <c r="J210">
        <v>44200</v>
      </c>
      <c r="K210" t="s">
        <v>709</v>
      </c>
    </row>
    <row r="211" spans="1:11" x14ac:dyDescent="0.25">
      <c r="A211" t="s">
        <v>710</v>
      </c>
      <c r="B211" t="s">
        <v>711</v>
      </c>
      <c r="C211" t="s">
        <v>71</v>
      </c>
      <c r="D211">
        <v>28</v>
      </c>
      <c r="E211" t="s">
        <v>145</v>
      </c>
      <c r="F211" t="s">
        <v>146</v>
      </c>
      <c r="G211" t="s">
        <v>129</v>
      </c>
      <c r="H211">
        <v>31000</v>
      </c>
      <c r="I211" t="s">
        <v>115</v>
      </c>
      <c r="J211">
        <v>28500</v>
      </c>
      <c r="K211" t="s">
        <v>712</v>
      </c>
    </row>
    <row r="212" spans="1:11" x14ac:dyDescent="0.25">
      <c r="A212" t="s">
        <v>713</v>
      </c>
      <c r="B212" t="s">
        <v>714</v>
      </c>
      <c r="C212" t="s">
        <v>79</v>
      </c>
      <c r="D212">
        <v>21</v>
      </c>
      <c r="E212" t="s">
        <v>80</v>
      </c>
      <c r="F212" t="s">
        <v>51</v>
      </c>
      <c r="G212" t="s">
        <v>122</v>
      </c>
      <c r="H212">
        <v>31600</v>
      </c>
      <c r="I212" t="s">
        <v>82</v>
      </c>
      <c r="J212">
        <v>8600</v>
      </c>
      <c r="K212" t="s">
        <v>715</v>
      </c>
    </row>
    <row r="213" spans="1:11" x14ac:dyDescent="0.25">
      <c r="A213" t="s">
        <v>716</v>
      </c>
      <c r="B213" t="s">
        <v>717</v>
      </c>
      <c r="C213" t="s">
        <v>71</v>
      </c>
      <c r="D213">
        <v>53</v>
      </c>
      <c r="E213" t="s">
        <v>86</v>
      </c>
      <c r="F213" t="s">
        <v>87</v>
      </c>
      <c r="G213" t="s">
        <v>91</v>
      </c>
      <c r="H213">
        <v>65200</v>
      </c>
      <c r="I213" t="s">
        <v>82</v>
      </c>
      <c r="J213">
        <v>85700</v>
      </c>
      <c r="K213" t="s">
        <v>718</v>
      </c>
    </row>
    <row r="214" spans="1:11" x14ac:dyDescent="0.25">
      <c r="A214" t="s">
        <v>719</v>
      </c>
      <c r="B214" t="s">
        <v>720</v>
      </c>
      <c r="C214" t="s">
        <v>79</v>
      </c>
      <c r="D214">
        <v>33</v>
      </c>
      <c r="E214" t="s">
        <v>145</v>
      </c>
      <c r="F214" t="s">
        <v>146</v>
      </c>
      <c r="G214" t="s">
        <v>122</v>
      </c>
      <c r="H214">
        <v>134800</v>
      </c>
      <c r="I214" t="s">
        <v>75</v>
      </c>
      <c r="J214">
        <v>335500</v>
      </c>
      <c r="K214" t="s">
        <v>721</v>
      </c>
    </row>
    <row r="215" spans="1:11" x14ac:dyDescent="0.25">
      <c r="A215" t="s">
        <v>722</v>
      </c>
      <c r="B215" t="s">
        <v>723</v>
      </c>
      <c r="C215" t="s">
        <v>71</v>
      </c>
      <c r="D215">
        <v>47</v>
      </c>
      <c r="E215" t="s">
        <v>72</v>
      </c>
      <c r="F215" t="s">
        <v>73</v>
      </c>
      <c r="G215" t="s">
        <v>81</v>
      </c>
      <c r="H215">
        <v>50900</v>
      </c>
      <c r="I215" t="s">
        <v>82</v>
      </c>
      <c r="J215">
        <v>34900</v>
      </c>
      <c r="K215" t="s">
        <v>724</v>
      </c>
    </row>
    <row r="216" spans="1:11" x14ac:dyDescent="0.25">
      <c r="A216" t="s">
        <v>725</v>
      </c>
      <c r="B216" t="s">
        <v>726</v>
      </c>
      <c r="C216" t="s">
        <v>71</v>
      </c>
      <c r="D216">
        <v>26</v>
      </c>
      <c r="E216" t="s">
        <v>145</v>
      </c>
      <c r="F216" t="s">
        <v>146</v>
      </c>
      <c r="G216" t="s">
        <v>91</v>
      </c>
      <c r="H216">
        <v>58000</v>
      </c>
      <c r="I216" t="s">
        <v>75</v>
      </c>
      <c r="J216">
        <v>6500</v>
      </c>
      <c r="K216" t="s">
        <v>727</v>
      </c>
    </row>
    <row r="217" spans="1:11" x14ac:dyDescent="0.25">
      <c r="A217" t="s">
        <v>728</v>
      </c>
      <c r="B217" t="s">
        <v>729</v>
      </c>
      <c r="C217" t="s">
        <v>79</v>
      </c>
      <c r="D217">
        <v>34</v>
      </c>
      <c r="E217" t="s">
        <v>145</v>
      </c>
      <c r="F217" t="s">
        <v>146</v>
      </c>
      <c r="G217" t="s">
        <v>74</v>
      </c>
      <c r="H217">
        <v>57900</v>
      </c>
      <c r="I217" t="s">
        <v>115</v>
      </c>
      <c r="J217">
        <v>3500</v>
      </c>
      <c r="K217" t="s">
        <v>730</v>
      </c>
    </row>
    <row r="218" spans="1:11" x14ac:dyDescent="0.25">
      <c r="A218" t="s">
        <v>731</v>
      </c>
      <c r="B218" t="s">
        <v>732</v>
      </c>
      <c r="C218" t="s">
        <v>79</v>
      </c>
      <c r="D218">
        <v>43</v>
      </c>
      <c r="E218" t="s">
        <v>72</v>
      </c>
      <c r="F218" t="s">
        <v>73</v>
      </c>
      <c r="G218" t="s">
        <v>74</v>
      </c>
      <c r="H218">
        <v>50800</v>
      </c>
      <c r="I218" t="s">
        <v>75</v>
      </c>
      <c r="J218">
        <v>96800</v>
      </c>
      <c r="K218" t="s">
        <v>733</v>
      </c>
    </row>
    <row r="219" spans="1:11" x14ac:dyDescent="0.25">
      <c r="A219" t="s">
        <v>734</v>
      </c>
      <c r="B219" t="s">
        <v>735</v>
      </c>
      <c r="C219" t="s">
        <v>79</v>
      </c>
      <c r="D219">
        <v>21</v>
      </c>
      <c r="E219" t="s">
        <v>86</v>
      </c>
      <c r="F219" t="s">
        <v>87</v>
      </c>
      <c r="G219" t="s">
        <v>74</v>
      </c>
      <c r="H219">
        <v>43900</v>
      </c>
      <c r="I219" t="s">
        <v>82</v>
      </c>
      <c r="J219">
        <v>3900</v>
      </c>
      <c r="K219" t="s">
        <v>736</v>
      </c>
    </row>
    <row r="220" spans="1:11" x14ac:dyDescent="0.25">
      <c r="A220" t="s">
        <v>737</v>
      </c>
      <c r="B220" t="s">
        <v>738</v>
      </c>
      <c r="C220" t="s">
        <v>71</v>
      </c>
      <c r="D220">
        <v>45</v>
      </c>
      <c r="E220" t="s">
        <v>72</v>
      </c>
      <c r="F220" t="s">
        <v>73</v>
      </c>
      <c r="G220" t="s">
        <v>91</v>
      </c>
      <c r="H220">
        <v>25800</v>
      </c>
      <c r="I220" t="s">
        <v>75</v>
      </c>
      <c r="J220">
        <v>81100</v>
      </c>
      <c r="K220" t="s">
        <v>739</v>
      </c>
    </row>
    <row r="221" spans="1:11" x14ac:dyDescent="0.25">
      <c r="A221" t="s">
        <v>740</v>
      </c>
      <c r="B221" t="s">
        <v>741</v>
      </c>
      <c r="C221" t="s">
        <v>71</v>
      </c>
      <c r="D221">
        <v>45</v>
      </c>
      <c r="E221" t="s">
        <v>86</v>
      </c>
      <c r="F221" t="s">
        <v>87</v>
      </c>
      <c r="G221" t="s">
        <v>122</v>
      </c>
      <c r="H221">
        <v>116800</v>
      </c>
      <c r="I221" t="s">
        <v>115</v>
      </c>
      <c r="J221">
        <v>20800</v>
      </c>
      <c r="K221" t="s">
        <v>742</v>
      </c>
    </row>
    <row r="222" spans="1:11" x14ac:dyDescent="0.25">
      <c r="A222" t="s">
        <v>743</v>
      </c>
      <c r="B222" t="s">
        <v>744</v>
      </c>
      <c r="C222" t="s">
        <v>79</v>
      </c>
      <c r="D222">
        <v>22</v>
      </c>
      <c r="E222" t="s">
        <v>72</v>
      </c>
      <c r="F222" t="s">
        <v>73</v>
      </c>
      <c r="G222" t="s">
        <v>122</v>
      </c>
      <c r="H222">
        <v>128200</v>
      </c>
      <c r="I222" t="s">
        <v>115</v>
      </c>
      <c r="J222">
        <v>70600</v>
      </c>
      <c r="K222" t="s">
        <v>745</v>
      </c>
    </row>
    <row r="223" spans="1:11" x14ac:dyDescent="0.25">
      <c r="A223" t="s">
        <v>746</v>
      </c>
      <c r="B223" t="s">
        <v>747</v>
      </c>
      <c r="C223" t="s">
        <v>71</v>
      </c>
      <c r="D223">
        <v>35</v>
      </c>
      <c r="E223" t="s">
        <v>72</v>
      </c>
      <c r="F223" t="s">
        <v>73</v>
      </c>
      <c r="G223" t="s">
        <v>81</v>
      </c>
      <c r="H223">
        <v>69100</v>
      </c>
      <c r="I223" t="s">
        <v>75</v>
      </c>
      <c r="J223">
        <v>167600</v>
      </c>
      <c r="K223" t="s">
        <v>748</v>
      </c>
    </row>
    <row r="224" spans="1:11" x14ac:dyDescent="0.25">
      <c r="A224" t="s">
        <v>749</v>
      </c>
      <c r="B224" t="s">
        <v>750</v>
      </c>
      <c r="C224" t="s">
        <v>79</v>
      </c>
      <c r="D224">
        <v>43</v>
      </c>
      <c r="E224" t="s">
        <v>145</v>
      </c>
      <c r="F224" t="s">
        <v>146</v>
      </c>
      <c r="G224" t="s">
        <v>74</v>
      </c>
      <c r="H224">
        <v>31200</v>
      </c>
      <c r="I224" t="s">
        <v>75</v>
      </c>
      <c r="J224">
        <v>11000</v>
      </c>
      <c r="K224" t="s">
        <v>751</v>
      </c>
    </row>
    <row r="225" spans="1:11" x14ac:dyDescent="0.25">
      <c r="A225" t="s">
        <v>752</v>
      </c>
      <c r="B225" t="s">
        <v>753</v>
      </c>
      <c r="C225" t="s">
        <v>79</v>
      </c>
      <c r="D225">
        <v>47</v>
      </c>
      <c r="E225" t="s">
        <v>86</v>
      </c>
      <c r="F225" t="s">
        <v>87</v>
      </c>
      <c r="G225" t="s">
        <v>91</v>
      </c>
      <c r="H225">
        <v>43500</v>
      </c>
      <c r="I225" t="s">
        <v>82</v>
      </c>
      <c r="J225">
        <v>31300</v>
      </c>
      <c r="K225" t="s">
        <v>754</v>
      </c>
    </row>
    <row r="226" spans="1:11" x14ac:dyDescent="0.25">
      <c r="A226" t="s">
        <v>755</v>
      </c>
      <c r="B226" t="s">
        <v>756</v>
      </c>
      <c r="C226" t="s">
        <v>79</v>
      </c>
      <c r="D226">
        <v>39</v>
      </c>
      <c r="E226" t="s">
        <v>80</v>
      </c>
      <c r="F226" t="s">
        <v>51</v>
      </c>
      <c r="G226" t="s">
        <v>74</v>
      </c>
      <c r="H226">
        <v>62100</v>
      </c>
      <c r="I226" t="s">
        <v>115</v>
      </c>
      <c r="J226">
        <v>28100</v>
      </c>
      <c r="K226" t="s">
        <v>757</v>
      </c>
    </row>
    <row r="227" spans="1:11" x14ac:dyDescent="0.25">
      <c r="A227" t="s">
        <v>758</v>
      </c>
      <c r="B227" t="s">
        <v>759</v>
      </c>
      <c r="C227" t="s">
        <v>71</v>
      </c>
      <c r="D227">
        <v>50</v>
      </c>
      <c r="E227" t="s">
        <v>145</v>
      </c>
      <c r="F227" t="s">
        <v>146</v>
      </c>
      <c r="G227" t="s">
        <v>74</v>
      </c>
      <c r="H227">
        <v>52000</v>
      </c>
      <c r="I227" t="s">
        <v>75</v>
      </c>
      <c r="J227">
        <v>17200</v>
      </c>
      <c r="K227" t="s">
        <v>760</v>
      </c>
    </row>
    <row r="228" spans="1:11" x14ac:dyDescent="0.25">
      <c r="A228" t="s">
        <v>761</v>
      </c>
      <c r="B228" t="s">
        <v>762</v>
      </c>
      <c r="C228" t="s">
        <v>71</v>
      </c>
      <c r="D228">
        <v>40</v>
      </c>
      <c r="E228" t="s">
        <v>145</v>
      </c>
      <c r="F228" t="s">
        <v>146</v>
      </c>
      <c r="G228" t="s">
        <v>81</v>
      </c>
      <c r="H228">
        <v>47800</v>
      </c>
      <c r="I228" t="s">
        <v>75</v>
      </c>
      <c r="J228">
        <v>31100</v>
      </c>
      <c r="K228" t="s">
        <v>763</v>
      </c>
    </row>
    <row r="229" spans="1:11" x14ac:dyDescent="0.25">
      <c r="A229" t="s">
        <v>764</v>
      </c>
      <c r="B229" t="s">
        <v>765</v>
      </c>
      <c r="C229" t="s">
        <v>71</v>
      </c>
      <c r="D229">
        <v>62</v>
      </c>
      <c r="E229" t="s">
        <v>145</v>
      </c>
      <c r="F229" t="s">
        <v>146</v>
      </c>
      <c r="G229" t="s">
        <v>74</v>
      </c>
      <c r="H229">
        <v>46500</v>
      </c>
      <c r="I229" t="s">
        <v>82</v>
      </c>
      <c r="J229">
        <v>4100</v>
      </c>
      <c r="K229" t="s">
        <v>766</v>
      </c>
    </row>
    <row r="230" spans="1:11" x14ac:dyDescent="0.25">
      <c r="A230" t="s">
        <v>767</v>
      </c>
      <c r="B230" t="s">
        <v>768</v>
      </c>
      <c r="C230" t="s">
        <v>79</v>
      </c>
      <c r="D230">
        <v>54</v>
      </c>
      <c r="E230" t="s">
        <v>145</v>
      </c>
      <c r="F230" t="s">
        <v>146</v>
      </c>
      <c r="G230" t="s">
        <v>81</v>
      </c>
      <c r="H230">
        <v>49600</v>
      </c>
      <c r="I230" t="s">
        <v>75</v>
      </c>
      <c r="J230">
        <v>16900</v>
      </c>
      <c r="K230" t="s">
        <v>769</v>
      </c>
    </row>
    <row r="231" spans="1:11" x14ac:dyDescent="0.25">
      <c r="A231" t="s">
        <v>770</v>
      </c>
      <c r="B231" t="s">
        <v>771</v>
      </c>
      <c r="C231" t="s">
        <v>71</v>
      </c>
      <c r="D231">
        <v>31</v>
      </c>
      <c r="E231" t="s">
        <v>80</v>
      </c>
      <c r="F231" t="s">
        <v>51</v>
      </c>
      <c r="G231" t="s">
        <v>74</v>
      </c>
      <c r="H231">
        <v>38100</v>
      </c>
      <c r="I231" t="s">
        <v>75</v>
      </c>
      <c r="J231">
        <v>81100</v>
      </c>
      <c r="K231" t="s">
        <v>772</v>
      </c>
    </row>
    <row r="232" spans="1:11" x14ac:dyDescent="0.25">
      <c r="A232" t="s">
        <v>773</v>
      </c>
      <c r="B232" t="s">
        <v>774</v>
      </c>
      <c r="C232" t="s">
        <v>79</v>
      </c>
      <c r="D232">
        <v>58</v>
      </c>
      <c r="E232" t="s">
        <v>86</v>
      </c>
      <c r="F232" t="s">
        <v>87</v>
      </c>
      <c r="G232" t="s">
        <v>122</v>
      </c>
      <c r="H232">
        <v>17500</v>
      </c>
      <c r="I232" t="s">
        <v>75</v>
      </c>
      <c r="J232">
        <v>8500</v>
      </c>
      <c r="K232" t="s">
        <v>775</v>
      </c>
    </row>
    <row r="233" spans="1:11" x14ac:dyDescent="0.25">
      <c r="A233" t="s">
        <v>776</v>
      </c>
      <c r="B233" t="s">
        <v>777</v>
      </c>
      <c r="C233" t="s">
        <v>71</v>
      </c>
      <c r="D233">
        <v>42</v>
      </c>
      <c r="E233" t="s">
        <v>95</v>
      </c>
      <c r="F233" t="s">
        <v>96</v>
      </c>
      <c r="G233" t="s">
        <v>74</v>
      </c>
      <c r="H233">
        <v>19000</v>
      </c>
      <c r="I233" t="s">
        <v>82</v>
      </c>
      <c r="J233">
        <v>33800</v>
      </c>
      <c r="K233" t="s">
        <v>778</v>
      </c>
    </row>
    <row r="234" spans="1:11" x14ac:dyDescent="0.25">
      <c r="A234" t="s">
        <v>779</v>
      </c>
      <c r="B234" t="s">
        <v>780</v>
      </c>
      <c r="C234" t="s">
        <v>79</v>
      </c>
      <c r="D234">
        <v>34</v>
      </c>
      <c r="E234" t="s">
        <v>86</v>
      </c>
      <c r="F234" t="s">
        <v>87</v>
      </c>
      <c r="G234" t="s">
        <v>91</v>
      </c>
      <c r="H234">
        <v>27500</v>
      </c>
      <c r="I234" t="s">
        <v>82</v>
      </c>
      <c r="J234">
        <v>36900</v>
      </c>
      <c r="K234" t="s">
        <v>781</v>
      </c>
    </row>
    <row r="235" spans="1:11" x14ac:dyDescent="0.25">
      <c r="A235" t="s">
        <v>782</v>
      </c>
      <c r="B235" t="s">
        <v>783</v>
      </c>
      <c r="C235" t="s">
        <v>79</v>
      </c>
      <c r="D235">
        <v>50</v>
      </c>
      <c r="E235" t="s">
        <v>72</v>
      </c>
      <c r="F235" t="s">
        <v>73</v>
      </c>
      <c r="G235" t="s">
        <v>74</v>
      </c>
      <c r="H235">
        <v>16600</v>
      </c>
      <c r="I235" t="s">
        <v>82</v>
      </c>
      <c r="J235">
        <v>3300</v>
      </c>
      <c r="K235" t="s">
        <v>784</v>
      </c>
    </row>
    <row r="236" spans="1:11" x14ac:dyDescent="0.25">
      <c r="A236" t="s">
        <v>785</v>
      </c>
      <c r="B236" t="s">
        <v>786</v>
      </c>
      <c r="C236" t="s">
        <v>79</v>
      </c>
      <c r="D236">
        <v>40</v>
      </c>
      <c r="E236" t="s">
        <v>72</v>
      </c>
      <c r="F236" t="s">
        <v>73</v>
      </c>
      <c r="G236" t="s">
        <v>74</v>
      </c>
      <c r="H236">
        <v>49200</v>
      </c>
      <c r="I236" t="s">
        <v>75</v>
      </c>
      <c r="J236">
        <v>20400</v>
      </c>
      <c r="K236" t="s">
        <v>189</v>
      </c>
    </row>
    <row r="237" spans="1:11" x14ac:dyDescent="0.25">
      <c r="A237" t="s">
        <v>787</v>
      </c>
      <c r="B237" t="s">
        <v>788</v>
      </c>
      <c r="C237" t="s">
        <v>79</v>
      </c>
      <c r="D237">
        <v>25</v>
      </c>
      <c r="E237" t="s">
        <v>80</v>
      </c>
      <c r="F237" t="s">
        <v>51</v>
      </c>
      <c r="G237" t="s">
        <v>91</v>
      </c>
      <c r="H237">
        <v>47200</v>
      </c>
      <c r="I237" t="s">
        <v>75</v>
      </c>
      <c r="J237">
        <v>44800</v>
      </c>
      <c r="K237" t="s">
        <v>789</v>
      </c>
    </row>
    <row r="238" spans="1:11" x14ac:dyDescent="0.25">
      <c r="A238" t="s">
        <v>790</v>
      </c>
      <c r="B238" t="s">
        <v>791</v>
      </c>
      <c r="C238" t="s">
        <v>79</v>
      </c>
      <c r="D238">
        <v>37</v>
      </c>
      <c r="E238" t="s">
        <v>80</v>
      </c>
      <c r="F238" t="s">
        <v>51</v>
      </c>
      <c r="G238" t="s">
        <v>81</v>
      </c>
      <c r="H238">
        <v>55400</v>
      </c>
      <c r="I238" t="s">
        <v>82</v>
      </c>
      <c r="J238">
        <v>17300</v>
      </c>
      <c r="K238" t="s">
        <v>792</v>
      </c>
    </row>
    <row r="239" spans="1:11" x14ac:dyDescent="0.25">
      <c r="A239" t="s">
        <v>793</v>
      </c>
      <c r="B239" t="s">
        <v>794</v>
      </c>
      <c r="C239" t="s">
        <v>71</v>
      </c>
      <c r="D239">
        <v>47</v>
      </c>
      <c r="E239" t="s">
        <v>95</v>
      </c>
      <c r="F239" t="s">
        <v>96</v>
      </c>
      <c r="G239" t="s">
        <v>81</v>
      </c>
      <c r="H239">
        <v>24400</v>
      </c>
      <c r="I239" t="s">
        <v>75</v>
      </c>
      <c r="J239">
        <v>61700</v>
      </c>
      <c r="K239" t="s">
        <v>795</v>
      </c>
    </row>
    <row r="240" spans="1:11" x14ac:dyDescent="0.25">
      <c r="A240" t="s">
        <v>796</v>
      </c>
      <c r="B240" t="s">
        <v>797</v>
      </c>
      <c r="C240" t="s">
        <v>79</v>
      </c>
      <c r="D240">
        <v>29</v>
      </c>
      <c r="E240" t="s">
        <v>72</v>
      </c>
      <c r="F240" t="s">
        <v>73</v>
      </c>
      <c r="G240" t="s">
        <v>81</v>
      </c>
      <c r="H240">
        <v>10000</v>
      </c>
      <c r="I240" t="s">
        <v>115</v>
      </c>
      <c r="J240">
        <v>21500</v>
      </c>
      <c r="K240" t="s">
        <v>798</v>
      </c>
    </row>
    <row r="241" spans="1:11" x14ac:dyDescent="0.25">
      <c r="A241" t="s">
        <v>799</v>
      </c>
      <c r="B241" t="s">
        <v>800</v>
      </c>
      <c r="C241" t="s">
        <v>71</v>
      </c>
      <c r="D241">
        <v>21</v>
      </c>
      <c r="E241" t="s">
        <v>145</v>
      </c>
      <c r="F241" t="s">
        <v>146</v>
      </c>
      <c r="G241" t="s">
        <v>74</v>
      </c>
      <c r="H241">
        <v>41200</v>
      </c>
      <c r="I241" t="s">
        <v>82</v>
      </c>
      <c r="J241">
        <v>80700</v>
      </c>
      <c r="K241" t="s">
        <v>801</v>
      </c>
    </row>
    <row r="242" spans="1:11" x14ac:dyDescent="0.25">
      <c r="A242" t="s">
        <v>802</v>
      </c>
      <c r="B242" t="s">
        <v>138</v>
      </c>
      <c r="C242" t="s">
        <v>79</v>
      </c>
      <c r="D242">
        <v>29</v>
      </c>
      <c r="E242" t="s">
        <v>80</v>
      </c>
      <c r="F242" t="s">
        <v>51</v>
      </c>
      <c r="G242" t="s">
        <v>129</v>
      </c>
      <c r="H242">
        <v>24900</v>
      </c>
      <c r="I242" t="s">
        <v>75</v>
      </c>
      <c r="J242">
        <v>9700</v>
      </c>
      <c r="K242" t="s">
        <v>803</v>
      </c>
    </row>
    <row r="243" spans="1:11" x14ac:dyDescent="0.25">
      <c r="A243" t="s">
        <v>804</v>
      </c>
      <c r="B243" t="s">
        <v>805</v>
      </c>
      <c r="C243" t="s">
        <v>79</v>
      </c>
      <c r="D243">
        <v>29</v>
      </c>
      <c r="E243" t="s">
        <v>80</v>
      </c>
      <c r="F243" t="s">
        <v>51</v>
      </c>
      <c r="G243" t="s">
        <v>129</v>
      </c>
      <c r="H243">
        <v>30100</v>
      </c>
      <c r="I243" t="s">
        <v>115</v>
      </c>
      <c r="J243">
        <v>23500</v>
      </c>
      <c r="K243" t="s">
        <v>806</v>
      </c>
    </row>
    <row r="244" spans="1:11" x14ac:dyDescent="0.25">
      <c r="A244" t="s">
        <v>807</v>
      </c>
      <c r="B244" t="s">
        <v>808</v>
      </c>
      <c r="C244" t="s">
        <v>71</v>
      </c>
      <c r="D244">
        <v>39</v>
      </c>
      <c r="E244" t="s">
        <v>80</v>
      </c>
      <c r="F244" t="s">
        <v>51</v>
      </c>
      <c r="G244" t="s">
        <v>74</v>
      </c>
      <c r="H244">
        <v>23100</v>
      </c>
      <c r="I244" t="s">
        <v>75</v>
      </c>
      <c r="J244">
        <v>4500</v>
      </c>
      <c r="K244" t="s">
        <v>809</v>
      </c>
    </row>
    <row r="245" spans="1:11" x14ac:dyDescent="0.25">
      <c r="A245" t="s">
        <v>810</v>
      </c>
      <c r="B245" t="s">
        <v>811</v>
      </c>
      <c r="C245" t="s">
        <v>71</v>
      </c>
      <c r="D245">
        <v>24</v>
      </c>
      <c r="E245" t="s">
        <v>80</v>
      </c>
      <c r="F245" t="s">
        <v>51</v>
      </c>
      <c r="G245" t="s">
        <v>91</v>
      </c>
      <c r="H245">
        <v>26200</v>
      </c>
      <c r="I245" t="s">
        <v>75</v>
      </c>
      <c r="J245">
        <v>31000</v>
      </c>
      <c r="K245" t="s">
        <v>812</v>
      </c>
    </row>
    <row r="246" spans="1:11" x14ac:dyDescent="0.25">
      <c r="A246" t="s">
        <v>813</v>
      </c>
      <c r="B246" t="s">
        <v>814</v>
      </c>
      <c r="C246" t="s">
        <v>79</v>
      </c>
      <c r="D246">
        <v>48</v>
      </c>
      <c r="E246" t="s">
        <v>80</v>
      </c>
      <c r="F246" t="s">
        <v>51</v>
      </c>
      <c r="G246" t="s">
        <v>91</v>
      </c>
      <c r="H246">
        <v>56900</v>
      </c>
      <c r="I246" t="s">
        <v>75</v>
      </c>
      <c r="J246">
        <v>116300</v>
      </c>
      <c r="K246" t="s">
        <v>815</v>
      </c>
    </row>
    <row r="247" spans="1:11" x14ac:dyDescent="0.25">
      <c r="A247" t="s">
        <v>816</v>
      </c>
      <c r="B247" t="s">
        <v>817</v>
      </c>
      <c r="C247" t="s">
        <v>71</v>
      </c>
      <c r="D247">
        <v>51</v>
      </c>
      <c r="E247" t="s">
        <v>86</v>
      </c>
      <c r="F247" t="s">
        <v>87</v>
      </c>
      <c r="G247" t="s">
        <v>122</v>
      </c>
      <c r="H247">
        <v>77700</v>
      </c>
      <c r="I247" t="s">
        <v>75</v>
      </c>
      <c r="J247">
        <v>80000</v>
      </c>
      <c r="K247" t="s">
        <v>818</v>
      </c>
    </row>
    <row r="248" spans="1:11" x14ac:dyDescent="0.25">
      <c r="A248" t="s">
        <v>819</v>
      </c>
      <c r="B248" t="s">
        <v>820</v>
      </c>
      <c r="C248" t="s">
        <v>71</v>
      </c>
      <c r="D248">
        <v>30</v>
      </c>
      <c r="E248" t="s">
        <v>145</v>
      </c>
      <c r="F248" t="s">
        <v>146</v>
      </c>
      <c r="G248" t="s">
        <v>81</v>
      </c>
      <c r="H248">
        <v>34100</v>
      </c>
      <c r="I248" t="s">
        <v>82</v>
      </c>
      <c r="J248">
        <v>39800</v>
      </c>
      <c r="K248" t="s">
        <v>821</v>
      </c>
    </row>
    <row r="249" spans="1:11" x14ac:dyDescent="0.25">
      <c r="A249" t="s">
        <v>822</v>
      </c>
      <c r="B249" t="s">
        <v>823</v>
      </c>
      <c r="C249" t="s">
        <v>71</v>
      </c>
      <c r="D249">
        <v>52</v>
      </c>
      <c r="E249" t="s">
        <v>72</v>
      </c>
      <c r="F249" t="s">
        <v>73</v>
      </c>
      <c r="G249" t="s">
        <v>122</v>
      </c>
      <c r="H249">
        <v>92200</v>
      </c>
      <c r="I249" t="s">
        <v>75</v>
      </c>
      <c r="J249">
        <v>150400</v>
      </c>
      <c r="K249" t="s">
        <v>824</v>
      </c>
    </row>
    <row r="250" spans="1:11" x14ac:dyDescent="0.25">
      <c r="A250" t="s">
        <v>825</v>
      </c>
      <c r="B250" t="s">
        <v>826</v>
      </c>
      <c r="C250" t="s">
        <v>79</v>
      </c>
      <c r="D250">
        <v>31</v>
      </c>
      <c r="E250" t="s">
        <v>95</v>
      </c>
      <c r="F250" t="s">
        <v>96</v>
      </c>
      <c r="G250" t="s">
        <v>74</v>
      </c>
      <c r="H250">
        <v>26800</v>
      </c>
      <c r="I250" t="s">
        <v>75</v>
      </c>
      <c r="J250">
        <v>52400</v>
      </c>
      <c r="K250" t="s">
        <v>827</v>
      </c>
    </row>
    <row r="251" spans="1:11" x14ac:dyDescent="0.25">
      <c r="A251" t="s">
        <v>828</v>
      </c>
      <c r="B251" t="s">
        <v>829</v>
      </c>
      <c r="C251" t="s">
        <v>79</v>
      </c>
      <c r="D251">
        <v>21</v>
      </c>
      <c r="E251" t="s">
        <v>145</v>
      </c>
      <c r="F251" t="s">
        <v>146</v>
      </c>
      <c r="G251" t="s">
        <v>81</v>
      </c>
      <c r="H251">
        <v>44300</v>
      </c>
      <c r="I251" t="s">
        <v>115</v>
      </c>
      <c r="J251">
        <v>159300</v>
      </c>
      <c r="K251" t="s">
        <v>830</v>
      </c>
    </row>
    <row r="252" spans="1:11" x14ac:dyDescent="0.25">
      <c r="A252" t="s">
        <v>831</v>
      </c>
      <c r="B252" t="s">
        <v>832</v>
      </c>
      <c r="C252" t="s">
        <v>71</v>
      </c>
      <c r="D252">
        <v>21</v>
      </c>
      <c r="E252" t="s">
        <v>95</v>
      </c>
      <c r="F252" t="s">
        <v>96</v>
      </c>
      <c r="G252" t="s">
        <v>91</v>
      </c>
      <c r="H252">
        <v>40100</v>
      </c>
      <c r="I252" t="s">
        <v>75</v>
      </c>
      <c r="J252">
        <v>37300</v>
      </c>
      <c r="K252" t="s">
        <v>833</v>
      </c>
    </row>
    <row r="253" spans="1:11" x14ac:dyDescent="0.25">
      <c r="A253" t="s">
        <v>834</v>
      </c>
      <c r="B253" t="s">
        <v>835</v>
      </c>
      <c r="C253" t="s">
        <v>79</v>
      </c>
      <c r="D253">
        <v>25</v>
      </c>
      <c r="E253" t="s">
        <v>72</v>
      </c>
      <c r="F253" t="s">
        <v>73</v>
      </c>
      <c r="G253" t="s">
        <v>81</v>
      </c>
      <c r="H253">
        <v>33200</v>
      </c>
      <c r="I253" t="s">
        <v>75</v>
      </c>
      <c r="J253">
        <v>46800</v>
      </c>
      <c r="K253" t="s">
        <v>836</v>
      </c>
    </row>
    <row r="254" spans="1:11" x14ac:dyDescent="0.25">
      <c r="A254" t="s">
        <v>837</v>
      </c>
      <c r="B254" t="s">
        <v>838</v>
      </c>
      <c r="C254" t="s">
        <v>71</v>
      </c>
      <c r="D254">
        <v>32</v>
      </c>
      <c r="E254" t="s">
        <v>145</v>
      </c>
      <c r="F254" t="s">
        <v>146</v>
      </c>
      <c r="G254" t="s">
        <v>91</v>
      </c>
      <c r="H254">
        <v>69200</v>
      </c>
      <c r="I254" t="s">
        <v>82</v>
      </c>
      <c r="J254">
        <v>15800</v>
      </c>
      <c r="K254" t="s">
        <v>839</v>
      </c>
    </row>
    <row r="255" spans="1:11" x14ac:dyDescent="0.25">
      <c r="A255" t="s">
        <v>840</v>
      </c>
      <c r="B255" t="s">
        <v>841</v>
      </c>
      <c r="C255" t="s">
        <v>71</v>
      </c>
      <c r="D255">
        <v>21</v>
      </c>
      <c r="E255" t="s">
        <v>95</v>
      </c>
      <c r="F255" t="s">
        <v>96</v>
      </c>
      <c r="G255" t="s">
        <v>122</v>
      </c>
      <c r="H255">
        <v>66900</v>
      </c>
      <c r="I255" t="s">
        <v>75</v>
      </c>
      <c r="J255">
        <v>49800</v>
      </c>
      <c r="K255" t="s">
        <v>213</v>
      </c>
    </row>
    <row r="256" spans="1:11" x14ac:dyDescent="0.25">
      <c r="A256" t="s">
        <v>842</v>
      </c>
      <c r="B256" t="s">
        <v>843</v>
      </c>
      <c r="C256" t="s">
        <v>71</v>
      </c>
      <c r="D256">
        <v>45</v>
      </c>
      <c r="E256" t="s">
        <v>72</v>
      </c>
      <c r="F256" t="s">
        <v>73</v>
      </c>
      <c r="G256" t="s">
        <v>74</v>
      </c>
      <c r="H256">
        <v>36100</v>
      </c>
      <c r="I256" t="s">
        <v>75</v>
      </c>
      <c r="J256">
        <v>10600</v>
      </c>
      <c r="K256" t="s">
        <v>844</v>
      </c>
    </row>
    <row r="257" spans="1:11" x14ac:dyDescent="0.25">
      <c r="A257" t="s">
        <v>845</v>
      </c>
      <c r="B257" t="s">
        <v>846</v>
      </c>
      <c r="C257" t="s">
        <v>79</v>
      </c>
      <c r="D257">
        <v>27</v>
      </c>
      <c r="E257" t="s">
        <v>145</v>
      </c>
      <c r="F257" t="s">
        <v>146</v>
      </c>
      <c r="G257" t="s">
        <v>74</v>
      </c>
      <c r="H257">
        <v>60700</v>
      </c>
      <c r="I257" t="s">
        <v>75</v>
      </c>
      <c r="J257">
        <v>15000</v>
      </c>
      <c r="K257" t="s">
        <v>317</v>
      </c>
    </row>
    <row r="258" spans="1:11" x14ac:dyDescent="0.25">
      <c r="A258" t="s">
        <v>847</v>
      </c>
      <c r="B258" t="s">
        <v>848</v>
      </c>
      <c r="C258" t="s">
        <v>79</v>
      </c>
      <c r="D258">
        <v>45</v>
      </c>
      <c r="E258" t="s">
        <v>95</v>
      </c>
      <c r="F258" t="s">
        <v>96</v>
      </c>
      <c r="G258" t="s">
        <v>81</v>
      </c>
      <c r="H258">
        <v>50400</v>
      </c>
      <c r="I258" t="s">
        <v>82</v>
      </c>
      <c r="J258">
        <v>19200</v>
      </c>
      <c r="K258" t="s">
        <v>849</v>
      </c>
    </row>
    <row r="259" spans="1:11" x14ac:dyDescent="0.25">
      <c r="A259" t="s">
        <v>850</v>
      </c>
      <c r="B259" t="s">
        <v>851</v>
      </c>
      <c r="C259" t="s">
        <v>71</v>
      </c>
      <c r="D259">
        <v>21</v>
      </c>
      <c r="E259" t="s">
        <v>72</v>
      </c>
      <c r="F259" t="s">
        <v>73</v>
      </c>
      <c r="G259" t="s">
        <v>81</v>
      </c>
      <c r="H259">
        <v>52600</v>
      </c>
      <c r="I259" t="s">
        <v>115</v>
      </c>
      <c r="J259">
        <v>92500</v>
      </c>
      <c r="K259" t="s">
        <v>852</v>
      </c>
    </row>
    <row r="260" spans="1:11" x14ac:dyDescent="0.25">
      <c r="A260" t="s">
        <v>853</v>
      </c>
      <c r="B260" t="s">
        <v>854</v>
      </c>
      <c r="C260" t="s">
        <v>71</v>
      </c>
      <c r="D260">
        <v>21</v>
      </c>
      <c r="E260" t="s">
        <v>95</v>
      </c>
      <c r="F260" t="s">
        <v>96</v>
      </c>
      <c r="G260" t="s">
        <v>74</v>
      </c>
      <c r="H260">
        <v>38100</v>
      </c>
      <c r="I260" t="s">
        <v>75</v>
      </c>
      <c r="J260">
        <v>52900</v>
      </c>
      <c r="K260" t="s">
        <v>855</v>
      </c>
    </row>
    <row r="261" spans="1:11" x14ac:dyDescent="0.25">
      <c r="A261" t="s">
        <v>856</v>
      </c>
      <c r="B261" t="s">
        <v>857</v>
      </c>
      <c r="C261" t="s">
        <v>79</v>
      </c>
      <c r="D261">
        <v>21</v>
      </c>
      <c r="E261" t="s">
        <v>145</v>
      </c>
      <c r="F261" t="s">
        <v>146</v>
      </c>
      <c r="G261" t="s">
        <v>122</v>
      </c>
      <c r="H261">
        <v>89500</v>
      </c>
      <c r="I261" t="s">
        <v>75</v>
      </c>
      <c r="J261">
        <v>62600</v>
      </c>
      <c r="K261" t="s">
        <v>858</v>
      </c>
    </row>
    <row r="262" spans="1:11" x14ac:dyDescent="0.25">
      <c r="A262" t="s">
        <v>859</v>
      </c>
      <c r="B262" t="s">
        <v>860</v>
      </c>
      <c r="C262" t="s">
        <v>71</v>
      </c>
      <c r="D262">
        <v>60</v>
      </c>
      <c r="E262" t="s">
        <v>86</v>
      </c>
      <c r="F262" t="s">
        <v>87</v>
      </c>
      <c r="G262" t="s">
        <v>122</v>
      </c>
      <c r="H262">
        <v>89800</v>
      </c>
      <c r="I262" t="s">
        <v>75</v>
      </c>
      <c r="J262">
        <v>17900</v>
      </c>
      <c r="K262" t="s">
        <v>861</v>
      </c>
    </row>
    <row r="263" spans="1:11" x14ac:dyDescent="0.25">
      <c r="A263" t="s">
        <v>862</v>
      </c>
      <c r="B263" t="s">
        <v>863</v>
      </c>
      <c r="C263" t="s">
        <v>79</v>
      </c>
      <c r="D263">
        <v>46</v>
      </c>
      <c r="E263" t="s">
        <v>80</v>
      </c>
      <c r="F263" t="s">
        <v>51</v>
      </c>
      <c r="G263" t="s">
        <v>74</v>
      </c>
      <c r="H263">
        <v>44800</v>
      </c>
      <c r="I263" t="s">
        <v>75</v>
      </c>
      <c r="J263">
        <v>12100</v>
      </c>
      <c r="K263" t="s">
        <v>864</v>
      </c>
    </row>
    <row r="264" spans="1:11" x14ac:dyDescent="0.25">
      <c r="A264" t="s">
        <v>865</v>
      </c>
      <c r="B264" t="s">
        <v>866</v>
      </c>
      <c r="C264" t="s">
        <v>71</v>
      </c>
      <c r="D264">
        <v>25</v>
      </c>
      <c r="E264" t="s">
        <v>86</v>
      </c>
      <c r="F264" t="s">
        <v>87</v>
      </c>
      <c r="G264" t="s">
        <v>74</v>
      </c>
      <c r="H264">
        <v>71700</v>
      </c>
      <c r="I264" t="s">
        <v>115</v>
      </c>
      <c r="J264">
        <v>9000</v>
      </c>
      <c r="K264" t="s">
        <v>867</v>
      </c>
    </row>
    <row r="265" spans="1:11" x14ac:dyDescent="0.25">
      <c r="A265" t="s">
        <v>868</v>
      </c>
      <c r="B265" t="s">
        <v>869</v>
      </c>
      <c r="C265" t="s">
        <v>71</v>
      </c>
      <c r="D265">
        <v>48</v>
      </c>
      <c r="E265" t="s">
        <v>80</v>
      </c>
      <c r="F265" t="s">
        <v>51</v>
      </c>
      <c r="G265" t="s">
        <v>122</v>
      </c>
      <c r="H265">
        <v>58700</v>
      </c>
      <c r="I265" t="s">
        <v>82</v>
      </c>
      <c r="J265">
        <v>41800</v>
      </c>
      <c r="K265" t="s">
        <v>870</v>
      </c>
    </row>
    <row r="266" spans="1:11" x14ac:dyDescent="0.25">
      <c r="A266" t="s">
        <v>871</v>
      </c>
      <c r="B266" t="s">
        <v>872</v>
      </c>
      <c r="C266" t="s">
        <v>79</v>
      </c>
      <c r="D266">
        <v>30</v>
      </c>
      <c r="E266" t="s">
        <v>95</v>
      </c>
      <c r="F266" t="s">
        <v>96</v>
      </c>
      <c r="G266" t="s">
        <v>74</v>
      </c>
      <c r="H266">
        <v>58000</v>
      </c>
      <c r="I266" t="s">
        <v>75</v>
      </c>
      <c r="J266">
        <v>130900</v>
      </c>
      <c r="K266" t="s">
        <v>873</v>
      </c>
    </row>
    <row r="267" spans="1:11" x14ac:dyDescent="0.25">
      <c r="A267" t="s">
        <v>874</v>
      </c>
      <c r="B267" t="s">
        <v>875</v>
      </c>
      <c r="C267" t="s">
        <v>79</v>
      </c>
      <c r="D267">
        <v>41</v>
      </c>
      <c r="E267" t="s">
        <v>72</v>
      </c>
      <c r="F267" t="s">
        <v>73</v>
      </c>
      <c r="G267" t="s">
        <v>122</v>
      </c>
      <c r="H267">
        <v>105900</v>
      </c>
      <c r="I267" t="s">
        <v>75</v>
      </c>
      <c r="J267">
        <v>31400</v>
      </c>
      <c r="K267" t="s">
        <v>876</v>
      </c>
    </row>
    <row r="268" spans="1:11" x14ac:dyDescent="0.25">
      <c r="A268" t="s">
        <v>877</v>
      </c>
      <c r="B268" t="s">
        <v>878</v>
      </c>
      <c r="C268" t="s">
        <v>71</v>
      </c>
      <c r="D268">
        <v>54</v>
      </c>
      <c r="E268" t="s">
        <v>95</v>
      </c>
      <c r="F268" t="s">
        <v>96</v>
      </c>
      <c r="G268" t="s">
        <v>74</v>
      </c>
      <c r="H268">
        <v>47200</v>
      </c>
      <c r="I268" t="s">
        <v>82</v>
      </c>
      <c r="J268">
        <v>20400</v>
      </c>
      <c r="K268" t="s">
        <v>879</v>
      </c>
    </row>
    <row r="269" spans="1:11" x14ac:dyDescent="0.25">
      <c r="A269" t="s">
        <v>880</v>
      </c>
      <c r="B269" t="s">
        <v>881</v>
      </c>
      <c r="C269" t="s">
        <v>71</v>
      </c>
      <c r="D269">
        <v>45</v>
      </c>
      <c r="E269" t="s">
        <v>145</v>
      </c>
      <c r="F269" t="s">
        <v>146</v>
      </c>
      <c r="G269" t="s">
        <v>91</v>
      </c>
      <c r="H269">
        <v>43300</v>
      </c>
      <c r="I269" t="s">
        <v>115</v>
      </c>
      <c r="J269">
        <v>334700</v>
      </c>
      <c r="K269" t="s">
        <v>882</v>
      </c>
    </row>
    <row r="270" spans="1:11" x14ac:dyDescent="0.25">
      <c r="A270" t="s">
        <v>883</v>
      </c>
      <c r="B270" t="s">
        <v>884</v>
      </c>
      <c r="C270" t="s">
        <v>71</v>
      </c>
      <c r="D270">
        <v>39</v>
      </c>
      <c r="E270" t="s">
        <v>72</v>
      </c>
      <c r="F270" t="s">
        <v>73</v>
      </c>
      <c r="G270" t="s">
        <v>81</v>
      </c>
      <c r="H270">
        <v>43600</v>
      </c>
      <c r="I270" t="s">
        <v>75</v>
      </c>
      <c r="J270">
        <v>46000</v>
      </c>
      <c r="K270" t="s">
        <v>885</v>
      </c>
    </row>
    <row r="271" spans="1:11" x14ac:dyDescent="0.25">
      <c r="A271" t="s">
        <v>886</v>
      </c>
      <c r="B271" t="s">
        <v>887</v>
      </c>
      <c r="C271" t="s">
        <v>71</v>
      </c>
      <c r="D271">
        <v>27</v>
      </c>
      <c r="E271" t="s">
        <v>95</v>
      </c>
      <c r="F271" t="s">
        <v>96</v>
      </c>
      <c r="G271" t="s">
        <v>81</v>
      </c>
      <c r="H271">
        <v>27000</v>
      </c>
      <c r="I271" t="s">
        <v>115</v>
      </c>
      <c r="J271">
        <v>122200</v>
      </c>
      <c r="K271" t="s">
        <v>888</v>
      </c>
    </row>
    <row r="272" spans="1:11" x14ac:dyDescent="0.25">
      <c r="A272" t="s">
        <v>889</v>
      </c>
      <c r="B272" t="s">
        <v>890</v>
      </c>
      <c r="C272" t="s">
        <v>79</v>
      </c>
      <c r="D272">
        <v>39</v>
      </c>
      <c r="E272" t="s">
        <v>86</v>
      </c>
      <c r="F272" t="s">
        <v>87</v>
      </c>
      <c r="G272" t="s">
        <v>74</v>
      </c>
      <c r="H272">
        <v>62800</v>
      </c>
      <c r="I272" t="s">
        <v>75</v>
      </c>
      <c r="J272">
        <v>81400</v>
      </c>
      <c r="K272" t="s">
        <v>891</v>
      </c>
    </row>
    <row r="273" spans="1:11" x14ac:dyDescent="0.25">
      <c r="A273" t="s">
        <v>892</v>
      </c>
      <c r="B273" t="s">
        <v>893</v>
      </c>
      <c r="C273" t="s">
        <v>71</v>
      </c>
      <c r="D273">
        <v>21</v>
      </c>
      <c r="E273" t="s">
        <v>72</v>
      </c>
      <c r="F273" t="s">
        <v>73</v>
      </c>
      <c r="G273" t="s">
        <v>122</v>
      </c>
      <c r="H273">
        <v>100400</v>
      </c>
      <c r="I273" t="s">
        <v>75</v>
      </c>
      <c r="J273">
        <v>222600</v>
      </c>
      <c r="K273" t="s">
        <v>894</v>
      </c>
    </row>
    <row r="274" spans="1:11" x14ac:dyDescent="0.25">
      <c r="A274" t="s">
        <v>895</v>
      </c>
      <c r="B274" t="s">
        <v>896</v>
      </c>
      <c r="C274" t="s">
        <v>79</v>
      </c>
      <c r="D274">
        <v>29</v>
      </c>
      <c r="E274" t="s">
        <v>86</v>
      </c>
      <c r="F274" t="s">
        <v>87</v>
      </c>
      <c r="G274" t="s">
        <v>122</v>
      </c>
      <c r="H274">
        <v>38100</v>
      </c>
      <c r="I274" t="s">
        <v>75</v>
      </c>
      <c r="J274">
        <v>6300</v>
      </c>
      <c r="K274" t="s">
        <v>897</v>
      </c>
    </row>
    <row r="275" spans="1:11" x14ac:dyDescent="0.25">
      <c r="A275" t="s">
        <v>898</v>
      </c>
      <c r="B275" t="s">
        <v>899</v>
      </c>
      <c r="C275" t="s">
        <v>71</v>
      </c>
      <c r="D275">
        <v>43</v>
      </c>
      <c r="E275" t="s">
        <v>72</v>
      </c>
      <c r="F275" t="s">
        <v>73</v>
      </c>
      <c r="G275" t="s">
        <v>91</v>
      </c>
      <c r="H275">
        <v>48100</v>
      </c>
      <c r="I275" t="s">
        <v>82</v>
      </c>
      <c r="J275">
        <v>19300</v>
      </c>
      <c r="K275" t="s">
        <v>900</v>
      </c>
    </row>
    <row r="276" spans="1:11" x14ac:dyDescent="0.25">
      <c r="A276" t="s">
        <v>901</v>
      </c>
      <c r="B276" t="s">
        <v>902</v>
      </c>
      <c r="C276" t="s">
        <v>79</v>
      </c>
      <c r="D276">
        <v>31</v>
      </c>
      <c r="E276" t="s">
        <v>145</v>
      </c>
      <c r="F276" t="s">
        <v>146</v>
      </c>
      <c r="G276" t="s">
        <v>74</v>
      </c>
      <c r="H276">
        <v>55200</v>
      </c>
      <c r="I276" t="s">
        <v>75</v>
      </c>
      <c r="J276">
        <v>155800</v>
      </c>
      <c r="K276" t="s">
        <v>903</v>
      </c>
    </row>
    <row r="277" spans="1:11" x14ac:dyDescent="0.25">
      <c r="A277" t="s">
        <v>904</v>
      </c>
      <c r="B277" t="s">
        <v>905</v>
      </c>
      <c r="C277" t="s">
        <v>79</v>
      </c>
      <c r="D277">
        <v>25</v>
      </c>
      <c r="E277" t="s">
        <v>86</v>
      </c>
      <c r="F277" t="s">
        <v>87</v>
      </c>
      <c r="G277" t="s">
        <v>129</v>
      </c>
      <c r="H277">
        <v>28300</v>
      </c>
      <c r="I277" t="s">
        <v>82</v>
      </c>
      <c r="J277">
        <v>56200</v>
      </c>
      <c r="K277" t="s">
        <v>906</v>
      </c>
    </row>
    <row r="278" spans="1:11" x14ac:dyDescent="0.25">
      <c r="A278" t="s">
        <v>907</v>
      </c>
      <c r="B278" t="s">
        <v>908</v>
      </c>
      <c r="C278" t="s">
        <v>79</v>
      </c>
      <c r="D278">
        <v>33</v>
      </c>
      <c r="E278" t="s">
        <v>80</v>
      </c>
      <c r="F278" t="s">
        <v>51</v>
      </c>
      <c r="G278" t="s">
        <v>81</v>
      </c>
      <c r="H278">
        <v>39900</v>
      </c>
      <c r="I278" t="s">
        <v>75</v>
      </c>
      <c r="J278">
        <v>37500</v>
      </c>
      <c r="K278" t="s">
        <v>909</v>
      </c>
    </row>
    <row r="279" spans="1:11" x14ac:dyDescent="0.25">
      <c r="A279" t="s">
        <v>910</v>
      </c>
      <c r="B279" t="s">
        <v>911</v>
      </c>
      <c r="C279" t="s">
        <v>79</v>
      </c>
      <c r="D279">
        <v>34</v>
      </c>
      <c r="E279" t="s">
        <v>80</v>
      </c>
      <c r="F279" t="s">
        <v>51</v>
      </c>
      <c r="G279" t="s">
        <v>74</v>
      </c>
      <c r="H279">
        <v>46800</v>
      </c>
      <c r="I279" t="s">
        <v>75</v>
      </c>
      <c r="J279">
        <v>55100</v>
      </c>
      <c r="K279" t="s">
        <v>912</v>
      </c>
    </row>
    <row r="280" spans="1:11" x14ac:dyDescent="0.25">
      <c r="A280" t="s">
        <v>913</v>
      </c>
      <c r="B280" t="s">
        <v>914</v>
      </c>
      <c r="C280" t="s">
        <v>71</v>
      </c>
      <c r="D280">
        <v>21</v>
      </c>
      <c r="E280" t="s">
        <v>80</v>
      </c>
      <c r="F280" t="s">
        <v>51</v>
      </c>
      <c r="G280" t="s">
        <v>129</v>
      </c>
      <c r="H280">
        <v>31100</v>
      </c>
      <c r="I280" t="s">
        <v>75</v>
      </c>
      <c r="J280">
        <v>37400</v>
      </c>
      <c r="K280" t="s">
        <v>915</v>
      </c>
    </row>
    <row r="281" spans="1:11" x14ac:dyDescent="0.25">
      <c r="A281" t="s">
        <v>916</v>
      </c>
      <c r="B281" t="s">
        <v>917</v>
      </c>
      <c r="C281" t="s">
        <v>71</v>
      </c>
      <c r="D281">
        <v>46</v>
      </c>
      <c r="E281" t="s">
        <v>95</v>
      </c>
      <c r="F281" t="s">
        <v>96</v>
      </c>
      <c r="G281" t="s">
        <v>81</v>
      </c>
      <c r="H281">
        <v>40700</v>
      </c>
      <c r="I281" t="s">
        <v>82</v>
      </c>
      <c r="J281">
        <v>9200</v>
      </c>
      <c r="K281" t="s">
        <v>918</v>
      </c>
    </row>
    <row r="282" spans="1:11" x14ac:dyDescent="0.25">
      <c r="A282" t="s">
        <v>919</v>
      </c>
      <c r="B282" t="s">
        <v>920</v>
      </c>
      <c r="C282" t="s">
        <v>79</v>
      </c>
      <c r="D282">
        <v>35</v>
      </c>
      <c r="E282" t="s">
        <v>145</v>
      </c>
      <c r="F282" t="s">
        <v>146</v>
      </c>
      <c r="G282" t="s">
        <v>74</v>
      </c>
      <c r="H282">
        <v>45700</v>
      </c>
      <c r="I282" t="s">
        <v>75</v>
      </c>
      <c r="J282">
        <v>87200</v>
      </c>
      <c r="K282" t="s">
        <v>921</v>
      </c>
    </row>
    <row r="283" spans="1:11" x14ac:dyDescent="0.25">
      <c r="A283" t="s">
        <v>922</v>
      </c>
      <c r="B283" t="s">
        <v>923</v>
      </c>
      <c r="C283" t="s">
        <v>71</v>
      </c>
      <c r="D283">
        <v>51</v>
      </c>
      <c r="E283" t="s">
        <v>145</v>
      </c>
      <c r="F283" t="s">
        <v>146</v>
      </c>
      <c r="G283" t="s">
        <v>122</v>
      </c>
      <c r="H283">
        <v>103700</v>
      </c>
      <c r="I283" t="s">
        <v>75</v>
      </c>
      <c r="J283">
        <v>190400</v>
      </c>
      <c r="K283" t="s">
        <v>924</v>
      </c>
    </row>
    <row r="284" spans="1:11" x14ac:dyDescent="0.25">
      <c r="A284" t="s">
        <v>925</v>
      </c>
      <c r="B284" t="s">
        <v>926</v>
      </c>
      <c r="C284" t="s">
        <v>79</v>
      </c>
      <c r="D284">
        <v>45</v>
      </c>
      <c r="E284" t="s">
        <v>95</v>
      </c>
      <c r="F284" t="s">
        <v>96</v>
      </c>
      <c r="G284" t="s">
        <v>91</v>
      </c>
      <c r="H284">
        <v>45900</v>
      </c>
      <c r="I284" t="s">
        <v>75</v>
      </c>
      <c r="J284">
        <v>9800</v>
      </c>
      <c r="K284" t="s">
        <v>927</v>
      </c>
    </row>
    <row r="285" spans="1:11" x14ac:dyDescent="0.25">
      <c r="A285" t="s">
        <v>928</v>
      </c>
      <c r="B285" t="s">
        <v>929</v>
      </c>
      <c r="C285" t="s">
        <v>79</v>
      </c>
      <c r="D285">
        <v>21</v>
      </c>
      <c r="E285" t="s">
        <v>80</v>
      </c>
      <c r="F285" t="s">
        <v>51</v>
      </c>
      <c r="G285" t="s">
        <v>91</v>
      </c>
      <c r="H285">
        <v>33400</v>
      </c>
      <c r="I285" t="s">
        <v>82</v>
      </c>
      <c r="J285">
        <v>34300</v>
      </c>
      <c r="K285" t="s">
        <v>930</v>
      </c>
    </row>
    <row r="286" spans="1:11" x14ac:dyDescent="0.25">
      <c r="A286" t="s">
        <v>931</v>
      </c>
      <c r="B286" t="s">
        <v>932</v>
      </c>
      <c r="C286" t="s">
        <v>71</v>
      </c>
      <c r="D286">
        <v>32</v>
      </c>
      <c r="E286" t="s">
        <v>145</v>
      </c>
      <c r="F286" t="s">
        <v>146</v>
      </c>
      <c r="G286" t="s">
        <v>74</v>
      </c>
      <c r="H286">
        <v>42600</v>
      </c>
      <c r="I286" t="s">
        <v>115</v>
      </c>
      <c r="J286">
        <v>226800</v>
      </c>
      <c r="K286" t="s">
        <v>933</v>
      </c>
    </row>
    <row r="287" spans="1:11" x14ac:dyDescent="0.25">
      <c r="A287" t="s">
        <v>934</v>
      </c>
      <c r="B287" t="s">
        <v>935</v>
      </c>
      <c r="C287" t="s">
        <v>71</v>
      </c>
      <c r="D287">
        <v>36</v>
      </c>
      <c r="E287" t="s">
        <v>95</v>
      </c>
      <c r="F287" t="s">
        <v>96</v>
      </c>
      <c r="G287" t="s">
        <v>74</v>
      </c>
      <c r="H287">
        <v>17200</v>
      </c>
      <c r="I287" t="s">
        <v>82</v>
      </c>
      <c r="J287">
        <v>55500</v>
      </c>
      <c r="K287" t="s">
        <v>936</v>
      </c>
    </row>
    <row r="288" spans="1:11" x14ac:dyDescent="0.25">
      <c r="A288" t="s">
        <v>937</v>
      </c>
      <c r="B288" t="s">
        <v>938</v>
      </c>
      <c r="C288" t="s">
        <v>79</v>
      </c>
      <c r="D288">
        <v>26</v>
      </c>
      <c r="E288" t="s">
        <v>80</v>
      </c>
      <c r="F288" t="s">
        <v>51</v>
      </c>
      <c r="G288" t="s">
        <v>91</v>
      </c>
      <c r="H288">
        <v>25200</v>
      </c>
      <c r="I288" t="s">
        <v>82</v>
      </c>
      <c r="J288">
        <v>27100</v>
      </c>
      <c r="K288" t="s">
        <v>939</v>
      </c>
    </row>
    <row r="289" spans="1:11" x14ac:dyDescent="0.25">
      <c r="A289" t="s">
        <v>940</v>
      </c>
      <c r="B289" t="s">
        <v>941</v>
      </c>
      <c r="C289" t="s">
        <v>71</v>
      </c>
      <c r="D289">
        <v>21</v>
      </c>
      <c r="E289" t="s">
        <v>72</v>
      </c>
      <c r="F289" t="s">
        <v>73</v>
      </c>
      <c r="G289" t="s">
        <v>74</v>
      </c>
      <c r="H289">
        <v>70900</v>
      </c>
      <c r="I289" t="s">
        <v>115</v>
      </c>
      <c r="J289">
        <v>7600</v>
      </c>
      <c r="K289" t="s">
        <v>942</v>
      </c>
    </row>
    <row r="290" spans="1:11" x14ac:dyDescent="0.25">
      <c r="A290" t="s">
        <v>943</v>
      </c>
      <c r="B290" t="s">
        <v>944</v>
      </c>
      <c r="C290" t="s">
        <v>71</v>
      </c>
      <c r="D290">
        <v>47</v>
      </c>
      <c r="E290" t="s">
        <v>95</v>
      </c>
      <c r="F290" t="s">
        <v>96</v>
      </c>
      <c r="G290" t="s">
        <v>91</v>
      </c>
      <c r="H290">
        <v>30400</v>
      </c>
      <c r="I290" t="s">
        <v>115</v>
      </c>
      <c r="J290">
        <v>56300</v>
      </c>
      <c r="K290" t="s">
        <v>945</v>
      </c>
    </row>
    <row r="291" spans="1:11" x14ac:dyDescent="0.25">
      <c r="A291" t="s">
        <v>946</v>
      </c>
      <c r="B291" t="s">
        <v>947</v>
      </c>
      <c r="C291" t="s">
        <v>79</v>
      </c>
      <c r="D291">
        <v>21</v>
      </c>
      <c r="E291" t="s">
        <v>145</v>
      </c>
      <c r="F291" t="s">
        <v>146</v>
      </c>
      <c r="G291" t="s">
        <v>91</v>
      </c>
      <c r="H291">
        <v>48500</v>
      </c>
      <c r="I291" t="s">
        <v>82</v>
      </c>
      <c r="J291">
        <v>115300</v>
      </c>
      <c r="K291" t="s">
        <v>948</v>
      </c>
    </row>
    <row r="292" spans="1:11" x14ac:dyDescent="0.25">
      <c r="A292" t="s">
        <v>949</v>
      </c>
      <c r="B292" t="s">
        <v>950</v>
      </c>
      <c r="C292" t="s">
        <v>79</v>
      </c>
      <c r="D292">
        <v>44</v>
      </c>
      <c r="E292" t="s">
        <v>145</v>
      </c>
      <c r="F292" t="s">
        <v>146</v>
      </c>
      <c r="G292" t="s">
        <v>91</v>
      </c>
      <c r="H292">
        <v>36000</v>
      </c>
      <c r="I292" t="s">
        <v>75</v>
      </c>
      <c r="J292">
        <v>7800</v>
      </c>
      <c r="K292" t="s">
        <v>951</v>
      </c>
    </row>
    <row r="293" spans="1:11" x14ac:dyDescent="0.25">
      <c r="A293" t="s">
        <v>952</v>
      </c>
      <c r="B293" t="s">
        <v>953</v>
      </c>
      <c r="C293" t="s">
        <v>71</v>
      </c>
      <c r="D293">
        <v>21</v>
      </c>
      <c r="E293" t="s">
        <v>80</v>
      </c>
      <c r="F293" t="s">
        <v>51</v>
      </c>
      <c r="G293" t="s">
        <v>81</v>
      </c>
      <c r="H293">
        <v>48900</v>
      </c>
      <c r="I293" t="s">
        <v>75</v>
      </c>
      <c r="J293">
        <v>54100</v>
      </c>
      <c r="K293" t="s">
        <v>954</v>
      </c>
    </row>
    <row r="294" spans="1:11" x14ac:dyDescent="0.25">
      <c r="A294" t="s">
        <v>955</v>
      </c>
      <c r="B294" t="s">
        <v>956</v>
      </c>
      <c r="C294" t="s">
        <v>71</v>
      </c>
      <c r="D294">
        <v>44</v>
      </c>
      <c r="E294" t="s">
        <v>72</v>
      </c>
      <c r="F294" t="s">
        <v>73</v>
      </c>
      <c r="G294" t="s">
        <v>129</v>
      </c>
      <c r="H294">
        <v>41600</v>
      </c>
      <c r="I294" t="s">
        <v>75</v>
      </c>
      <c r="J294">
        <v>64400</v>
      </c>
      <c r="K294" t="s">
        <v>957</v>
      </c>
    </row>
    <row r="295" spans="1:11" x14ac:dyDescent="0.25">
      <c r="A295" t="s">
        <v>958</v>
      </c>
      <c r="B295" t="s">
        <v>959</v>
      </c>
      <c r="C295" t="s">
        <v>79</v>
      </c>
      <c r="D295">
        <v>35</v>
      </c>
      <c r="E295" t="s">
        <v>80</v>
      </c>
      <c r="F295" t="s">
        <v>51</v>
      </c>
      <c r="G295" t="s">
        <v>81</v>
      </c>
      <c r="H295">
        <v>34900</v>
      </c>
      <c r="I295" t="s">
        <v>75</v>
      </c>
      <c r="J295">
        <v>63500</v>
      </c>
      <c r="K295" t="s">
        <v>960</v>
      </c>
    </row>
    <row r="296" spans="1:11" x14ac:dyDescent="0.25">
      <c r="A296" t="s">
        <v>961</v>
      </c>
      <c r="B296" t="s">
        <v>962</v>
      </c>
      <c r="C296" t="s">
        <v>71</v>
      </c>
      <c r="D296">
        <v>41</v>
      </c>
      <c r="E296" t="s">
        <v>72</v>
      </c>
      <c r="F296" t="s">
        <v>73</v>
      </c>
      <c r="G296" t="s">
        <v>81</v>
      </c>
      <c r="H296">
        <v>47100</v>
      </c>
      <c r="I296" t="s">
        <v>115</v>
      </c>
      <c r="J296">
        <v>46800</v>
      </c>
      <c r="K296" t="s">
        <v>963</v>
      </c>
    </row>
    <row r="297" spans="1:11" x14ac:dyDescent="0.25">
      <c r="A297" t="s">
        <v>964</v>
      </c>
      <c r="B297" t="s">
        <v>965</v>
      </c>
      <c r="C297" t="s">
        <v>79</v>
      </c>
      <c r="D297">
        <v>44</v>
      </c>
      <c r="E297" t="s">
        <v>72</v>
      </c>
      <c r="F297" t="s">
        <v>73</v>
      </c>
      <c r="G297" t="s">
        <v>74</v>
      </c>
      <c r="H297">
        <v>42800</v>
      </c>
      <c r="I297" t="s">
        <v>115</v>
      </c>
      <c r="J297">
        <v>30500</v>
      </c>
      <c r="K297" t="s">
        <v>966</v>
      </c>
    </row>
    <row r="298" spans="1:11" x14ac:dyDescent="0.25">
      <c r="A298" t="s">
        <v>967</v>
      </c>
      <c r="B298" t="s">
        <v>968</v>
      </c>
      <c r="C298" t="s">
        <v>79</v>
      </c>
      <c r="D298">
        <v>60</v>
      </c>
      <c r="E298" t="s">
        <v>95</v>
      </c>
      <c r="F298" t="s">
        <v>96</v>
      </c>
      <c r="G298" t="s">
        <v>74</v>
      </c>
      <c r="H298">
        <v>58900</v>
      </c>
      <c r="I298" t="s">
        <v>75</v>
      </c>
      <c r="J298">
        <v>148400</v>
      </c>
      <c r="K298" t="s">
        <v>311</v>
      </c>
    </row>
    <row r="299" spans="1:11" x14ac:dyDescent="0.25">
      <c r="A299" t="s">
        <v>969</v>
      </c>
      <c r="B299" t="s">
        <v>970</v>
      </c>
      <c r="C299" t="s">
        <v>79</v>
      </c>
      <c r="D299">
        <v>41</v>
      </c>
      <c r="E299" t="s">
        <v>72</v>
      </c>
      <c r="F299" t="s">
        <v>73</v>
      </c>
      <c r="G299" t="s">
        <v>129</v>
      </c>
      <c r="H299">
        <v>26000</v>
      </c>
      <c r="I299" t="s">
        <v>82</v>
      </c>
      <c r="J299">
        <v>28800</v>
      </c>
      <c r="K299" t="s">
        <v>971</v>
      </c>
    </row>
    <row r="300" spans="1:11" x14ac:dyDescent="0.25">
      <c r="A300" t="s">
        <v>972</v>
      </c>
      <c r="B300" t="s">
        <v>973</v>
      </c>
      <c r="C300" t="s">
        <v>71</v>
      </c>
      <c r="D300">
        <v>21</v>
      </c>
      <c r="E300" t="s">
        <v>72</v>
      </c>
      <c r="F300" t="s">
        <v>73</v>
      </c>
      <c r="G300" t="s">
        <v>74</v>
      </c>
      <c r="H300">
        <v>29300</v>
      </c>
      <c r="I300" t="s">
        <v>82</v>
      </c>
      <c r="J300">
        <v>152600</v>
      </c>
      <c r="K300" t="s">
        <v>974</v>
      </c>
    </row>
    <row r="301" spans="1:11" x14ac:dyDescent="0.25">
      <c r="A301" t="s">
        <v>975</v>
      </c>
      <c r="B301" t="s">
        <v>976</v>
      </c>
      <c r="C301" t="s">
        <v>79</v>
      </c>
      <c r="D301">
        <v>37</v>
      </c>
      <c r="E301" t="s">
        <v>72</v>
      </c>
      <c r="F301" t="s">
        <v>73</v>
      </c>
      <c r="G301" t="s">
        <v>129</v>
      </c>
      <c r="H301">
        <v>32500</v>
      </c>
      <c r="I301" t="s">
        <v>75</v>
      </c>
      <c r="J301">
        <v>18000</v>
      </c>
      <c r="K301" t="s">
        <v>977</v>
      </c>
    </row>
    <row r="302" spans="1:11" x14ac:dyDescent="0.25">
      <c r="A302" t="s">
        <v>978</v>
      </c>
      <c r="B302" t="s">
        <v>979</v>
      </c>
      <c r="C302" t="s">
        <v>79</v>
      </c>
      <c r="D302">
        <v>36</v>
      </c>
      <c r="E302" t="s">
        <v>72</v>
      </c>
      <c r="F302" t="s">
        <v>73</v>
      </c>
      <c r="G302" t="s">
        <v>91</v>
      </c>
      <c r="H302">
        <v>37800</v>
      </c>
      <c r="I302" t="s">
        <v>82</v>
      </c>
      <c r="J302">
        <v>43500</v>
      </c>
      <c r="K302" t="s">
        <v>980</v>
      </c>
    </row>
    <row r="303" spans="1:11" x14ac:dyDescent="0.25">
      <c r="A303" t="s">
        <v>981</v>
      </c>
      <c r="B303" t="s">
        <v>982</v>
      </c>
      <c r="C303" t="s">
        <v>71</v>
      </c>
      <c r="D303">
        <v>34</v>
      </c>
      <c r="E303" t="s">
        <v>72</v>
      </c>
      <c r="F303" t="s">
        <v>73</v>
      </c>
      <c r="G303" t="s">
        <v>74</v>
      </c>
      <c r="H303">
        <v>43000</v>
      </c>
      <c r="I303" t="s">
        <v>82</v>
      </c>
      <c r="J303">
        <v>11300</v>
      </c>
      <c r="K303" t="s">
        <v>983</v>
      </c>
    </row>
    <row r="304" spans="1:11" x14ac:dyDescent="0.25">
      <c r="A304" t="s">
        <v>984</v>
      </c>
      <c r="B304" t="s">
        <v>720</v>
      </c>
      <c r="C304" t="s">
        <v>79</v>
      </c>
      <c r="D304">
        <v>26</v>
      </c>
      <c r="E304" t="s">
        <v>145</v>
      </c>
      <c r="F304" t="s">
        <v>146</v>
      </c>
      <c r="G304" t="s">
        <v>81</v>
      </c>
      <c r="H304">
        <v>42900</v>
      </c>
      <c r="I304" t="s">
        <v>75</v>
      </c>
      <c r="J304">
        <v>82800</v>
      </c>
      <c r="K304" t="s">
        <v>858</v>
      </c>
    </row>
    <row r="305" spans="1:11" x14ac:dyDescent="0.25">
      <c r="A305" t="s">
        <v>985</v>
      </c>
      <c r="B305" t="s">
        <v>986</v>
      </c>
      <c r="C305" t="s">
        <v>79</v>
      </c>
      <c r="D305">
        <v>26</v>
      </c>
      <c r="E305" t="s">
        <v>95</v>
      </c>
      <c r="F305" t="s">
        <v>96</v>
      </c>
      <c r="G305" t="s">
        <v>129</v>
      </c>
      <c r="H305">
        <v>26300</v>
      </c>
      <c r="I305" t="s">
        <v>75</v>
      </c>
      <c r="J305">
        <v>36000</v>
      </c>
      <c r="K305" t="s">
        <v>987</v>
      </c>
    </row>
    <row r="306" spans="1:11" x14ac:dyDescent="0.25">
      <c r="A306" t="s">
        <v>988</v>
      </c>
      <c r="B306" t="s">
        <v>989</v>
      </c>
      <c r="C306" t="s">
        <v>79</v>
      </c>
      <c r="D306">
        <v>30</v>
      </c>
      <c r="E306" t="s">
        <v>80</v>
      </c>
      <c r="F306" t="s">
        <v>51</v>
      </c>
      <c r="G306" t="s">
        <v>122</v>
      </c>
      <c r="H306">
        <v>121000</v>
      </c>
      <c r="I306" t="s">
        <v>75</v>
      </c>
      <c r="J306">
        <v>1000</v>
      </c>
      <c r="K306" t="s">
        <v>990</v>
      </c>
    </row>
    <row r="307" spans="1:11" x14ac:dyDescent="0.25">
      <c r="A307" t="s">
        <v>991</v>
      </c>
      <c r="B307" t="s">
        <v>992</v>
      </c>
      <c r="C307" t="s">
        <v>79</v>
      </c>
      <c r="D307">
        <v>50</v>
      </c>
      <c r="E307" t="s">
        <v>145</v>
      </c>
      <c r="F307" t="s">
        <v>146</v>
      </c>
      <c r="G307" t="s">
        <v>122</v>
      </c>
      <c r="H307">
        <v>107200</v>
      </c>
      <c r="I307" t="s">
        <v>115</v>
      </c>
      <c r="J307">
        <v>306700</v>
      </c>
      <c r="K307" t="s">
        <v>993</v>
      </c>
    </row>
    <row r="308" spans="1:11" x14ac:dyDescent="0.25">
      <c r="A308" t="s">
        <v>994</v>
      </c>
      <c r="B308" t="s">
        <v>995</v>
      </c>
      <c r="C308" t="s">
        <v>71</v>
      </c>
      <c r="D308">
        <v>44</v>
      </c>
      <c r="E308" t="s">
        <v>72</v>
      </c>
      <c r="F308" t="s">
        <v>73</v>
      </c>
      <c r="G308" t="s">
        <v>122</v>
      </c>
      <c r="H308">
        <v>132600</v>
      </c>
      <c r="I308" t="s">
        <v>115</v>
      </c>
      <c r="J308">
        <v>72400</v>
      </c>
      <c r="K308" t="s">
        <v>996</v>
      </c>
    </row>
    <row r="309" spans="1:11" x14ac:dyDescent="0.25">
      <c r="A309" t="s">
        <v>997</v>
      </c>
      <c r="B309" t="s">
        <v>998</v>
      </c>
      <c r="C309" t="s">
        <v>79</v>
      </c>
      <c r="D309">
        <v>39</v>
      </c>
      <c r="E309" t="s">
        <v>72</v>
      </c>
      <c r="F309" t="s">
        <v>73</v>
      </c>
      <c r="G309" t="s">
        <v>122</v>
      </c>
      <c r="H309">
        <v>123700</v>
      </c>
      <c r="I309" t="s">
        <v>75</v>
      </c>
      <c r="J309">
        <v>54600</v>
      </c>
      <c r="K309" t="s">
        <v>999</v>
      </c>
    </row>
    <row r="310" spans="1:11" x14ac:dyDescent="0.25">
      <c r="A310" t="s">
        <v>1000</v>
      </c>
      <c r="B310" t="s">
        <v>1001</v>
      </c>
      <c r="C310" t="s">
        <v>71</v>
      </c>
      <c r="D310">
        <v>32</v>
      </c>
      <c r="E310" t="s">
        <v>86</v>
      </c>
      <c r="F310" t="s">
        <v>87</v>
      </c>
      <c r="G310" t="s">
        <v>91</v>
      </c>
      <c r="H310">
        <v>37200</v>
      </c>
      <c r="I310" t="s">
        <v>75</v>
      </c>
      <c r="J310">
        <v>68600</v>
      </c>
      <c r="K310" t="s">
        <v>1002</v>
      </c>
    </row>
    <row r="311" spans="1:11" x14ac:dyDescent="0.25">
      <c r="A311" t="s">
        <v>1003</v>
      </c>
      <c r="B311" t="s">
        <v>1004</v>
      </c>
      <c r="C311" t="s">
        <v>79</v>
      </c>
      <c r="D311">
        <v>21</v>
      </c>
      <c r="E311" t="s">
        <v>80</v>
      </c>
      <c r="F311" t="s">
        <v>51</v>
      </c>
      <c r="G311" t="s">
        <v>91</v>
      </c>
      <c r="H311">
        <v>30100</v>
      </c>
      <c r="I311" t="s">
        <v>75</v>
      </c>
      <c r="J311">
        <v>46700</v>
      </c>
      <c r="K311" t="s">
        <v>1005</v>
      </c>
    </row>
    <row r="312" spans="1:11" x14ac:dyDescent="0.25">
      <c r="A312" t="s">
        <v>1006</v>
      </c>
      <c r="B312" t="s">
        <v>1007</v>
      </c>
      <c r="C312" t="s">
        <v>71</v>
      </c>
      <c r="D312">
        <v>23</v>
      </c>
      <c r="E312" t="s">
        <v>95</v>
      </c>
      <c r="F312" t="s">
        <v>96</v>
      </c>
      <c r="G312" t="s">
        <v>122</v>
      </c>
      <c r="H312">
        <v>162800</v>
      </c>
      <c r="I312" t="s">
        <v>82</v>
      </c>
      <c r="J312">
        <v>790000</v>
      </c>
      <c r="K312" t="s">
        <v>1008</v>
      </c>
    </row>
    <row r="313" spans="1:11" x14ac:dyDescent="0.25">
      <c r="A313" t="s">
        <v>1009</v>
      </c>
      <c r="B313" t="s">
        <v>1010</v>
      </c>
      <c r="C313" t="s">
        <v>71</v>
      </c>
      <c r="D313">
        <v>31</v>
      </c>
      <c r="E313" t="s">
        <v>86</v>
      </c>
      <c r="F313" t="s">
        <v>87</v>
      </c>
      <c r="G313" t="s">
        <v>74</v>
      </c>
      <c r="H313">
        <v>23700</v>
      </c>
      <c r="I313" t="s">
        <v>75</v>
      </c>
      <c r="J313">
        <v>2300</v>
      </c>
      <c r="K313" t="s">
        <v>355</v>
      </c>
    </row>
    <row r="314" spans="1:11" x14ac:dyDescent="0.25">
      <c r="A314" t="s">
        <v>1011</v>
      </c>
      <c r="B314" t="s">
        <v>1012</v>
      </c>
      <c r="C314" t="s">
        <v>79</v>
      </c>
      <c r="D314">
        <v>45</v>
      </c>
      <c r="E314" t="s">
        <v>80</v>
      </c>
      <c r="F314" t="s">
        <v>51</v>
      </c>
      <c r="G314" t="s">
        <v>81</v>
      </c>
      <c r="H314">
        <v>60100</v>
      </c>
      <c r="I314" t="s">
        <v>75</v>
      </c>
      <c r="J314">
        <v>27000</v>
      </c>
      <c r="K314" t="s">
        <v>1013</v>
      </c>
    </row>
    <row r="315" spans="1:11" x14ac:dyDescent="0.25">
      <c r="A315" t="s">
        <v>1014</v>
      </c>
      <c r="B315" t="s">
        <v>1015</v>
      </c>
      <c r="C315" t="s">
        <v>71</v>
      </c>
      <c r="D315">
        <v>38</v>
      </c>
      <c r="E315" t="s">
        <v>86</v>
      </c>
      <c r="F315" t="s">
        <v>87</v>
      </c>
      <c r="G315" t="s">
        <v>91</v>
      </c>
      <c r="H315">
        <v>62200</v>
      </c>
      <c r="I315" t="s">
        <v>75</v>
      </c>
      <c r="J315">
        <v>20500</v>
      </c>
      <c r="K315" t="s">
        <v>1016</v>
      </c>
    </row>
    <row r="316" spans="1:11" x14ac:dyDescent="0.25">
      <c r="A316" t="s">
        <v>1017</v>
      </c>
      <c r="B316" t="s">
        <v>1018</v>
      </c>
      <c r="C316" t="s">
        <v>71</v>
      </c>
      <c r="D316">
        <v>53</v>
      </c>
      <c r="E316" t="s">
        <v>95</v>
      </c>
      <c r="F316" t="s">
        <v>96</v>
      </c>
      <c r="G316" t="s">
        <v>74</v>
      </c>
      <c r="H316">
        <v>65100</v>
      </c>
      <c r="I316" t="s">
        <v>82</v>
      </c>
      <c r="J316">
        <v>107000</v>
      </c>
      <c r="K316" t="s">
        <v>1019</v>
      </c>
    </row>
    <row r="317" spans="1:11" x14ac:dyDescent="0.25">
      <c r="A317" t="s">
        <v>1020</v>
      </c>
      <c r="B317" t="s">
        <v>1021</v>
      </c>
      <c r="C317" t="s">
        <v>71</v>
      </c>
      <c r="D317">
        <v>21</v>
      </c>
      <c r="E317" t="s">
        <v>145</v>
      </c>
      <c r="F317" t="s">
        <v>146</v>
      </c>
      <c r="G317" t="s">
        <v>122</v>
      </c>
      <c r="H317">
        <v>27000</v>
      </c>
      <c r="I317" t="s">
        <v>75</v>
      </c>
      <c r="J317">
        <v>1000</v>
      </c>
      <c r="K317" t="s">
        <v>1022</v>
      </c>
    </row>
    <row r="318" spans="1:11" x14ac:dyDescent="0.25">
      <c r="A318" t="s">
        <v>1023</v>
      </c>
      <c r="B318" t="s">
        <v>1024</v>
      </c>
      <c r="C318" t="s">
        <v>79</v>
      </c>
      <c r="D318">
        <v>23</v>
      </c>
      <c r="E318" t="s">
        <v>145</v>
      </c>
      <c r="F318" t="s">
        <v>146</v>
      </c>
      <c r="G318" t="s">
        <v>81</v>
      </c>
      <c r="H318">
        <v>43000</v>
      </c>
      <c r="I318" t="s">
        <v>82</v>
      </c>
      <c r="J318">
        <v>7200</v>
      </c>
      <c r="K318" t="s">
        <v>1025</v>
      </c>
    </row>
    <row r="319" spans="1:11" x14ac:dyDescent="0.25">
      <c r="A319" t="s">
        <v>1026</v>
      </c>
      <c r="B319" t="s">
        <v>1027</v>
      </c>
      <c r="C319" t="s">
        <v>71</v>
      </c>
      <c r="D319">
        <v>41</v>
      </c>
      <c r="E319" t="s">
        <v>86</v>
      </c>
      <c r="F319" t="s">
        <v>87</v>
      </c>
      <c r="G319" t="s">
        <v>74</v>
      </c>
      <c r="H319">
        <v>34600</v>
      </c>
      <c r="I319" t="s">
        <v>75</v>
      </c>
      <c r="J319">
        <v>37700</v>
      </c>
      <c r="K319" t="s">
        <v>1028</v>
      </c>
    </row>
    <row r="320" spans="1:11" x14ac:dyDescent="0.25">
      <c r="A320" t="s">
        <v>1029</v>
      </c>
      <c r="B320" t="s">
        <v>1030</v>
      </c>
      <c r="C320" t="s">
        <v>79</v>
      </c>
      <c r="D320">
        <v>51</v>
      </c>
      <c r="E320" t="s">
        <v>86</v>
      </c>
      <c r="F320" t="s">
        <v>87</v>
      </c>
      <c r="G320" t="s">
        <v>81</v>
      </c>
      <c r="H320">
        <v>43100</v>
      </c>
      <c r="I320" t="s">
        <v>75</v>
      </c>
      <c r="J320">
        <v>15200</v>
      </c>
      <c r="K320" t="s">
        <v>1031</v>
      </c>
    </row>
    <row r="321" spans="1:11" x14ac:dyDescent="0.25">
      <c r="A321" t="s">
        <v>1032</v>
      </c>
      <c r="B321" t="s">
        <v>1033</v>
      </c>
      <c r="C321" t="s">
        <v>71</v>
      </c>
      <c r="D321">
        <v>37</v>
      </c>
      <c r="E321" t="s">
        <v>95</v>
      </c>
      <c r="F321" t="s">
        <v>96</v>
      </c>
      <c r="G321" t="s">
        <v>74</v>
      </c>
      <c r="H321">
        <v>24700</v>
      </c>
      <c r="I321" t="s">
        <v>75</v>
      </c>
      <c r="J321">
        <v>3600</v>
      </c>
      <c r="K321" t="s">
        <v>1034</v>
      </c>
    </row>
    <row r="322" spans="1:11" x14ac:dyDescent="0.25">
      <c r="A322" t="s">
        <v>1035</v>
      </c>
      <c r="B322" t="s">
        <v>1036</v>
      </c>
      <c r="C322" t="s">
        <v>71</v>
      </c>
      <c r="D322">
        <v>41</v>
      </c>
      <c r="E322" t="s">
        <v>95</v>
      </c>
      <c r="F322" t="s">
        <v>96</v>
      </c>
      <c r="G322" t="s">
        <v>129</v>
      </c>
      <c r="H322">
        <v>29300</v>
      </c>
      <c r="I322" t="s">
        <v>82</v>
      </c>
      <c r="J322">
        <v>63500</v>
      </c>
      <c r="K322" t="s">
        <v>1037</v>
      </c>
    </row>
    <row r="323" spans="1:11" x14ac:dyDescent="0.25">
      <c r="A323" t="s">
        <v>1038</v>
      </c>
      <c r="B323" t="s">
        <v>1039</v>
      </c>
      <c r="C323" t="s">
        <v>71</v>
      </c>
      <c r="D323">
        <v>46</v>
      </c>
      <c r="E323" t="s">
        <v>72</v>
      </c>
      <c r="F323" t="s">
        <v>73</v>
      </c>
      <c r="G323" t="s">
        <v>74</v>
      </c>
      <c r="H323">
        <v>45400</v>
      </c>
      <c r="I323" t="s">
        <v>82</v>
      </c>
      <c r="J323">
        <v>108700</v>
      </c>
      <c r="K323" t="s">
        <v>1040</v>
      </c>
    </row>
    <row r="324" spans="1:11" x14ac:dyDescent="0.25">
      <c r="A324" t="s">
        <v>1041</v>
      </c>
      <c r="B324" t="s">
        <v>1042</v>
      </c>
      <c r="C324" t="s">
        <v>79</v>
      </c>
      <c r="D324">
        <v>55</v>
      </c>
      <c r="E324" t="s">
        <v>145</v>
      </c>
      <c r="F324" t="s">
        <v>146</v>
      </c>
      <c r="G324" t="s">
        <v>122</v>
      </c>
      <c r="H324">
        <v>116400</v>
      </c>
      <c r="I324" t="s">
        <v>82</v>
      </c>
      <c r="J324">
        <v>46800</v>
      </c>
      <c r="K324" t="s">
        <v>1043</v>
      </c>
    </row>
    <row r="325" spans="1:11" x14ac:dyDescent="0.25">
      <c r="A325" t="s">
        <v>1044</v>
      </c>
      <c r="B325" t="s">
        <v>1045</v>
      </c>
      <c r="C325" t="s">
        <v>71</v>
      </c>
      <c r="D325">
        <v>34</v>
      </c>
      <c r="E325" t="s">
        <v>145</v>
      </c>
      <c r="F325" t="s">
        <v>146</v>
      </c>
      <c r="G325" t="s">
        <v>81</v>
      </c>
      <c r="H325">
        <v>46200</v>
      </c>
      <c r="I325" t="s">
        <v>75</v>
      </c>
      <c r="J325">
        <v>139500</v>
      </c>
      <c r="K325" t="s">
        <v>1046</v>
      </c>
    </row>
    <row r="326" spans="1:11" x14ac:dyDescent="0.25">
      <c r="A326" t="s">
        <v>1047</v>
      </c>
      <c r="B326" t="s">
        <v>1048</v>
      </c>
      <c r="C326" t="s">
        <v>79</v>
      </c>
      <c r="D326">
        <v>30</v>
      </c>
      <c r="E326" t="s">
        <v>145</v>
      </c>
      <c r="F326" t="s">
        <v>146</v>
      </c>
      <c r="G326" t="s">
        <v>74</v>
      </c>
      <c r="H326">
        <v>48500</v>
      </c>
      <c r="I326" t="s">
        <v>82</v>
      </c>
      <c r="J326">
        <v>68600</v>
      </c>
      <c r="K326" t="s">
        <v>1049</v>
      </c>
    </row>
    <row r="327" spans="1:11" x14ac:dyDescent="0.25">
      <c r="A327" t="s">
        <v>1050</v>
      </c>
      <c r="B327" t="s">
        <v>1051</v>
      </c>
      <c r="C327" t="s">
        <v>71</v>
      </c>
      <c r="D327">
        <v>48</v>
      </c>
      <c r="E327" t="s">
        <v>80</v>
      </c>
      <c r="F327" t="s">
        <v>51</v>
      </c>
      <c r="G327" t="s">
        <v>129</v>
      </c>
      <c r="H327">
        <v>35500</v>
      </c>
      <c r="I327" t="s">
        <v>115</v>
      </c>
      <c r="J327">
        <v>54900</v>
      </c>
      <c r="K327" t="s">
        <v>1052</v>
      </c>
    </row>
    <row r="328" spans="1:11" x14ac:dyDescent="0.25">
      <c r="A328" t="s">
        <v>1053</v>
      </c>
      <c r="B328" t="s">
        <v>1054</v>
      </c>
      <c r="C328" t="s">
        <v>79</v>
      </c>
      <c r="D328">
        <v>49</v>
      </c>
      <c r="E328" t="s">
        <v>80</v>
      </c>
      <c r="F328" t="s">
        <v>51</v>
      </c>
      <c r="G328" t="s">
        <v>74</v>
      </c>
      <c r="H328">
        <v>59800</v>
      </c>
      <c r="I328" t="s">
        <v>115</v>
      </c>
      <c r="J328">
        <v>37200</v>
      </c>
      <c r="K328" t="s">
        <v>1055</v>
      </c>
    </row>
    <row r="329" spans="1:11" x14ac:dyDescent="0.25">
      <c r="A329" t="s">
        <v>1056</v>
      </c>
      <c r="B329" t="s">
        <v>1057</v>
      </c>
      <c r="C329" t="s">
        <v>71</v>
      </c>
      <c r="D329">
        <v>36</v>
      </c>
      <c r="E329" t="s">
        <v>145</v>
      </c>
      <c r="F329" t="s">
        <v>146</v>
      </c>
      <c r="G329" t="s">
        <v>81</v>
      </c>
      <c r="H329">
        <v>57500</v>
      </c>
      <c r="I329" t="s">
        <v>115</v>
      </c>
      <c r="J329">
        <v>23300</v>
      </c>
      <c r="K329" t="s">
        <v>1058</v>
      </c>
    </row>
    <row r="330" spans="1:11" x14ac:dyDescent="0.25">
      <c r="A330" t="s">
        <v>1059</v>
      </c>
      <c r="B330" t="s">
        <v>1060</v>
      </c>
      <c r="C330" t="s">
        <v>71</v>
      </c>
      <c r="D330">
        <v>56</v>
      </c>
      <c r="E330" t="s">
        <v>72</v>
      </c>
      <c r="F330" t="s">
        <v>73</v>
      </c>
      <c r="G330" t="s">
        <v>91</v>
      </c>
      <c r="H330">
        <v>39400</v>
      </c>
      <c r="I330" t="s">
        <v>82</v>
      </c>
      <c r="J330">
        <v>82000</v>
      </c>
      <c r="K330" t="s">
        <v>1061</v>
      </c>
    </row>
    <row r="331" spans="1:11" x14ac:dyDescent="0.25">
      <c r="A331" t="s">
        <v>1062</v>
      </c>
      <c r="B331" t="s">
        <v>1063</v>
      </c>
      <c r="C331" t="s">
        <v>79</v>
      </c>
      <c r="D331">
        <v>36</v>
      </c>
      <c r="E331" t="s">
        <v>95</v>
      </c>
      <c r="F331" t="s">
        <v>96</v>
      </c>
      <c r="G331" t="s">
        <v>91</v>
      </c>
      <c r="H331">
        <v>47700</v>
      </c>
      <c r="I331" t="s">
        <v>82</v>
      </c>
      <c r="J331">
        <v>53500</v>
      </c>
      <c r="K331" t="s">
        <v>1064</v>
      </c>
    </row>
    <row r="332" spans="1:11" x14ac:dyDescent="0.25">
      <c r="A332" t="s">
        <v>1065</v>
      </c>
      <c r="B332" t="s">
        <v>1066</v>
      </c>
      <c r="C332" t="s">
        <v>71</v>
      </c>
      <c r="D332">
        <v>54</v>
      </c>
      <c r="E332" t="s">
        <v>95</v>
      </c>
      <c r="F332" t="s">
        <v>96</v>
      </c>
      <c r="G332" t="s">
        <v>74</v>
      </c>
      <c r="H332">
        <v>58000</v>
      </c>
      <c r="I332" t="s">
        <v>75</v>
      </c>
      <c r="J332">
        <v>22800</v>
      </c>
      <c r="K332" t="s">
        <v>1067</v>
      </c>
    </row>
    <row r="333" spans="1:11" x14ac:dyDescent="0.25">
      <c r="A333" t="s">
        <v>1068</v>
      </c>
      <c r="B333" t="s">
        <v>1069</v>
      </c>
      <c r="C333" t="s">
        <v>71</v>
      </c>
      <c r="D333">
        <v>42</v>
      </c>
      <c r="E333" t="s">
        <v>80</v>
      </c>
      <c r="F333" t="s">
        <v>51</v>
      </c>
      <c r="G333" t="s">
        <v>122</v>
      </c>
      <c r="H333">
        <v>103800</v>
      </c>
      <c r="I333" t="s">
        <v>115</v>
      </c>
      <c r="J333">
        <v>266900</v>
      </c>
      <c r="K333" t="s">
        <v>1070</v>
      </c>
    </row>
    <row r="334" spans="1:11" x14ac:dyDescent="0.25">
      <c r="A334" t="s">
        <v>1071</v>
      </c>
      <c r="B334" t="s">
        <v>1072</v>
      </c>
      <c r="C334" t="s">
        <v>79</v>
      </c>
      <c r="D334">
        <v>45</v>
      </c>
      <c r="E334" t="s">
        <v>145</v>
      </c>
      <c r="F334" t="s">
        <v>146</v>
      </c>
      <c r="G334" t="s">
        <v>74</v>
      </c>
      <c r="H334">
        <v>66400</v>
      </c>
      <c r="I334" t="s">
        <v>75</v>
      </c>
      <c r="J334">
        <v>69700</v>
      </c>
      <c r="K334" t="s">
        <v>1073</v>
      </c>
    </row>
    <row r="335" spans="1:11" x14ac:dyDescent="0.25">
      <c r="A335" t="s">
        <v>1074</v>
      </c>
      <c r="B335" t="s">
        <v>1075</v>
      </c>
      <c r="C335" t="s">
        <v>79</v>
      </c>
      <c r="D335">
        <v>32</v>
      </c>
      <c r="E335" t="s">
        <v>95</v>
      </c>
      <c r="F335" t="s">
        <v>96</v>
      </c>
      <c r="G335" t="s">
        <v>91</v>
      </c>
      <c r="H335">
        <v>56200</v>
      </c>
      <c r="I335" t="s">
        <v>115</v>
      </c>
      <c r="J335">
        <v>79900</v>
      </c>
      <c r="K335" t="s">
        <v>1076</v>
      </c>
    </row>
    <row r="336" spans="1:11" x14ac:dyDescent="0.25">
      <c r="A336" t="s">
        <v>1077</v>
      </c>
      <c r="B336" t="s">
        <v>1078</v>
      </c>
      <c r="C336" t="s">
        <v>71</v>
      </c>
      <c r="D336">
        <v>44</v>
      </c>
      <c r="E336" t="s">
        <v>72</v>
      </c>
      <c r="F336" t="s">
        <v>73</v>
      </c>
      <c r="G336" t="s">
        <v>81</v>
      </c>
      <c r="H336">
        <v>58900</v>
      </c>
      <c r="I336" t="s">
        <v>75</v>
      </c>
      <c r="J336">
        <v>10600</v>
      </c>
      <c r="K336" t="s">
        <v>1079</v>
      </c>
    </row>
    <row r="337" spans="1:11" x14ac:dyDescent="0.25">
      <c r="A337" t="s">
        <v>1080</v>
      </c>
      <c r="B337" t="s">
        <v>1081</v>
      </c>
      <c r="C337" t="s">
        <v>71</v>
      </c>
      <c r="D337">
        <v>41</v>
      </c>
      <c r="E337" t="s">
        <v>86</v>
      </c>
      <c r="F337" t="s">
        <v>87</v>
      </c>
      <c r="G337" t="s">
        <v>81</v>
      </c>
      <c r="H337">
        <v>44900</v>
      </c>
      <c r="I337" t="s">
        <v>75</v>
      </c>
      <c r="J337">
        <v>87000</v>
      </c>
      <c r="K337" t="s">
        <v>1082</v>
      </c>
    </row>
    <row r="338" spans="1:11" x14ac:dyDescent="0.25">
      <c r="A338" t="s">
        <v>1083</v>
      </c>
      <c r="B338" t="s">
        <v>1084</v>
      </c>
      <c r="C338" t="s">
        <v>79</v>
      </c>
      <c r="D338">
        <v>36</v>
      </c>
      <c r="E338" t="s">
        <v>145</v>
      </c>
      <c r="F338" t="s">
        <v>146</v>
      </c>
      <c r="G338" t="s">
        <v>81</v>
      </c>
      <c r="H338">
        <v>28600</v>
      </c>
      <c r="I338" t="s">
        <v>75</v>
      </c>
      <c r="J338">
        <v>61900</v>
      </c>
      <c r="K338" t="s">
        <v>1085</v>
      </c>
    </row>
    <row r="339" spans="1:11" x14ac:dyDescent="0.25">
      <c r="A339" t="s">
        <v>1086</v>
      </c>
      <c r="B339" t="s">
        <v>1087</v>
      </c>
      <c r="C339" t="s">
        <v>79</v>
      </c>
      <c r="D339">
        <v>37</v>
      </c>
      <c r="E339" t="s">
        <v>145</v>
      </c>
      <c r="F339" t="s">
        <v>146</v>
      </c>
      <c r="G339" t="s">
        <v>74</v>
      </c>
      <c r="H339">
        <v>66300</v>
      </c>
      <c r="I339" t="s">
        <v>75</v>
      </c>
      <c r="J339">
        <v>9200</v>
      </c>
      <c r="K339" t="s">
        <v>1088</v>
      </c>
    </row>
    <row r="340" spans="1:11" x14ac:dyDescent="0.25">
      <c r="A340" t="s">
        <v>1089</v>
      </c>
      <c r="B340" t="s">
        <v>1090</v>
      </c>
      <c r="C340" t="s">
        <v>79</v>
      </c>
      <c r="D340">
        <v>48</v>
      </c>
      <c r="E340" t="s">
        <v>72</v>
      </c>
      <c r="F340" t="s">
        <v>73</v>
      </c>
      <c r="G340" t="s">
        <v>91</v>
      </c>
      <c r="H340">
        <v>65000</v>
      </c>
      <c r="I340" t="s">
        <v>75</v>
      </c>
      <c r="J340">
        <v>49500</v>
      </c>
      <c r="K340" t="s">
        <v>1091</v>
      </c>
    </row>
    <row r="341" spans="1:11" x14ac:dyDescent="0.25">
      <c r="A341" t="s">
        <v>1092</v>
      </c>
      <c r="B341" t="s">
        <v>1093</v>
      </c>
      <c r="C341" t="s">
        <v>71</v>
      </c>
      <c r="D341">
        <v>41</v>
      </c>
      <c r="E341" t="s">
        <v>80</v>
      </c>
      <c r="F341" t="s">
        <v>51</v>
      </c>
      <c r="G341" t="s">
        <v>91</v>
      </c>
      <c r="H341">
        <v>28300</v>
      </c>
      <c r="I341" t="s">
        <v>75</v>
      </c>
      <c r="J341">
        <v>27600</v>
      </c>
      <c r="K341" t="s">
        <v>1094</v>
      </c>
    </row>
    <row r="342" spans="1:11" x14ac:dyDescent="0.25">
      <c r="A342" t="s">
        <v>1095</v>
      </c>
      <c r="B342" t="s">
        <v>1096</v>
      </c>
      <c r="C342" t="s">
        <v>79</v>
      </c>
      <c r="D342">
        <v>52</v>
      </c>
      <c r="E342" t="s">
        <v>72</v>
      </c>
      <c r="F342" t="s">
        <v>73</v>
      </c>
      <c r="G342" t="s">
        <v>122</v>
      </c>
      <c r="H342">
        <v>132600</v>
      </c>
      <c r="I342" t="s">
        <v>115</v>
      </c>
      <c r="J342">
        <v>80500</v>
      </c>
      <c r="K342" t="s">
        <v>1097</v>
      </c>
    </row>
    <row r="343" spans="1:11" x14ac:dyDescent="0.25">
      <c r="A343" t="s">
        <v>1098</v>
      </c>
      <c r="B343" t="s">
        <v>1099</v>
      </c>
      <c r="C343" t="s">
        <v>79</v>
      </c>
      <c r="D343">
        <v>29</v>
      </c>
      <c r="E343" t="s">
        <v>95</v>
      </c>
      <c r="F343" t="s">
        <v>96</v>
      </c>
      <c r="G343" t="s">
        <v>74</v>
      </c>
      <c r="H343">
        <v>50700</v>
      </c>
      <c r="I343" t="s">
        <v>82</v>
      </c>
      <c r="J343">
        <v>23600</v>
      </c>
      <c r="K343" t="s">
        <v>1100</v>
      </c>
    </row>
    <row r="344" spans="1:11" x14ac:dyDescent="0.25">
      <c r="A344" t="s">
        <v>1101</v>
      </c>
      <c r="B344" t="s">
        <v>1102</v>
      </c>
      <c r="C344" t="s">
        <v>79</v>
      </c>
      <c r="D344">
        <v>50</v>
      </c>
      <c r="E344" t="s">
        <v>95</v>
      </c>
      <c r="F344" t="s">
        <v>96</v>
      </c>
      <c r="G344" t="s">
        <v>81</v>
      </c>
      <c r="H344">
        <v>75000</v>
      </c>
      <c r="I344" t="s">
        <v>82</v>
      </c>
      <c r="J344">
        <v>72800</v>
      </c>
      <c r="K344" t="s">
        <v>1103</v>
      </c>
    </row>
    <row r="345" spans="1:11" x14ac:dyDescent="0.25">
      <c r="A345" t="s">
        <v>1104</v>
      </c>
      <c r="B345" t="s">
        <v>1105</v>
      </c>
      <c r="C345" t="s">
        <v>79</v>
      </c>
      <c r="D345">
        <v>35</v>
      </c>
      <c r="E345" t="s">
        <v>72</v>
      </c>
      <c r="F345" t="s">
        <v>73</v>
      </c>
      <c r="G345" t="s">
        <v>122</v>
      </c>
      <c r="H345">
        <v>74100</v>
      </c>
      <c r="I345" t="s">
        <v>115</v>
      </c>
      <c r="J345">
        <v>401500</v>
      </c>
      <c r="K345" t="s">
        <v>1106</v>
      </c>
    </row>
    <row r="346" spans="1:11" x14ac:dyDescent="0.25">
      <c r="A346" t="s">
        <v>1107</v>
      </c>
      <c r="B346" t="s">
        <v>1108</v>
      </c>
      <c r="C346" t="s">
        <v>79</v>
      </c>
      <c r="D346">
        <v>43</v>
      </c>
      <c r="E346" t="s">
        <v>80</v>
      </c>
      <c r="F346" t="s">
        <v>51</v>
      </c>
      <c r="G346" t="s">
        <v>74</v>
      </c>
      <c r="H346">
        <v>40200</v>
      </c>
      <c r="I346" t="s">
        <v>82</v>
      </c>
      <c r="J346">
        <v>11900</v>
      </c>
      <c r="K346" t="s">
        <v>1109</v>
      </c>
    </row>
    <row r="347" spans="1:11" x14ac:dyDescent="0.25">
      <c r="A347" t="s">
        <v>1110</v>
      </c>
      <c r="B347" t="s">
        <v>1111</v>
      </c>
      <c r="C347" t="s">
        <v>79</v>
      </c>
      <c r="D347">
        <v>28</v>
      </c>
      <c r="E347" t="s">
        <v>80</v>
      </c>
      <c r="F347" t="s">
        <v>51</v>
      </c>
      <c r="G347" t="s">
        <v>81</v>
      </c>
      <c r="H347">
        <v>34400</v>
      </c>
      <c r="I347" t="s">
        <v>75</v>
      </c>
      <c r="J347">
        <v>59100</v>
      </c>
      <c r="K347" t="s">
        <v>1109</v>
      </c>
    </row>
    <row r="348" spans="1:11" x14ac:dyDescent="0.25">
      <c r="A348" t="s">
        <v>1112</v>
      </c>
      <c r="B348" t="s">
        <v>1113</v>
      </c>
      <c r="C348" t="s">
        <v>79</v>
      </c>
      <c r="D348">
        <v>49</v>
      </c>
      <c r="E348" t="s">
        <v>80</v>
      </c>
      <c r="F348" t="s">
        <v>51</v>
      </c>
      <c r="G348" t="s">
        <v>74</v>
      </c>
      <c r="H348">
        <v>49400</v>
      </c>
      <c r="I348" t="s">
        <v>82</v>
      </c>
      <c r="J348">
        <v>5100</v>
      </c>
      <c r="K348" t="s">
        <v>1114</v>
      </c>
    </row>
    <row r="349" spans="1:11" x14ac:dyDescent="0.25">
      <c r="A349" t="s">
        <v>1115</v>
      </c>
      <c r="B349" t="s">
        <v>1116</v>
      </c>
      <c r="C349" t="s">
        <v>71</v>
      </c>
      <c r="D349">
        <v>40</v>
      </c>
      <c r="E349" t="s">
        <v>95</v>
      </c>
      <c r="F349" t="s">
        <v>96</v>
      </c>
      <c r="G349" t="s">
        <v>129</v>
      </c>
      <c r="H349">
        <v>23900</v>
      </c>
      <c r="I349" t="s">
        <v>82</v>
      </c>
      <c r="J349">
        <v>28800</v>
      </c>
      <c r="K349" t="s">
        <v>1117</v>
      </c>
    </row>
    <row r="350" spans="1:11" x14ac:dyDescent="0.25">
      <c r="A350" t="s">
        <v>1118</v>
      </c>
      <c r="B350" t="s">
        <v>1119</v>
      </c>
      <c r="C350" t="s">
        <v>79</v>
      </c>
      <c r="D350">
        <v>29</v>
      </c>
      <c r="E350" t="s">
        <v>145</v>
      </c>
      <c r="F350" t="s">
        <v>146</v>
      </c>
      <c r="G350" t="s">
        <v>91</v>
      </c>
      <c r="H350">
        <v>34900</v>
      </c>
      <c r="I350" t="s">
        <v>75</v>
      </c>
      <c r="J350">
        <v>61100</v>
      </c>
      <c r="K350" t="s">
        <v>1120</v>
      </c>
    </row>
    <row r="351" spans="1:11" x14ac:dyDescent="0.25">
      <c r="A351" t="s">
        <v>1121</v>
      </c>
      <c r="B351" t="s">
        <v>1122</v>
      </c>
      <c r="C351" t="s">
        <v>71</v>
      </c>
      <c r="D351">
        <v>27</v>
      </c>
      <c r="E351" t="s">
        <v>72</v>
      </c>
      <c r="F351" t="s">
        <v>73</v>
      </c>
      <c r="G351" t="s">
        <v>81</v>
      </c>
      <c r="H351">
        <v>52900</v>
      </c>
      <c r="I351" t="s">
        <v>115</v>
      </c>
      <c r="J351">
        <v>417000</v>
      </c>
      <c r="K351" t="s">
        <v>1123</v>
      </c>
    </row>
    <row r="352" spans="1:11" x14ac:dyDescent="0.25">
      <c r="A352" t="s">
        <v>1124</v>
      </c>
      <c r="B352" t="s">
        <v>1125</v>
      </c>
      <c r="C352" t="s">
        <v>71</v>
      </c>
      <c r="D352">
        <v>28</v>
      </c>
      <c r="E352" t="s">
        <v>95</v>
      </c>
      <c r="F352" t="s">
        <v>96</v>
      </c>
      <c r="G352" t="s">
        <v>91</v>
      </c>
      <c r="H352">
        <v>46200</v>
      </c>
      <c r="I352" t="s">
        <v>75</v>
      </c>
      <c r="J352">
        <v>10800</v>
      </c>
      <c r="K352" t="s">
        <v>1126</v>
      </c>
    </row>
    <row r="353" spans="1:11" x14ac:dyDescent="0.25">
      <c r="A353" t="s">
        <v>1127</v>
      </c>
      <c r="B353" t="s">
        <v>1128</v>
      </c>
      <c r="C353" t="s">
        <v>71</v>
      </c>
      <c r="D353">
        <v>48</v>
      </c>
      <c r="E353" t="s">
        <v>80</v>
      </c>
      <c r="F353" t="s">
        <v>51</v>
      </c>
      <c r="G353" t="s">
        <v>74</v>
      </c>
      <c r="H353">
        <v>50000</v>
      </c>
      <c r="I353" t="s">
        <v>75</v>
      </c>
      <c r="J353">
        <v>19300</v>
      </c>
      <c r="K353" t="s">
        <v>1129</v>
      </c>
    </row>
    <row r="354" spans="1:11" x14ac:dyDescent="0.25">
      <c r="A354" t="s">
        <v>1130</v>
      </c>
      <c r="B354" t="s">
        <v>1131</v>
      </c>
      <c r="C354" t="s">
        <v>79</v>
      </c>
      <c r="D354">
        <v>51</v>
      </c>
      <c r="E354" t="s">
        <v>95</v>
      </c>
      <c r="F354" t="s">
        <v>96</v>
      </c>
      <c r="G354" t="s">
        <v>91</v>
      </c>
      <c r="H354">
        <v>16600</v>
      </c>
      <c r="I354" t="s">
        <v>115</v>
      </c>
      <c r="J354">
        <v>22700</v>
      </c>
      <c r="K354" t="s">
        <v>1132</v>
      </c>
    </row>
    <row r="355" spans="1:11" x14ac:dyDescent="0.25">
      <c r="A355" t="s">
        <v>1133</v>
      </c>
      <c r="B355" t="s">
        <v>1134</v>
      </c>
      <c r="C355" t="s">
        <v>79</v>
      </c>
      <c r="D355">
        <v>26</v>
      </c>
      <c r="E355" t="s">
        <v>95</v>
      </c>
      <c r="F355" t="s">
        <v>96</v>
      </c>
      <c r="G355" t="s">
        <v>91</v>
      </c>
      <c r="H355">
        <v>66900</v>
      </c>
      <c r="I355" t="s">
        <v>75</v>
      </c>
      <c r="J355">
        <v>40300</v>
      </c>
      <c r="K355" t="s">
        <v>1135</v>
      </c>
    </row>
    <row r="356" spans="1:11" x14ac:dyDescent="0.25">
      <c r="A356" t="s">
        <v>1136</v>
      </c>
      <c r="B356" t="s">
        <v>1137</v>
      </c>
      <c r="C356" t="s">
        <v>71</v>
      </c>
      <c r="D356">
        <v>41</v>
      </c>
      <c r="E356" t="s">
        <v>72</v>
      </c>
      <c r="F356" t="s">
        <v>73</v>
      </c>
      <c r="G356" t="s">
        <v>74</v>
      </c>
      <c r="H356">
        <v>41300</v>
      </c>
      <c r="I356" t="s">
        <v>75</v>
      </c>
      <c r="J356">
        <v>128600</v>
      </c>
      <c r="K356" t="s">
        <v>1138</v>
      </c>
    </row>
    <row r="357" spans="1:11" x14ac:dyDescent="0.25">
      <c r="A357" t="s">
        <v>1139</v>
      </c>
      <c r="B357" t="s">
        <v>1140</v>
      </c>
      <c r="C357" t="s">
        <v>71</v>
      </c>
      <c r="D357">
        <v>56</v>
      </c>
      <c r="E357" t="s">
        <v>86</v>
      </c>
      <c r="F357" t="s">
        <v>87</v>
      </c>
      <c r="G357" t="s">
        <v>91</v>
      </c>
      <c r="H357">
        <v>57700</v>
      </c>
      <c r="I357" t="s">
        <v>115</v>
      </c>
      <c r="J357">
        <v>4600</v>
      </c>
      <c r="K357" t="s">
        <v>1141</v>
      </c>
    </row>
    <row r="358" spans="1:11" x14ac:dyDescent="0.25">
      <c r="A358" t="s">
        <v>1142</v>
      </c>
      <c r="B358" t="s">
        <v>1143</v>
      </c>
      <c r="C358" t="s">
        <v>79</v>
      </c>
      <c r="D358">
        <v>42</v>
      </c>
      <c r="E358" t="s">
        <v>80</v>
      </c>
      <c r="F358" t="s">
        <v>51</v>
      </c>
      <c r="G358" t="s">
        <v>81</v>
      </c>
      <c r="H358">
        <v>62200</v>
      </c>
      <c r="I358" t="s">
        <v>75</v>
      </c>
      <c r="J358">
        <v>69800</v>
      </c>
      <c r="K358" t="s">
        <v>1144</v>
      </c>
    </row>
    <row r="359" spans="1:11" x14ac:dyDescent="0.25">
      <c r="A359" t="s">
        <v>1145</v>
      </c>
      <c r="B359" t="s">
        <v>1146</v>
      </c>
      <c r="C359" t="s">
        <v>79</v>
      </c>
      <c r="D359">
        <v>24</v>
      </c>
      <c r="E359" t="s">
        <v>145</v>
      </c>
      <c r="F359" t="s">
        <v>146</v>
      </c>
      <c r="G359" t="s">
        <v>74</v>
      </c>
      <c r="H359">
        <v>52400</v>
      </c>
      <c r="I359" t="s">
        <v>75</v>
      </c>
      <c r="J359">
        <v>128000</v>
      </c>
      <c r="K359" t="s">
        <v>1147</v>
      </c>
    </row>
    <row r="360" spans="1:11" x14ac:dyDescent="0.25">
      <c r="A360" t="s">
        <v>1148</v>
      </c>
      <c r="B360" t="s">
        <v>1149</v>
      </c>
      <c r="C360" t="s">
        <v>79</v>
      </c>
      <c r="D360">
        <v>62</v>
      </c>
      <c r="E360" t="s">
        <v>145</v>
      </c>
      <c r="F360" t="s">
        <v>146</v>
      </c>
      <c r="G360" t="s">
        <v>81</v>
      </c>
      <c r="H360">
        <v>58200</v>
      </c>
      <c r="I360" t="s">
        <v>75</v>
      </c>
      <c r="J360">
        <v>14100</v>
      </c>
      <c r="K360" t="s">
        <v>1150</v>
      </c>
    </row>
    <row r="361" spans="1:11" x14ac:dyDescent="0.25">
      <c r="A361" t="s">
        <v>1151</v>
      </c>
      <c r="B361" t="s">
        <v>1152</v>
      </c>
      <c r="C361" t="s">
        <v>71</v>
      </c>
      <c r="D361">
        <v>22</v>
      </c>
      <c r="E361" t="s">
        <v>95</v>
      </c>
      <c r="F361" t="s">
        <v>96</v>
      </c>
      <c r="G361" t="s">
        <v>122</v>
      </c>
      <c r="H361">
        <v>104400</v>
      </c>
      <c r="I361" t="s">
        <v>75</v>
      </c>
      <c r="J361">
        <v>195000</v>
      </c>
      <c r="K361" t="s">
        <v>1153</v>
      </c>
    </row>
    <row r="362" spans="1:11" x14ac:dyDescent="0.25">
      <c r="A362" t="s">
        <v>1154</v>
      </c>
      <c r="B362" t="s">
        <v>1155</v>
      </c>
      <c r="C362" t="s">
        <v>79</v>
      </c>
      <c r="D362">
        <v>31</v>
      </c>
      <c r="E362" t="s">
        <v>145</v>
      </c>
      <c r="F362" t="s">
        <v>146</v>
      </c>
      <c r="G362" t="s">
        <v>81</v>
      </c>
      <c r="H362">
        <v>26700</v>
      </c>
      <c r="I362" t="s">
        <v>82</v>
      </c>
      <c r="J362">
        <v>71000</v>
      </c>
      <c r="K362" t="s">
        <v>1058</v>
      </c>
    </row>
    <row r="363" spans="1:11" x14ac:dyDescent="0.25">
      <c r="A363" t="s">
        <v>1156</v>
      </c>
      <c r="B363" t="s">
        <v>1157</v>
      </c>
      <c r="C363" t="s">
        <v>79</v>
      </c>
      <c r="D363">
        <v>37</v>
      </c>
      <c r="E363" t="s">
        <v>145</v>
      </c>
      <c r="F363" t="s">
        <v>146</v>
      </c>
      <c r="G363" t="s">
        <v>91</v>
      </c>
      <c r="H363">
        <v>45300</v>
      </c>
      <c r="I363" t="s">
        <v>75</v>
      </c>
      <c r="J363">
        <v>2200</v>
      </c>
      <c r="K363" t="s">
        <v>1158</v>
      </c>
    </row>
    <row r="364" spans="1:11" x14ac:dyDescent="0.25">
      <c r="A364" t="s">
        <v>1159</v>
      </c>
      <c r="B364" t="s">
        <v>1160</v>
      </c>
      <c r="C364" t="s">
        <v>71</v>
      </c>
      <c r="D364">
        <v>21</v>
      </c>
      <c r="E364" t="s">
        <v>72</v>
      </c>
      <c r="F364" t="s">
        <v>73</v>
      </c>
      <c r="G364" t="s">
        <v>91</v>
      </c>
      <c r="H364">
        <v>33800</v>
      </c>
      <c r="I364" t="s">
        <v>115</v>
      </c>
      <c r="J364">
        <v>7900</v>
      </c>
      <c r="K364" t="s">
        <v>1161</v>
      </c>
    </row>
    <row r="365" spans="1:11" x14ac:dyDescent="0.25">
      <c r="A365" t="s">
        <v>1162</v>
      </c>
      <c r="B365" t="s">
        <v>1163</v>
      </c>
      <c r="C365" t="s">
        <v>79</v>
      </c>
      <c r="D365">
        <v>21</v>
      </c>
      <c r="E365" t="s">
        <v>86</v>
      </c>
      <c r="F365" t="s">
        <v>87</v>
      </c>
      <c r="G365" t="s">
        <v>122</v>
      </c>
      <c r="H365">
        <v>76700</v>
      </c>
      <c r="I365" t="s">
        <v>75</v>
      </c>
      <c r="J365">
        <v>30300</v>
      </c>
      <c r="K365" t="s">
        <v>1164</v>
      </c>
    </row>
    <row r="366" spans="1:11" x14ac:dyDescent="0.25">
      <c r="A366" t="s">
        <v>1165</v>
      </c>
      <c r="B366" t="s">
        <v>1166</v>
      </c>
      <c r="C366" t="s">
        <v>79</v>
      </c>
      <c r="D366">
        <v>21</v>
      </c>
      <c r="E366" t="s">
        <v>86</v>
      </c>
      <c r="F366" t="s">
        <v>87</v>
      </c>
      <c r="G366" t="s">
        <v>74</v>
      </c>
      <c r="H366">
        <v>57800</v>
      </c>
      <c r="I366" t="s">
        <v>75</v>
      </c>
      <c r="J366">
        <v>268700</v>
      </c>
      <c r="K366" t="s">
        <v>1167</v>
      </c>
    </row>
    <row r="367" spans="1:11" x14ac:dyDescent="0.25">
      <c r="A367" t="s">
        <v>1168</v>
      </c>
      <c r="B367" t="s">
        <v>1169</v>
      </c>
      <c r="C367" t="s">
        <v>79</v>
      </c>
      <c r="D367">
        <v>40</v>
      </c>
      <c r="E367" t="s">
        <v>145</v>
      </c>
      <c r="F367" t="s">
        <v>146</v>
      </c>
      <c r="G367" t="s">
        <v>122</v>
      </c>
      <c r="H367">
        <v>68200</v>
      </c>
      <c r="I367" t="s">
        <v>75</v>
      </c>
      <c r="J367">
        <v>23500</v>
      </c>
      <c r="K367" t="s">
        <v>1170</v>
      </c>
    </row>
    <row r="368" spans="1:11" x14ac:dyDescent="0.25">
      <c r="A368" t="s">
        <v>1171</v>
      </c>
      <c r="B368" t="s">
        <v>1172</v>
      </c>
      <c r="C368" t="s">
        <v>71</v>
      </c>
      <c r="D368">
        <v>47</v>
      </c>
      <c r="E368" t="s">
        <v>72</v>
      </c>
      <c r="F368" t="s">
        <v>73</v>
      </c>
      <c r="G368" t="s">
        <v>122</v>
      </c>
      <c r="H368">
        <v>49200</v>
      </c>
      <c r="I368" t="s">
        <v>75</v>
      </c>
      <c r="J368">
        <v>1900</v>
      </c>
      <c r="K368" t="s">
        <v>1173</v>
      </c>
    </row>
    <row r="369" spans="1:11" x14ac:dyDescent="0.25">
      <c r="A369" t="s">
        <v>1174</v>
      </c>
      <c r="B369" t="s">
        <v>1175</v>
      </c>
      <c r="C369" t="s">
        <v>71</v>
      </c>
      <c r="D369">
        <v>21</v>
      </c>
      <c r="E369" t="s">
        <v>145</v>
      </c>
      <c r="F369" t="s">
        <v>146</v>
      </c>
      <c r="G369" t="s">
        <v>122</v>
      </c>
      <c r="H369">
        <v>112900</v>
      </c>
      <c r="I369" t="s">
        <v>82</v>
      </c>
      <c r="J369">
        <v>25800</v>
      </c>
      <c r="K369" t="s">
        <v>1176</v>
      </c>
    </row>
    <row r="370" spans="1:11" x14ac:dyDescent="0.25">
      <c r="A370" t="s">
        <v>1177</v>
      </c>
      <c r="B370" t="s">
        <v>1178</v>
      </c>
      <c r="C370" t="s">
        <v>79</v>
      </c>
      <c r="D370">
        <v>34</v>
      </c>
      <c r="E370" t="s">
        <v>86</v>
      </c>
      <c r="F370" t="s">
        <v>87</v>
      </c>
      <c r="G370" t="s">
        <v>74</v>
      </c>
      <c r="H370">
        <v>59300</v>
      </c>
      <c r="I370" t="s">
        <v>82</v>
      </c>
      <c r="J370">
        <v>26500</v>
      </c>
      <c r="K370" t="s">
        <v>1179</v>
      </c>
    </row>
    <row r="371" spans="1:11" x14ac:dyDescent="0.25">
      <c r="A371" t="s">
        <v>1180</v>
      </c>
      <c r="B371" t="s">
        <v>1181</v>
      </c>
      <c r="C371" t="s">
        <v>79</v>
      </c>
      <c r="D371">
        <v>45</v>
      </c>
      <c r="E371" t="s">
        <v>145</v>
      </c>
      <c r="F371" t="s">
        <v>146</v>
      </c>
      <c r="G371" t="s">
        <v>74</v>
      </c>
      <c r="H371">
        <v>55000</v>
      </c>
      <c r="I371" t="s">
        <v>82</v>
      </c>
      <c r="J371">
        <v>18500</v>
      </c>
      <c r="K371" t="s">
        <v>1182</v>
      </c>
    </row>
    <row r="372" spans="1:11" x14ac:dyDescent="0.25">
      <c r="A372" t="s">
        <v>1183</v>
      </c>
      <c r="B372" t="s">
        <v>1184</v>
      </c>
      <c r="C372" t="s">
        <v>71</v>
      </c>
      <c r="D372">
        <v>49</v>
      </c>
      <c r="E372" t="s">
        <v>95</v>
      </c>
      <c r="F372" t="s">
        <v>96</v>
      </c>
      <c r="G372" t="s">
        <v>74</v>
      </c>
      <c r="H372">
        <v>10000</v>
      </c>
      <c r="I372" t="s">
        <v>75</v>
      </c>
      <c r="J372">
        <v>7900</v>
      </c>
      <c r="K372" t="s">
        <v>1185</v>
      </c>
    </row>
    <row r="373" spans="1:11" x14ac:dyDescent="0.25">
      <c r="A373" t="s">
        <v>1186</v>
      </c>
      <c r="B373" t="s">
        <v>1187</v>
      </c>
      <c r="C373" t="s">
        <v>71</v>
      </c>
      <c r="D373">
        <v>34</v>
      </c>
      <c r="E373" t="s">
        <v>145</v>
      </c>
      <c r="F373" t="s">
        <v>146</v>
      </c>
      <c r="G373" t="s">
        <v>122</v>
      </c>
      <c r="H373">
        <v>122000</v>
      </c>
      <c r="I373" t="s">
        <v>75</v>
      </c>
      <c r="J373">
        <v>224400</v>
      </c>
      <c r="K373" t="s">
        <v>1188</v>
      </c>
    </row>
    <row r="374" spans="1:11" x14ac:dyDescent="0.25">
      <c r="A374" t="s">
        <v>1189</v>
      </c>
      <c r="B374" t="s">
        <v>1190</v>
      </c>
      <c r="C374" t="s">
        <v>71</v>
      </c>
      <c r="D374">
        <v>27</v>
      </c>
      <c r="E374" t="s">
        <v>72</v>
      </c>
      <c r="F374" t="s">
        <v>73</v>
      </c>
      <c r="G374" t="s">
        <v>122</v>
      </c>
      <c r="H374">
        <v>86300</v>
      </c>
      <c r="I374" t="s">
        <v>75</v>
      </c>
      <c r="J374">
        <v>79900</v>
      </c>
      <c r="K374" t="s">
        <v>1191</v>
      </c>
    </row>
    <row r="375" spans="1:11" x14ac:dyDescent="0.25">
      <c r="A375" t="s">
        <v>1192</v>
      </c>
      <c r="B375" t="s">
        <v>1193</v>
      </c>
      <c r="C375" t="s">
        <v>71</v>
      </c>
      <c r="D375">
        <v>38</v>
      </c>
      <c r="E375" t="s">
        <v>80</v>
      </c>
      <c r="F375" t="s">
        <v>51</v>
      </c>
      <c r="G375" t="s">
        <v>91</v>
      </c>
      <c r="H375">
        <v>66500</v>
      </c>
      <c r="I375" t="s">
        <v>115</v>
      </c>
      <c r="J375">
        <v>43100</v>
      </c>
      <c r="K375" t="s">
        <v>1194</v>
      </c>
    </row>
    <row r="376" spans="1:11" x14ac:dyDescent="0.25">
      <c r="A376" t="s">
        <v>1195</v>
      </c>
      <c r="B376" t="s">
        <v>1196</v>
      </c>
      <c r="C376" t="s">
        <v>71</v>
      </c>
      <c r="D376">
        <v>21</v>
      </c>
      <c r="E376" t="s">
        <v>86</v>
      </c>
      <c r="F376" t="s">
        <v>87</v>
      </c>
      <c r="G376" t="s">
        <v>122</v>
      </c>
      <c r="H376">
        <v>55700</v>
      </c>
      <c r="I376" t="s">
        <v>115</v>
      </c>
      <c r="J376">
        <v>33400</v>
      </c>
      <c r="K376" t="s">
        <v>1197</v>
      </c>
    </row>
    <row r="377" spans="1:11" x14ac:dyDescent="0.25">
      <c r="A377" t="s">
        <v>1198</v>
      </c>
      <c r="B377" t="s">
        <v>1199</v>
      </c>
      <c r="C377" t="s">
        <v>71</v>
      </c>
      <c r="D377">
        <v>21</v>
      </c>
      <c r="E377" t="s">
        <v>95</v>
      </c>
      <c r="F377" t="s">
        <v>96</v>
      </c>
      <c r="G377" t="s">
        <v>122</v>
      </c>
      <c r="H377">
        <v>58100</v>
      </c>
      <c r="I377" t="s">
        <v>75</v>
      </c>
      <c r="J377">
        <v>26000</v>
      </c>
      <c r="K377" t="s">
        <v>1200</v>
      </c>
    </row>
    <row r="378" spans="1:11" x14ac:dyDescent="0.25">
      <c r="A378" t="s">
        <v>1201</v>
      </c>
      <c r="B378" t="s">
        <v>1202</v>
      </c>
      <c r="C378" t="s">
        <v>71</v>
      </c>
      <c r="D378">
        <v>30</v>
      </c>
      <c r="E378" t="s">
        <v>95</v>
      </c>
      <c r="F378" t="s">
        <v>96</v>
      </c>
      <c r="G378" t="s">
        <v>81</v>
      </c>
      <c r="H378">
        <v>47100</v>
      </c>
      <c r="I378" t="s">
        <v>82</v>
      </c>
      <c r="J378">
        <v>15700</v>
      </c>
      <c r="K378" t="s">
        <v>1203</v>
      </c>
    </row>
    <row r="379" spans="1:11" x14ac:dyDescent="0.25">
      <c r="A379" t="s">
        <v>1204</v>
      </c>
      <c r="B379" t="s">
        <v>1205</v>
      </c>
      <c r="C379" t="s">
        <v>71</v>
      </c>
      <c r="D379">
        <v>47</v>
      </c>
      <c r="E379" t="s">
        <v>145</v>
      </c>
      <c r="F379" t="s">
        <v>146</v>
      </c>
      <c r="G379" t="s">
        <v>122</v>
      </c>
      <c r="H379">
        <v>80200</v>
      </c>
      <c r="I379" t="s">
        <v>82</v>
      </c>
      <c r="J379">
        <v>58300</v>
      </c>
      <c r="K379" t="s">
        <v>1206</v>
      </c>
    </row>
    <row r="380" spans="1:11" x14ac:dyDescent="0.25">
      <c r="A380" t="s">
        <v>1207</v>
      </c>
      <c r="B380" t="s">
        <v>1208</v>
      </c>
      <c r="C380" t="s">
        <v>71</v>
      </c>
      <c r="D380">
        <v>47</v>
      </c>
      <c r="E380" t="s">
        <v>86</v>
      </c>
      <c r="F380" t="s">
        <v>87</v>
      </c>
      <c r="G380" t="s">
        <v>74</v>
      </c>
      <c r="H380">
        <v>50200</v>
      </c>
      <c r="I380" t="s">
        <v>75</v>
      </c>
      <c r="J380">
        <v>107000</v>
      </c>
      <c r="K380" t="s">
        <v>1209</v>
      </c>
    </row>
    <row r="381" spans="1:11" x14ac:dyDescent="0.25">
      <c r="A381" t="s">
        <v>1210</v>
      </c>
      <c r="B381" t="s">
        <v>1211</v>
      </c>
      <c r="C381" t="s">
        <v>79</v>
      </c>
      <c r="D381">
        <v>46</v>
      </c>
      <c r="E381" t="s">
        <v>80</v>
      </c>
      <c r="F381" t="s">
        <v>51</v>
      </c>
      <c r="G381" t="s">
        <v>91</v>
      </c>
      <c r="H381">
        <v>71600</v>
      </c>
      <c r="I381" t="s">
        <v>82</v>
      </c>
      <c r="J381">
        <v>84300</v>
      </c>
      <c r="K381" t="s">
        <v>1212</v>
      </c>
    </row>
    <row r="382" spans="1:11" x14ac:dyDescent="0.25">
      <c r="A382" t="s">
        <v>1213</v>
      </c>
      <c r="B382" t="s">
        <v>1214</v>
      </c>
      <c r="C382" t="s">
        <v>79</v>
      </c>
      <c r="D382">
        <v>33</v>
      </c>
      <c r="E382" t="s">
        <v>80</v>
      </c>
      <c r="F382" t="s">
        <v>51</v>
      </c>
      <c r="G382" t="s">
        <v>129</v>
      </c>
      <c r="H382">
        <v>26100</v>
      </c>
      <c r="I382" t="s">
        <v>82</v>
      </c>
      <c r="J382">
        <v>1900</v>
      </c>
      <c r="K382" t="s">
        <v>1215</v>
      </c>
    </row>
    <row r="383" spans="1:11" x14ac:dyDescent="0.25">
      <c r="A383" t="s">
        <v>1216</v>
      </c>
      <c r="B383" t="s">
        <v>1217</v>
      </c>
      <c r="C383" t="s">
        <v>71</v>
      </c>
      <c r="D383">
        <v>39</v>
      </c>
      <c r="E383" t="s">
        <v>80</v>
      </c>
      <c r="F383" t="s">
        <v>51</v>
      </c>
      <c r="G383" t="s">
        <v>81</v>
      </c>
      <c r="H383">
        <v>35300</v>
      </c>
      <c r="I383" t="s">
        <v>75</v>
      </c>
      <c r="J383">
        <v>43000</v>
      </c>
      <c r="K383" t="s">
        <v>1218</v>
      </c>
    </row>
    <row r="384" spans="1:11" x14ac:dyDescent="0.25">
      <c r="A384" t="s">
        <v>1219</v>
      </c>
      <c r="B384" t="s">
        <v>1220</v>
      </c>
      <c r="C384" t="s">
        <v>71</v>
      </c>
      <c r="D384">
        <v>53</v>
      </c>
      <c r="E384" t="s">
        <v>72</v>
      </c>
      <c r="F384" t="s">
        <v>73</v>
      </c>
      <c r="G384" t="s">
        <v>91</v>
      </c>
      <c r="H384">
        <v>10500</v>
      </c>
      <c r="I384" t="s">
        <v>82</v>
      </c>
      <c r="J384">
        <v>1000</v>
      </c>
      <c r="K384" t="s">
        <v>1221</v>
      </c>
    </row>
    <row r="385" spans="1:11" x14ac:dyDescent="0.25">
      <c r="A385" t="s">
        <v>1222</v>
      </c>
      <c r="B385" t="s">
        <v>1223</v>
      </c>
      <c r="C385" t="s">
        <v>71</v>
      </c>
      <c r="D385">
        <v>35</v>
      </c>
      <c r="E385" t="s">
        <v>95</v>
      </c>
      <c r="F385" t="s">
        <v>96</v>
      </c>
      <c r="G385" t="s">
        <v>74</v>
      </c>
      <c r="H385">
        <v>24600</v>
      </c>
      <c r="I385" t="s">
        <v>75</v>
      </c>
      <c r="J385">
        <v>22000</v>
      </c>
      <c r="K385" t="s">
        <v>1224</v>
      </c>
    </row>
    <row r="386" spans="1:11" x14ac:dyDescent="0.25">
      <c r="A386" t="s">
        <v>1225</v>
      </c>
      <c r="B386" t="s">
        <v>1226</v>
      </c>
      <c r="C386" t="s">
        <v>79</v>
      </c>
      <c r="D386">
        <v>45</v>
      </c>
      <c r="E386" t="s">
        <v>80</v>
      </c>
      <c r="F386" t="s">
        <v>51</v>
      </c>
      <c r="G386" t="s">
        <v>81</v>
      </c>
      <c r="H386">
        <v>48900</v>
      </c>
      <c r="I386" t="s">
        <v>75</v>
      </c>
      <c r="J386">
        <v>2300</v>
      </c>
      <c r="K386" t="s">
        <v>1227</v>
      </c>
    </row>
    <row r="387" spans="1:11" x14ac:dyDescent="0.25">
      <c r="A387" t="s">
        <v>1228</v>
      </c>
      <c r="B387" t="s">
        <v>1229</v>
      </c>
      <c r="C387" t="s">
        <v>71</v>
      </c>
      <c r="D387">
        <v>28</v>
      </c>
      <c r="E387" t="s">
        <v>95</v>
      </c>
      <c r="F387" t="s">
        <v>96</v>
      </c>
      <c r="G387" t="s">
        <v>74</v>
      </c>
      <c r="H387">
        <v>77300</v>
      </c>
      <c r="I387" t="s">
        <v>82</v>
      </c>
      <c r="J387">
        <v>168100</v>
      </c>
      <c r="K387" t="s">
        <v>1230</v>
      </c>
    </row>
    <row r="388" spans="1:11" x14ac:dyDescent="0.25">
      <c r="A388" t="s">
        <v>1231</v>
      </c>
      <c r="B388" t="s">
        <v>1232</v>
      </c>
      <c r="C388" t="s">
        <v>79</v>
      </c>
      <c r="D388">
        <v>48</v>
      </c>
      <c r="E388" t="s">
        <v>145</v>
      </c>
      <c r="F388" t="s">
        <v>146</v>
      </c>
      <c r="G388" t="s">
        <v>81</v>
      </c>
      <c r="H388">
        <v>56900</v>
      </c>
      <c r="I388" t="s">
        <v>82</v>
      </c>
      <c r="J388">
        <v>147300</v>
      </c>
      <c r="K388" t="s">
        <v>1233</v>
      </c>
    </row>
    <row r="389" spans="1:11" x14ac:dyDescent="0.25">
      <c r="A389" t="s">
        <v>1234</v>
      </c>
      <c r="B389" t="s">
        <v>1235</v>
      </c>
      <c r="C389" t="s">
        <v>71</v>
      </c>
      <c r="D389">
        <v>32</v>
      </c>
      <c r="E389" t="s">
        <v>145</v>
      </c>
      <c r="F389" t="s">
        <v>146</v>
      </c>
      <c r="G389" t="s">
        <v>81</v>
      </c>
      <c r="H389">
        <v>53400</v>
      </c>
      <c r="I389" t="s">
        <v>75</v>
      </c>
      <c r="J389">
        <v>53500</v>
      </c>
      <c r="K389" t="s">
        <v>293</v>
      </c>
    </row>
    <row r="390" spans="1:11" x14ac:dyDescent="0.25">
      <c r="A390" t="s">
        <v>1236</v>
      </c>
      <c r="B390" t="s">
        <v>1237</v>
      </c>
      <c r="C390" t="s">
        <v>79</v>
      </c>
      <c r="D390">
        <v>44</v>
      </c>
      <c r="E390" t="s">
        <v>86</v>
      </c>
      <c r="F390" t="s">
        <v>87</v>
      </c>
      <c r="G390" t="s">
        <v>74</v>
      </c>
      <c r="H390">
        <v>59400</v>
      </c>
      <c r="I390" t="s">
        <v>82</v>
      </c>
      <c r="J390">
        <v>202200</v>
      </c>
      <c r="K390" t="s">
        <v>1238</v>
      </c>
    </row>
    <row r="391" spans="1:11" x14ac:dyDescent="0.25">
      <c r="A391" t="s">
        <v>1239</v>
      </c>
      <c r="B391" t="s">
        <v>1240</v>
      </c>
      <c r="C391" t="s">
        <v>71</v>
      </c>
      <c r="D391">
        <v>35</v>
      </c>
      <c r="E391" t="s">
        <v>145</v>
      </c>
      <c r="F391" t="s">
        <v>146</v>
      </c>
      <c r="G391" t="s">
        <v>91</v>
      </c>
      <c r="H391">
        <v>47700</v>
      </c>
      <c r="I391" t="s">
        <v>82</v>
      </c>
      <c r="J391">
        <v>80600</v>
      </c>
      <c r="K391" t="s">
        <v>1241</v>
      </c>
    </row>
    <row r="392" spans="1:11" x14ac:dyDescent="0.25">
      <c r="A392" t="s">
        <v>1242</v>
      </c>
      <c r="B392" t="s">
        <v>1243</v>
      </c>
      <c r="C392" t="s">
        <v>79</v>
      </c>
      <c r="D392">
        <v>46</v>
      </c>
      <c r="E392" t="s">
        <v>145</v>
      </c>
      <c r="F392" t="s">
        <v>146</v>
      </c>
      <c r="G392" t="s">
        <v>74</v>
      </c>
      <c r="H392">
        <v>27500</v>
      </c>
      <c r="I392" t="s">
        <v>75</v>
      </c>
      <c r="J392">
        <v>1800</v>
      </c>
      <c r="K392" t="s">
        <v>1244</v>
      </c>
    </row>
    <row r="393" spans="1:11" x14ac:dyDescent="0.25">
      <c r="A393" t="s">
        <v>1245</v>
      </c>
      <c r="B393" t="s">
        <v>1246</v>
      </c>
      <c r="C393" t="s">
        <v>71</v>
      </c>
      <c r="D393">
        <v>51</v>
      </c>
      <c r="E393" t="s">
        <v>86</v>
      </c>
      <c r="F393" t="s">
        <v>87</v>
      </c>
      <c r="G393" t="s">
        <v>74</v>
      </c>
      <c r="H393">
        <v>25300</v>
      </c>
      <c r="I393" t="s">
        <v>115</v>
      </c>
      <c r="J393">
        <v>4400</v>
      </c>
      <c r="K393" t="s">
        <v>1117</v>
      </c>
    </row>
    <row r="394" spans="1:11" x14ac:dyDescent="0.25">
      <c r="A394" t="s">
        <v>1247</v>
      </c>
      <c r="B394" t="s">
        <v>1248</v>
      </c>
      <c r="C394" t="s">
        <v>71</v>
      </c>
      <c r="D394">
        <v>27</v>
      </c>
      <c r="E394" t="s">
        <v>95</v>
      </c>
      <c r="F394" t="s">
        <v>96</v>
      </c>
      <c r="G394" t="s">
        <v>122</v>
      </c>
      <c r="H394">
        <v>72000</v>
      </c>
      <c r="I394" t="s">
        <v>75</v>
      </c>
      <c r="J394">
        <v>207500</v>
      </c>
      <c r="K394" t="s">
        <v>1249</v>
      </c>
    </row>
    <row r="395" spans="1:11" x14ac:dyDescent="0.25">
      <c r="A395" t="s">
        <v>1250</v>
      </c>
      <c r="B395" t="s">
        <v>1251</v>
      </c>
      <c r="C395" t="s">
        <v>71</v>
      </c>
      <c r="D395">
        <v>43</v>
      </c>
      <c r="E395" t="s">
        <v>95</v>
      </c>
      <c r="F395" t="s">
        <v>96</v>
      </c>
      <c r="G395" t="s">
        <v>81</v>
      </c>
      <c r="H395">
        <v>67900</v>
      </c>
      <c r="I395" t="s">
        <v>75</v>
      </c>
      <c r="J395">
        <v>64800</v>
      </c>
      <c r="K395" t="s">
        <v>602</v>
      </c>
    </row>
    <row r="396" spans="1:11" x14ac:dyDescent="0.25">
      <c r="A396" t="s">
        <v>1252</v>
      </c>
      <c r="B396" t="s">
        <v>1253</v>
      </c>
      <c r="C396" t="s">
        <v>71</v>
      </c>
      <c r="D396">
        <v>31</v>
      </c>
      <c r="E396" t="s">
        <v>86</v>
      </c>
      <c r="F396" t="s">
        <v>87</v>
      </c>
      <c r="G396" t="s">
        <v>129</v>
      </c>
      <c r="H396">
        <v>29800</v>
      </c>
      <c r="I396" t="s">
        <v>82</v>
      </c>
      <c r="J396">
        <v>37600</v>
      </c>
      <c r="K396" t="s">
        <v>1254</v>
      </c>
    </row>
    <row r="397" spans="1:11" x14ac:dyDescent="0.25">
      <c r="A397" t="s">
        <v>1255</v>
      </c>
      <c r="B397" t="s">
        <v>1256</v>
      </c>
      <c r="C397" t="s">
        <v>79</v>
      </c>
      <c r="D397">
        <v>34</v>
      </c>
      <c r="E397" t="s">
        <v>80</v>
      </c>
      <c r="F397" t="s">
        <v>51</v>
      </c>
      <c r="G397" t="s">
        <v>91</v>
      </c>
      <c r="H397">
        <v>55600</v>
      </c>
      <c r="I397" t="s">
        <v>75</v>
      </c>
      <c r="J397">
        <v>335100</v>
      </c>
      <c r="K397" t="s">
        <v>103</v>
      </c>
    </row>
    <row r="398" spans="1:11" x14ac:dyDescent="0.25">
      <c r="A398" t="s">
        <v>1257</v>
      </c>
      <c r="B398" t="s">
        <v>1258</v>
      </c>
      <c r="C398" t="s">
        <v>71</v>
      </c>
      <c r="D398">
        <v>49</v>
      </c>
      <c r="E398" t="s">
        <v>86</v>
      </c>
      <c r="F398" t="s">
        <v>87</v>
      </c>
      <c r="G398" t="s">
        <v>74</v>
      </c>
      <c r="H398">
        <v>67400</v>
      </c>
      <c r="I398" t="s">
        <v>75</v>
      </c>
      <c r="J398">
        <v>98100</v>
      </c>
      <c r="K398" t="s">
        <v>1259</v>
      </c>
    </row>
    <row r="399" spans="1:11" x14ac:dyDescent="0.25">
      <c r="A399" t="s">
        <v>1260</v>
      </c>
      <c r="B399" t="s">
        <v>1261</v>
      </c>
      <c r="C399" t="s">
        <v>71</v>
      </c>
      <c r="D399">
        <v>36</v>
      </c>
      <c r="E399" t="s">
        <v>145</v>
      </c>
      <c r="F399" t="s">
        <v>146</v>
      </c>
      <c r="G399" t="s">
        <v>129</v>
      </c>
      <c r="H399">
        <v>21500</v>
      </c>
      <c r="I399" t="s">
        <v>82</v>
      </c>
      <c r="J399">
        <v>50200</v>
      </c>
      <c r="K399" t="s">
        <v>1262</v>
      </c>
    </row>
    <row r="400" spans="1:11" x14ac:dyDescent="0.25">
      <c r="A400" t="s">
        <v>1263</v>
      </c>
      <c r="B400" t="s">
        <v>1264</v>
      </c>
      <c r="C400" t="s">
        <v>71</v>
      </c>
      <c r="D400">
        <v>47</v>
      </c>
      <c r="E400" t="s">
        <v>86</v>
      </c>
      <c r="F400" t="s">
        <v>87</v>
      </c>
      <c r="G400" t="s">
        <v>122</v>
      </c>
      <c r="H400">
        <v>55800</v>
      </c>
      <c r="I400" t="s">
        <v>75</v>
      </c>
      <c r="J400">
        <v>74500</v>
      </c>
      <c r="K400" t="s">
        <v>1265</v>
      </c>
    </row>
    <row r="401" spans="1:11" x14ac:dyDescent="0.25">
      <c r="A401" t="s">
        <v>1266</v>
      </c>
      <c r="B401" t="s">
        <v>1267</v>
      </c>
      <c r="C401" t="s">
        <v>79</v>
      </c>
      <c r="D401">
        <v>27</v>
      </c>
      <c r="E401" t="s">
        <v>86</v>
      </c>
      <c r="F401" t="s">
        <v>87</v>
      </c>
      <c r="G401" t="s">
        <v>129</v>
      </c>
      <c r="H401">
        <v>31200</v>
      </c>
      <c r="I401" t="s">
        <v>115</v>
      </c>
      <c r="J401">
        <v>49200</v>
      </c>
      <c r="K401" t="s">
        <v>1268</v>
      </c>
    </row>
  </sheetData>
  <pageMargins left="0.75" right="0.75" top="1" bottom="1" header="0.5" footer="0.5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7C8B9B"/>
  </sheetPr>
  <dimension ref="A1:N321"/>
  <sheetViews>
    <sheetView workbookViewId="0">
      <selection activeCell="B1" sqref="B1"/>
    </sheetView>
  </sheetViews>
  <sheetFormatPr defaultRowHeight="15" x14ac:dyDescent="0.25"/>
  <cols>
    <col min="1" max="14" width="15" customWidth="1"/>
  </cols>
  <sheetData>
    <row r="1" spans="1:14" x14ac:dyDescent="0.25">
      <c r="A1" s="2" t="s">
        <v>1269</v>
      </c>
      <c r="B1" s="2" t="s">
        <v>58</v>
      </c>
      <c r="C1" s="2" t="s">
        <v>63</v>
      </c>
      <c r="D1" s="2" t="s">
        <v>1270</v>
      </c>
      <c r="E1" s="2" t="s">
        <v>1271</v>
      </c>
      <c r="F1" s="2" t="s">
        <v>1272</v>
      </c>
      <c r="G1" s="2" t="s">
        <v>1273</v>
      </c>
      <c r="H1" s="2" t="s">
        <v>1274</v>
      </c>
      <c r="I1" s="2" t="s">
        <v>1275</v>
      </c>
      <c r="J1" s="2" t="s">
        <v>1276</v>
      </c>
      <c r="K1" s="2" t="s">
        <v>1277</v>
      </c>
      <c r="L1" s="2" t="s">
        <v>1278</v>
      </c>
      <c r="M1" s="2" t="s">
        <v>1279</v>
      </c>
      <c r="N1" s="2" t="s">
        <v>1280</v>
      </c>
    </row>
    <row r="2" spans="1:14" x14ac:dyDescent="0.25">
      <c r="A2" t="s">
        <v>1281</v>
      </c>
      <c r="B2" t="s">
        <v>874</v>
      </c>
      <c r="C2" t="s">
        <v>73</v>
      </c>
      <c r="D2" t="s">
        <v>1282</v>
      </c>
      <c r="E2">
        <v>512000</v>
      </c>
      <c r="F2">
        <v>11.57</v>
      </c>
      <c r="G2">
        <v>30</v>
      </c>
      <c r="H2">
        <v>19735</v>
      </c>
      <c r="I2" t="s">
        <v>1283</v>
      </c>
      <c r="J2">
        <v>30</v>
      </c>
      <c r="K2">
        <v>28</v>
      </c>
      <c r="L2">
        <v>2</v>
      </c>
      <c r="M2" t="s">
        <v>1284</v>
      </c>
      <c r="N2">
        <v>208081</v>
      </c>
    </row>
    <row r="3" spans="1:14" x14ac:dyDescent="0.25">
      <c r="A3" t="s">
        <v>1285</v>
      </c>
      <c r="B3" t="s">
        <v>282</v>
      </c>
      <c r="C3" t="s">
        <v>51</v>
      </c>
      <c r="D3" t="s">
        <v>1286</v>
      </c>
      <c r="E3">
        <v>3874000</v>
      </c>
      <c r="F3">
        <v>8.93</v>
      </c>
      <c r="G3">
        <v>144</v>
      </c>
      <c r="H3">
        <v>43935</v>
      </c>
      <c r="I3" t="s">
        <v>1287</v>
      </c>
      <c r="J3">
        <v>66</v>
      </c>
      <c r="K3">
        <v>63</v>
      </c>
      <c r="L3">
        <v>3</v>
      </c>
      <c r="M3" t="s">
        <v>1288</v>
      </c>
      <c r="N3">
        <v>2351652</v>
      </c>
    </row>
    <row r="4" spans="1:14" x14ac:dyDescent="0.25">
      <c r="A4" t="s">
        <v>1289</v>
      </c>
      <c r="B4" t="s">
        <v>446</v>
      </c>
      <c r="C4" t="s">
        <v>146</v>
      </c>
      <c r="D4" t="s">
        <v>1290</v>
      </c>
      <c r="E4">
        <v>485000</v>
      </c>
      <c r="F4">
        <v>10.89</v>
      </c>
      <c r="G4">
        <v>66</v>
      </c>
      <c r="H4">
        <v>9800</v>
      </c>
      <c r="I4" t="s">
        <v>1291</v>
      </c>
      <c r="J4">
        <v>66</v>
      </c>
      <c r="K4">
        <v>62</v>
      </c>
      <c r="L4">
        <v>4</v>
      </c>
      <c r="M4" t="s">
        <v>1288</v>
      </c>
      <c r="N4">
        <v>150820</v>
      </c>
    </row>
    <row r="5" spans="1:14" x14ac:dyDescent="0.25">
      <c r="A5" t="s">
        <v>1292</v>
      </c>
      <c r="B5" t="s">
        <v>482</v>
      </c>
      <c r="C5" t="s">
        <v>73</v>
      </c>
      <c r="D5" t="s">
        <v>1282</v>
      </c>
      <c r="E5">
        <v>566000</v>
      </c>
      <c r="F5">
        <v>11.47</v>
      </c>
      <c r="G5">
        <v>24</v>
      </c>
      <c r="H5">
        <v>26504</v>
      </c>
      <c r="I5" t="s">
        <v>1293</v>
      </c>
      <c r="J5">
        <v>24</v>
      </c>
      <c r="K5">
        <v>21</v>
      </c>
      <c r="L5">
        <v>3</v>
      </c>
      <c r="M5" t="s">
        <v>1288</v>
      </c>
      <c r="N5">
        <v>259879</v>
      </c>
    </row>
    <row r="6" spans="1:14" x14ac:dyDescent="0.25">
      <c r="A6" t="s">
        <v>1294</v>
      </c>
      <c r="B6" t="s">
        <v>1207</v>
      </c>
      <c r="C6" t="s">
        <v>87</v>
      </c>
      <c r="D6" t="s">
        <v>1295</v>
      </c>
      <c r="E6">
        <v>1911000</v>
      </c>
      <c r="F6">
        <v>15.81</v>
      </c>
      <c r="G6">
        <v>66</v>
      </c>
      <c r="H6">
        <v>43524</v>
      </c>
      <c r="I6" t="s">
        <v>1296</v>
      </c>
      <c r="J6">
        <v>22</v>
      </c>
      <c r="K6">
        <v>20</v>
      </c>
      <c r="L6">
        <v>2</v>
      </c>
      <c r="M6" t="s">
        <v>1284</v>
      </c>
      <c r="N6">
        <v>1432236</v>
      </c>
    </row>
    <row r="7" spans="1:14" x14ac:dyDescent="0.25">
      <c r="A7" t="s">
        <v>1297</v>
      </c>
      <c r="B7" t="s">
        <v>166</v>
      </c>
      <c r="C7" t="s">
        <v>87</v>
      </c>
      <c r="D7" t="s">
        <v>1290</v>
      </c>
      <c r="E7">
        <v>1015000</v>
      </c>
      <c r="F7">
        <v>8.83</v>
      </c>
      <c r="G7">
        <v>48</v>
      </c>
      <c r="H7">
        <v>25176</v>
      </c>
      <c r="I7" t="s">
        <v>1298</v>
      </c>
      <c r="J7">
        <v>48</v>
      </c>
      <c r="K7">
        <v>46</v>
      </c>
      <c r="L7">
        <v>2</v>
      </c>
      <c r="M7" t="s">
        <v>1284</v>
      </c>
      <c r="N7">
        <v>378047</v>
      </c>
    </row>
    <row r="8" spans="1:14" x14ac:dyDescent="0.25">
      <c r="A8" t="s">
        <v>1299</v>
      </c>
      <c r="B8" t="s">
        <v>940</v>
      </c>
      <c r="C8" t="s">
        <v>73</v>
      </c>
      <c r="D8" t="s">
        <v>1290</v>
      </c>
      <c r="E8">
        <v>578000</v>
      </c>
      <c r="F8">
        <v>9.91</v>
      </c>
      <c r="G8">
        <v>66</v>
      </c>
      <c r="H8">
        <v>11395</v>
      </c>
      <c r="I8" t="s">
        <v>1300</v>
      </c>
      <c r="J8">
        <v>28</v>
      </c>
      <c r="K8">
        <v>27</v>
      </c>
      <c r="L8">
        <v>1</v>
      </c>
      <c r="M8" t="s">
        <v>1284</v>
      </c>
      <c r="N8">
        <v>408784</v>
      </c>
    </row>
    <row r="9" spans="1:14" x14ac:dyDescent="0.25">
      <c r="A9" t="s">
        <v>1301</v>
      </c>
      <c r="B9" t="s">
        <v>419</v>
      </c>
      <c r="C9" t="s">
        <v>96</v>
      </c>
      <c r="D9" t="s">
        <v>1282</v>
      </c>
      <c r="E9">
        <v>254000</v>
      </c>
      <c r="F9">
        <v>12.54</v>
      </c>
      <c r="G9">
        <v>30</v>
      </c>
      <c r="H9">
        <v>9907</v>
      </c>
      <c r="I9" t="s">
        <v>1302</v>
      </c>
      <c r="J9">
        <v>30</v>
      </c>
      <c r="K9">
        <v>26</v>
      </c>
      <c r="L9">
        <v>4</v>
      </c>
      <c r="M9" t="s">
        <v>1288</v>
      </c>
      <c r="N9">
        <v>112330</v>
      </c>
    </row>
    <row r="10" spans="1:14" x14ac:dyDescent="0.25">
      <c r="A10" t="s">
        <v>1303</v>
      </c>
      <c r="B10" t="s">
        <v>919</v>
      </c>
      <c r="C10" t="s">
        <v>146</v>
      </c>
      <c r="D10" t="s">
        <v>1290</v>
      </c>
      <c r="E10">
        <v>251000</v>
      </c>
      <c r="F10">
        <v>8.52</v>
      </c>
      <c r="G10">
        <v>48</v>
      </c>
      <c r="H10">
        <v>6189</v>
      </c>
      <c r="I10" t="s">
        <v>1304</v>
      </c>
      <c r="J10">
        <v>22</v>
      </c>
      <c r="K10">
        <v>21</v>
      </c>
      <c r="L10">
        <v>1</v>
      </c>
      <c r="M10" t="s">
        <v>1284</v>
      </c>
      <c r="N10">
        <v>179517</v>
      </c>
    </row>
    <row r="11" spans="1:14" x14ac:dyDescent="0.25">
      <c r="A11" t="s">
        <v>1305</v>
      </c>
      <c r="B11" t="s">
        <v>577</v>
      </c>
      <c r="C11" t="s">
        <v>146</v>
      </c>
      <c r="D11" t="s">
        <v>1286</v>
      </c>
      <c r="E11">
        <v>1780000</v>
      </c>
      <c r="F11">
        <v>8.14</v>
      </c>
      <c r="G11">
        <v>108</v>
      </c>
      <c r="H11">
        <v>23303</v>
      </c>
      <c r="I11" t="s">
        <v>1306</v>
      </c>
      <c r="J11">
        <v>16</v>
      </c>
      <c r="K11">
        <v>14</v>
      </c>
      <c r="L11">
        <v>2</v>
      </c>
      <c r="M11" t="s">
        <v>1284</v>
      </c>
      <c r="N11">
        <v>1600567</v>
      </c>
    </row>
    <row r="12" spans="1:14" x14ac:dyDescent="0.25">
      <c r="A12" t="s">
        <v>1307</v>
      </c>
      <c r="B12" t="s">
        <v>256</v>
      </c>
      <c r="C12" t="s">
        <v>51</v>
      </c>
      <c r="D12" t="s">
        <v>1295</v>
      </c>
      <c r="E12">
        <v>1531000</v>
      </c>
      <c r="F12">
        <v>15.78</v>
      </c>
      <c r="G12">
        <v>42</v>
      </c>
      <c r="H12">
        <v>47674</v>
      </c>
      <c r="I12" t="s">
        <v>1308</v>
      </c>
      <c r="J12">
        <v>25</v>
      </c>
      <c r="K12">
        <v>24</v>
      </c>
      <c r="L12">
        <v>1</v>
      </c>
      <c r="M12" t="s">
        <v>1284</v>
      </c>
      <c r="N12">
        <v>901703</v>
      </c>
    </row>
    <row r="13" spans="1:14" x14ac:dyDescent="0.25">
      <c r="A13" t="s">
        <v>1309</v>
      </c>
      <c r="B13" t="s">
        <v>901</v>
      </c>
      <c r="C13" t="s">
        <v>146</v>
      </c>
      <c r="D13" t="s">
        <v>1290</v>
      </c>
      <c r="E13">
        <v>244000</v>
      </c>
      <c r="F13">
        <v>9.3699999999999992</v>
      </c>
      <c r="G13">
        <v>60</v>
      </c>
      <c r="H13">
        <v>5109</v>
      </c>
      <c r="I13" t="s">
        <v>1310</v>
      </c>
      <c r="J13">
        <v>60</v>
      </c>
      <c r="K13">
        <v>56</v>
      </c>
      <c r="L13">
        <v>4</v>
      </c>
      <c r="M13" t="s">
        <v>1288</v>
      </c>
      <c r="N13">
        <v>86643</v>
      </c>
    </row>
    <row r="14" spans="1:14" x14ac:dyDescent="0.25">
      <c r="A14" t="s">
        <v>1311</v>
      </c>
      <c r="B14" t="s">
        <v>551</v>
      </c>
      <c r="C14" t="s">
        <v>87</v>
      </c>
      <c r="D14" t="s">
        <v>1282</v>
      </c>
      <c r="E14">
        <v>529000</v>
      </c>
      <c r="F14">
        <v>14.3</v>
      </c>
      <c r="G14">
        <v>24</v>
      </c>
      <c r="H14">
        <v>25474</v>
      </c>
      <c r="I14" t="s">
        <v>933</v>
      </c>
      <c r="J14">
        <v>24</v>
      </c>
      <c r="K14">
        <v>24</v>
      </c>
      <c r="L14">
        <v>0</v>
      </c>
      <c r="M14" t="s">
        <v>1312</v>
      </c>
      <c r="N14">
        <v>0</v>
      </c>
    </row>
    <row r="15" spans="1:14" x14ac:dyDescent="0.25">
      <c r="A15" t="s">
        <v>1313</v>
      </c>
      <c r="B15" t="s">
        <v>1112</v>
      </c>
      <c r="C15" t="s">
        <v>51</v>
      </c>
      <c r="D15" t="s">
        <v>1295</v>
      </c>
      <c r="E15">
        <v>457000</v>
      </c>
      <c r="F15">
        <v>14.38</v>
      </c>
      <c r="G15">
        <v>42</v>
      </c>
      <c r="H15">
        <v>13912</v>
      </c>
      <c r="I15" t="s">
        <v>1314</v>
      </c>
      <c r="J15">
        <v>38</v>
      </c>
      <c r="K15">
        <v>37</v>
      </c>
      <c r="L15">
        <v>1</v>
      </c>
      <c r="M15" t="s">
        <v>1284</v>
      </c>
      <c r="N15">
        <v>173891</v>
      </c>
    </row>
    <row r="16" spans="1:14" x14ac:dyDescent="0.25">
      <c r="A16" t="s">
        <v>1315</v>
      </c>
      <c r="B16" t="s">
        <v>743</v>
      </c>
      <c r="C16" t="s">
        <v>73</v>
      </c>
      <c r="D16" t="s">
        <v>1282</v>
      </c>
      <c r="E16">
        <v>99000</v>
      </c>
      <c r="F16">
        <v>14.78</v>
      </c>
      <c r="G16">
        <v>18</v>
      </c>
      <c r="H16">
        <v>6166</v>
      </c>
      <c r="I16" t="s">
        <v>1316</v>
      </c>
      <c r="J16">
        <v>18</v>
      </c>
      <c r="K16">
        <v>16</v>
      </c>
      <c r="L16">
        <v>2</v>
      </c>
      <c r="M16" t="s">
        <v>1284</v>
      </c>
      <c r="N16">
        <v>44739</v>
      </c>
    </row>
    <row r="17" spans="1:14" x14ac:dyDescent="0.25">
      <c r="A17" t="s">
        <v>1317</v>
      </c>
      <c r="B17" t="s">
        <v>1250</v>
      </c>
      <c r="C17" t="s">
        <v>96</v>
      </c>
      <c r="D17" t="s">
        <v>1290</v>
      </c>
      <c r="E17">
        <v>423000</v>
      </c>
      <c r="F17">
        <v>10.02</v>
      </c>
      <c r="G17">
        <v>30</v>
      </c>
      <c r="H17">
        <v>15998</v>
      </c>
      <c r="I17" t="s">
        <v>116</v>
      </c>
      <c r="J17">
        <v>30</v>
      </c>
      <c r="K17">
        <v>29</v>
      </c>
      <c r="L17">
        <v>1</v>
      </c>
      <c r="M17" t="s">
        <v>1312</v>
      </c>
      <c r="N17">
        <v>0</v>
      </c>
    </row>
    <row r="18" spans="1:14" x14ac:dyDescent="0.25">
      <c r="A18" t="s">
        <v>1318</v>
      </c>
      <c r="B18" t="s">
        <v>440</v>
      </c>
      <c r="C18" t="s">
        <v>146</v>
      </c>
      <c r="D18" t="s">
        <v>1282</v>
      </c>
      <c r="E18">
        <v>309000</v>
      </c>
      <c r="F18">
        <v>13.05</v>
      </c>
      <c r="G18">
        <v>30</v>
      </c>
      <c r="H18">
        <v>12127</v>
      </c>
      <c r="I18" t="s">
        <v>1319</v>
      </c>
      <c r="J18">
        <v>30</v>
      </c>
      <c r="K18">
        <v>28</v>
      </c>
      <c r="L18">
        <v>2</v>
      </c>
      <c r="M18" t="s">
        <v>1284</v>
      </c>
      <c r="N18">
        <v>122244</v>
      </c>
    </row>
    <row r="19" spans="1:14" x14ac:dyDescent="0.25">
      <c r="A19" t="s">
        <v>1320</v>
      </c>
      <c r="B19" t="s">
        <v>259</v>
      </c>
      <c r="C19" t="s">
        <v>146</v>
      </c>
      <c r="D19" t="s">
        <v>1282</v>
      </c>
      <c r="E19">
        <v>168000</v>
      </c>
      <c r="F19">
        <v>12.44</v>
      </c>
      <c r="G19">
        <v>24</v>
      </c>
      <c r="H19">
        <v>7943</v>
      </c>
      <c r="I19" t="s">
        <v>1321</v>
      </c>
      <c r="J19">
        <v>22</v>
      </c>
      <c r="K19">
        <v>21</v>
      </c>
      <c r="L19">
        <v>1</v>
      </c>
      <c r="M19" t="s">
        <v>1284</v>
      </c>
      <c r="N19">
        <v>76258</v>
      </c>
    </row>
    <row r="20" spans="1:14" x14ac:dyDescent="0.25">
      <c r="A20" t="s">
        <v>1322</v>
      </c>
      <c r="B20" t="s">
        <v>1056</v>
      </c>
      <c r="C20" t="s">
        <v>146</v>
      </c>
      <c r="D20" t="s">
        <v>1282</v>
      </c>
      <c r="E20">
        <v>205000</v>
      </c>
      <c r="F20">
        <v>13.46</v>
      </c>
      <c r="G20">
        <v>36</v>
      </c>
      <c r="H20">
        <v>6953</v>
      </c>
      <c r="I20" t="s">
        <v>1323</v>
      </c>
      <c r="J20">
        <v>36</v>
      </c>
      <c r="K20">
        <v>36</v>
      </c>
      <c r="L20">
        <v>0</v>
      </c>
      <c r="M20" t="s">
        <v>1312</v>
      </c>
      <c r="N20">
        <v>0</v>
      </c>
    </row>
    <row r="21" spans="1:14" x14ac:dyDescent="0.25">
      <c r="A21" t="s">
        <v>1324</v>
      </c>
      <c r="B21" t="s">
        <v>981</v>
      </c>
      <c r="C21" t="s">
        <v>73</v>
      </c>
      <c r="D21" t="s">
        <v>1290</v>
      </c>
      <c r="E21">
        <v>593000</v>
      </c>
      <c r="F21">
        <v>9.98</v>
      </c>
      <c r="G21">
        <v>54</v>
      </c>
      <c r="H21">
        <v>13676</v>
      </c>
      <c r="I21" t="s">
        <v>1325</v>
      </c>
      <c r="J21">
        <v>54</v>
      </c>
      <c r="K21">
        <v>52</v>
      </c>
      <c r="L21">
        <v>2</v>
      </c>
      <c r="M21" t="s">
        <v>1284</v>
      </c>
      <c r="N21">
        <v>201866</v>
      </c>
    </row>
    <row r="22" spans="1:14" x14ac:dyDescent="0.25">
      <c r="A22" t="s">
        <v>1326</v>
      </c>
      <c r="B22" t="s">
        <v>244</v>
      </c>
      <c r="C22" t="s">
        <v>96</v>
      </c>
      <c r="D22" t="s">
        <v>1282</v>
      </c>
      <c r="E22">
        <v>345000</v>
      </c>
      <c r="F22">
        <v>13.66</v>
      </c>
      <c r="G22">
        <v>30</v>
      </c>
      <c r="H22">
        <v>13640</v>
      </c>
      <c r="I22" t="s">
        <v>1327</v>
      </c>
      <c r="J22">
        <v>30</v>
      </c>
      <c r="K22">
        <v>28</v>
      </c>
      <c r="L22">
        <v>2</v>
      </c>
      <c r="M22" t="s">
        <v>1284</v>
      </c>
      <c r="N22">
        <v>134944</v>
      </c>
    </row>
    <row r="23" spans="1:14" x14ac:dyDescent="0.25">
      <c r="A23" t="s">
        <v>1328</v>
      </c>
      <c r="B23" t="s">
        <v>500</v>
      </c>
      <c r="C23" t="s">
        <v>146</v>
      </c>
      <c r="D23" t="s">
        <v>1295</v>
      </c>
      <c r="E23">
        <v>2444000</v>
      </c>
      <c r="F23">
        <v>13.67</v>
      </c>
      <c r="G23">
        <v>84</v>
      </c>
      <c r="H23">
        <v>45356</v>
      </c>
      <c r="I23" t="s">
        <v>1034</v>
      </c>
      <c r="J23">
        <v>17</v>
      </c>
      <c r="K23">
        <v>17</v>
      </c>
      <c r="L23">
        <v>0</v>
      </c>
      <c r="M23" t="s">
        <v>1284</v>
      </c>
      <c r="N23">
        <v>2019921</v>
      </c>
    </row>
    <row r="24" spans="1:14" x14ac:dyDescent="0.25">
      <c r="A24" t="s">
        <v>1329</v>
      </c>
      <c r="B24" t="s">
        <v>1260</v>
      </c>
      <c r="C24" t="s">
        <v>146</v>
      </c>
      <c r="D24" t="s">
        <v>1295</v>
      </c>
      <c r="E24">
        <v>1457000</v>
      </c>
      <c r="F24">
        <v>14.07</v>
      </c>
      <c r="G24">
        <v>42</v>
      </c>
      <c r="H24">
        <v>44129</v>
      </c>
      <c r="I24" t="s">
        <v>1330</v>
      </c>
      <c r="J24">
        <v>28</v>
      </c>
      <c r="K24">
        <v>28</v>
      </c>
      <c r="L24">
        <v>0</v>
      </c>
      <c r="M24" t="s">
        <v>1284</v>
      </c>
      <c r="N24">
        <v>777413</v>
      </c>
    </row>
    <row r="25" spans="1:14" x14ac:dyDescent="0.25">
      <c r="A25" t="s">
        <v>1331</v>
      </c>
      <c r="B25" t="s">
        <v>1245</v>
      </c>
      <c r="C25" t="s">
        <v>87</v>
      </c>
      <c r="D25" t="s">
        <v>1295</v>
      </c>
      <c r="E25">
        <v>1459000</v>
      </c>
      <c r="F25">
        <v>13.06</v>
      </c>
      <c r="G25">
        <v>30</v>
      </c>
      <c r="H25">
        <v>57266</v>
      </c>
      <c r="I25" t="s">
        <v>1167</v>
      </c>
      <c r="J25">
        <v>20</v>
      </c>
      <c r="K25">
        <v>15</v>
      </c>
      <c r="L25">
        <v>5</v>
      </c>
      <c r="M25" t="s">
        <v>1288</v>
      </c>
      <c r="N25">
        <v>986556</v>
      </c>
    </row>
    <row r="26" spans="1:14" x14ac:dyDescent="0.25">
      <c r="A26" t="s">
        <v>1332</v>
      </c>
      <c r="B26" t="s">
        <v>178</v>
      </c>
      <c r="C26" t="s">
        <v>87</v>
      </c>
      <c r="D26" t="s">
        <v>1295</v>
      </c>
      <c r="E26">
        <v>766000</v>
      </c>
      <c r="F26">
        <v>13.68</v>
      </c>
      <c r="G26">
        <v>84</v>
      </c>
      <c r="H26">
        <v>14220</v>
      </c>
      <c r="I26" t="s">
        <v>1333</v>
      </c>
      <c r="J26">
        <v>80</v>
      </c>
      <c r="K26">
        <v>74</v>
      </c>
      <c r="L26">
        <v>6</v>
      </c>
      <c r="M26" t="s">
        <v>1288</v>
      </c>
      <c r="N26">
        <v>187246</v>
      </c>
    </row>
    <row r="27" spans="1:14" x14ac:dyDescent="0.25">
      <c r="A27" t="s">
        <v>1334</v>
      </c>
      <c r="B27" t="s">
        <v>964</v>
      </c>
      <c r="C27" t="s">
        <v>73</v>
      </c>
      <c r="D27" t="s">
        <v>1290</v>
      </c>
      <c r="E27">
        <v>408000</v>
      </c>
      <c r="F27">
        <v>10.15</v>
      </c>
      <c r="G27">
        <v>54</v>
      </c>
      <c r="H27">
        <v>9443</v>
      </c>
      <c r="I27" t="s">
        <v>1335</v>
      </c>
      <c r="J27">
        <v>48</v>
      </c>
      <c r="K27">
        <v>44</v>
      </c>
      <c r="L27">
        <v>4</v>
      </c>
      <c r="M27" t="s">
        <v>1288</v>
      </c>
      <c r="N27">
        <v>179479</v>
      </c>
    </row>
    <row r="28" spans="1:14" x14ac:dyDescent="0.25">
      <c r="A28" t="s">
        <v>1336</v>
      </c>
      <c r="B28" t="s">
        <v>840</v>
      </c>
      <c r="C28" t="s">
        <v>96</v>
      </c>
      <c r="D28" t="s">
        <v>1282</v>
      </c>
      <c r="E28">
        <v>537000</v>
      </c>
      <c r="F28">
        <v>14.2</v>
      </c>
      <c r="G28">
        <v>24</v>
      </c>
      <c r="H28">
        <v>25834</v>
      </c>
      <c r="I28" t="s">
        <v>1337</v>
      </c>
      <c r="J28">
        <v>24</v>
      </c>
      <c r="K28">
        <v>23</v>
      </c>
      <c r="L28">
        <v>1</v>
      </c>
      <c r="M28" t="s">
        <v>1312</v>
      </c>
      <c r="N28">
        <v>0</v>
      </c>
    </row>
    <row r="29" spans="1:14" x14ac:dyDescent="0.25">
      <c r="A29" t="s">
        <v>1338</v>
      </c>
      <c r="B29" t="s">
        <v>665</v>
      </c>
      <c r="C29" t="s">
        <v>73</v>
      </c>
      <c r="D29" t="s">
        <v>1286</v>
      </c>
      <c r="E29">
        <v>3317000</v>
      </c>
      <c r="F29">
        <v>7.82</v>
      </c>
      <c r="G29">
        <v>150</v>
      </c>
      <c r="H29">
        <v>34721</v>
      </c>
      <c r="I29" t="s">
        <v>1339</v>
      </c>
      <c r="J29">
        <v>50</v>
      </c>
      <c r="K29">
        <v>44</v>
      </c>
      <c r="L29">
        <v>6</v>
      </c>
      <c r="M29" t="s">
        <v>1288</v>
      </c>
      <c r="N29">
        <v>2476752</v>
      </c>
    </row>
    <row r="30" spans="1:14" x14ac:dyDescent="0.25">
      <c r="A30" t="s">
        <v>1340</v>
      </c>
      <c r="B30" t="s">
        <v>776</v>
      </c>
      <c r="C30" t="s">
        <v>96</v>
      </c>
      <c r="D30" t="s">
        <v>1290</v>
      </c>
      <c r="E30">
        <v>185000</v>
      </c>
      <c r="F30">
        <v>9.01</v>
      </c>
      <c r="G30">
        <v>24</v>
      </c>
      <c r="H30">
        <v>8453</v>
      </c>
      <c r="I30" t="s">
        <v>1341</v>
      </c>
      <c r="J30">
        <v>24</v>
      </c>
      <c r="K30">
        <v>22</v>
      </c>
      <c r="L30">
        <v>2</v>
      </c>
      <c r="M30" t="s">
        <v>1284</v>
      </c>
      <c r="N30">
        <v>82719</v>
      </c>
    </row>
    <row r="31" spans="1:14" x14ac:dyDescent="0.25">
      <c r="A31" t="s">
        <v>1342</v>
      </c>
      <c r="B31" t="s">
        <v>548</v>
      </c>
      <c r="C31" t="s">
        <v>51</v>
      </c>
      <c r="D31" t="s">
        <v>1290</v>
      </c>
      <c r="E31">
        <v>749000</v>
      </c>
      <c r="F31">
        <v>8.81</v>
      </c>
      <c r="G31">
        <v>24</v>
      </c>
      <c r="H31">
        <v>34153</v>
      </c>
      <c r="I31" t="s">
        <v>1343</v>
      </c>
      <c r="J31">
        <v>24</v>
      </c>
      <c r="K31">
        <v>21</v>
      </c>
      <c r="L31">
        <v>3</v>
      </c>
      <c r="M31" t="s">
        <v>1288</v>
      </c>
      <c r="N31">
        <v>354533</v>
      </c>
    </row>
    <row r="32" spans="1:14" x14ac:dyDescent="0.25">
      <c r="A32" t="s">
        <v>1344</v>
      </c>
      <c r="B32" t="s">
        <v>767</v>
      </c>
      <c r="C32" t="s">
        <v>146</v>
      </c>
      <c r="D32" t="s">
        <v>1282</v>
      </c>
      <c r="E32">
        <v>105000</v>
      </c>
      <c r="F32">
        <v>14.99</v>
      </c>
      <c r="G32">
        <v>30</v>
      </c>
      <c r="H32">
        <v>4218</v>
      </c>
      <c r="I32" t="s">
        <v>1345</v>
      </c>
      <c r="J32">
        <v>25</v>
      </c>
      <c r="K32">
        <v>21</v>
      </c>
      <c r="L32">
        <v>4</v>
      </c>
      <c r="M32" t="s">
        <v>1288</v>
      </c>
      <c r="N32">
        <v>56282</v>
      </c>
    </row>
    <row r="33" spans="1:14" x14ac:dyDescent="0.25">
      <c r="A33" t="s">
        <v>1346</v>
      </c>
      <c r="B33" t="s">
        <v>127</v>
      </c>
      <c r="C33" t="s">
        <v>87</v>
      </c>
      <c r="D33" t="s">
        <v>1295</v>
      </c>
      <c r="E33">
        <v>1015000</v>
      </c>
      <c r="F33">
        <v>11.32</v>
      </c>
      <c r="G33">
        <v>72</v>
      </c>
      <c r="H33">
        <v>19486</v>
      </c>
      <c r="I33" t="s">
        <v>1347</v>
      </c>
      <c r="J33">
        <v>55</v>
      </c>
      <c r="K33">
        <v>46</v>
      </c>
      <c r="L33">
        <v>9</v>
      </c>
      <c r="M33" t="s">
        <v>1288</v>
      </c>
      <c r="N33">
        <v>522004</v>
      </c>
    </row>
    <row r="34" spans="1:14" x14ac:dyDescent="0.25">
      <c r="A34" t="s">
        <v>1348</v>
      </c>
      <c r="B34" t="s">
        <v>804</v>
      </c>
      <c r="C34" t="s">
        <v>51</v>
      </c>
      <c r="D34" t="s">
        <v>1290</v>
      </c>
      <c r="E34">
        <v>687000</v>
      </c>
      <c r="F34">
        <v>10.24</v>
      </c>
      <c r="G34">
        <v>18</v>
      </c>
      <c r="H34">
        <v>41335</v>
      </c>
      <c r="I34" t="s">
        <v>1349</v>
      </c>
      <c r="J34">
        <v>18</v>
      </c>
      <c r="K34">
        <v>18</v>
      </c>
      <c r="L34">
        <v>0</v>
      </c>
      <c r="M34" t="s">
        <v>1312</v>
      </c>
      <c r="N34">
        <v>0</v>
      </c>
    </row>
    <row r="35" spans="1:14" x14ac:dyDescent="0.25">
      <c r="A35" t="s">
        <v>1350</v>
      </c>
      <c r="B35" t="s">
        <v>1145</v>
      </c>
      <c r="C35" t="s">
        <v>146</v>
      </c>
      <c r="D35" t="s">
        <v>1290</v>
      </c>
      <c r="E35">
        <v>633000</v>
      </c>
      <c r="F35">
        <v>8.83</v>
      </c>
      <c r="G35">
        <v>24</v>
      </c>
      <c r="H35">
        <v>28869</v>
      </c>
      <c r="I35" t="s">
        <v>1351</v>
      </c>
      <c r="J35">
        <v>24</v>
      </c>
      <c r="K35">
        <v>22</v>
      </c>
      <c r="L35">
        <v>2</v>
      </c>
      <c r="M35" t="s">
        <v>1284</v>
      </c>
      <c r="N35">
        <v>283685</v>
      </c>
    </row>
    <row r="36" spans="1:14" x14ac:dyDescent="0.25">
      <c r="A36" t="s">
        <v>1352</v>
      </c>
      <c r="B36" t="s">
        <v>268</v>
      </c>
      <c r="C36" t="s">
        <v>73</v>
      </c>
      <c r="D36" t="s">
        <v>1286</v>
      </c>
      <c r="E36">
        <v>2447000</v>
      </c>
      <c r="F36">
        <v>7.6</v>
      </c>
      <c r="G36">
        <v>102</v>
      </c>
      <c r="H36">
        <v>32641</v>
      </c>
      <c r="I36" t="s">
        <v>1353</v>
      </c>
      <c r="J36">
        <v>25</v>
      </c>
      <c r="K36">
        <v>22</v>
      </c>
      <c r="L36">
        <v>3</v>
      </c>
      <c r="M36" t="s">
        <v>1288</v>
      </c>
      <c r="N36">
        <v>2052044</v>
      </c>
    </row>
    <row r="37" spans="1:14" x14ac:dyDescent="0.25">
      <c r="A37" t="s">
        <v>1354</v>
      </c>
      <c r="B37" t="s">
        <v>1154</v>
      </c>
      <c r="C37" t="s">
        <v>146</v>
      </c>
      <c r="D37" t="s">
        <v>1295</v>
      </c>
      <c r="E37">
        <v>1880000</v>
      </c>
      <c r="F37">
        <v>15.7</v>
      </c>
      <c r="G37">
        <v>42</v>
      </c>
      <c r="H37">
        <v>58466</v>
      </c>
      <c r="I37" t="s">
        <v>559</v>
      </c>
      <c r="J37">
        <v>42</v>
      </c>
      <c r="K37">
        <v>40</v>
      </c>
      <c r="L37">
        <v>2</v>
      </c>
      <c r="M37" t="s">
        <v>1284</v>
      </c>
      <c r="N37">
        <v>593748</v>
      </c>
    </row>
    <row r="38" spans="1:14" x14ac:dyDescent="0.25">
      <c r="A38" t="s">
        <v>1355</v>
      </c>
      <c r="B38" t="s">
        <v>241</v>
      </c>
      <c r="C38" t="s">
        <v>73</v>
      </c>
      <c r="D38" t="s">
        <v>1286</v>
      </c>
      <c r="E38">
        <v>934000</v>
      </c>
      <c r="F38">
        <v>8.36</v>
      </c>
      <c r="G38">
        <v>108</v>
      </c>
      <c r="H38">
        <v>12334</v>
      </c>
      <c r="I38" t="s">
        <v>1356</v>
      </c>
      <c r="J38">
        <v>39</v>
      </c>
      <c r="K38">
        <v>36</v>
      </c>
      <c r="L38">
        <v>3</v>
      </c>
      <c r="M38" t="s">
        <v>1288</v>
      </c>
      <c r="N38">
        <v>689787</v>
      </c>
    </row>
    <row r="39" spans="1:14" x14ac:dyDescent="0.25">
      <c r="A39" t="s">
        <v>1357</v>
      </c>
      <c r="B39" t="s">
        <v>704</v>
      </c>
      <c r="C39" t="s">
        <v>87</v>
      </c>
      <c r="D39" t="s">
        <v>1290</v>
      </c>
      <c r="E39">
        <v>1022000</v>
      </c>
      <c r="F39">
        <v>10.1</v>
      </c>
      <c r="G39">
        <v>42</v>
      </c>
      <c r="H39">
        <v>28988</v>
      </c>
      <c r="I39" t="s">
        <v>1358</v>
      </c>
      <c r="J39">
        <v>42</v>
      </c>
      <c r="K39">
        <v>40</v>
      </c>
      <c r="L39">
        <v>2</v>
      </c>
      <c r="M39" t="s">
        <v>1284</v>
      </c>
      <c r="N39">
        <v>384264</v>
      </c>
    </row>
    <row r="40" spans="1:14" x14ac:dyDescent="0.25">
      <c r="A40" t="s">
        <v>1359</v>
      </c>
      <c r="B40" t="s">
        <v>787</v>
      </c>
      <c r="C40" t="s">
        <v>51</v>
      </c>
      <c r="D40" t="s">
        <v>1282</v>
      </c>
      <c r="E40">
        <v>132000</v>
      </c>
      <c r="F40">
        <v>11.27</v>
      </c>
      <c r="G40">
        <v>36</v>
      </c>
      <c r="H40">
        <v>4338</v>
      </c>
      <c r="I40" t="s">
        <v>1360</v>
      </c>
      <c r="J40">
        <v>31</v>
      </c>
      <c r="K40">
        <v>30</v>
      </c>
      <c r="L40">
        <v>1</v>
      </c>
      <c r="M40" t="s">
        <v>1284</v>
      </c>
      <c r="N40">
        <v>60423</v>
      </c>
    </row>
    <row r="41" spans="1:14" x14ac:dyDescent="0.25">
      <c r="A41" t="s">
        <v>1361</v>
      </c>
      <c r="B41" t="s">
        <v>353</v>
      </c>
      <c r="C41" t="s">
        <v>96</v>
      </c>
      <c r="D41" t="s">
        <v>1286</v>
      </c>
      <c r="E41">
        <v>2264000</v>
      </c>
      <c r="F41">
        <v>7.57</v>
      </c>
      <c r="G41">
        <v>96</v>
      </c>
      <c r="H41">
        <v>31513</v>
      </c>
      <c r="I41" t="s">
        <v>1362</v>
      </c>
      <c r="J41">
        <v>20</v>
      </c>
      <c r="K41">
        <v>18</v>
      </c>
      <c r="L41">
        <v>2</v>
      </c>
      <c r="M41" t="s">
        <v>1284</v>
      </c>
      <c r="N41">
        <v>1952021</v>
      </c>
    </row>
    <row r="42" spans="1:14" x14ac:dyDescent="0.25">
      <c r="A42" t="s">
        <v>1363</v>
      </c>
      <c r="B42" t="s">
        <v>644</v>
      </c>
      <c r="C42" t="s">
        <v>146</v>
      </c>
      <c r="D42" t="s">
        <v>1295</v>
      </c>
      <c r="E42">
        <v>2125000</v>
      </c>
      <c r="F42">
        <v>13.58</v>
      </c>
      <c r="G42">
        <v>48</v>
      </c>
      <c r="H42">
        <v>57622</v>
      </c>
      <c r="I42" t="s">
        <v>1364</v>
      </c>
      <c r="J42">
        <v>33</v>
      </c>
      <c r="K42">
        <v>32</v>
      </c>
      <c r="L42">
        <v>1</v>
      </c>
      <c r="M42" t="s">
        <v>1284</v>
      </c>
      <c r="N42">
        <v>1110853</v>
      </c>
    </row>
    <row r="43" spans="1:14" x14ac:dyDescent="0.25">
      <c r="A43" t="s">
        <v>1365</v>
      </c>
      <c r="B43" t="s">
        <v>615</v>
      </c>
      <c r="C43" t="s">
        <v>146</v>
      </c>
      <c r="D43" t="s">
        <v>1282</v>
      </c>
      <c r="E43">
        <v>224000</v>
      </c>
      <c r="F43">
        <v>14.08</v>
      </c>
      <c r="G43">
        <v>12</v>
      </c>
      <c r="H43">
        <v>20121</v>
      </c>
      <c r="I43" t="s">
        <v>1366</v>
      </c>
      <c r="J43">
        <v>12</v>
      </c>
      <c r="K43">
        <v>12</v>
      </c>
      <c r="L43">
        <v>0</v>
      </c>
      <c r="M43" t="s">
        <v>1312</v>
      </c>
      <c r="N43">
        <v>0</v>
      </c>
    </row>
    <row r="44" spans="1:14" x14ac:dyDescent="0.25">
      <c r="A44" t="s">
        <v>1367</v>
      </c>
      <c r="B44" t="s">
        <v>819</v>
      </c>
      <c r="C44" t="s">
        <v>146</v>
      </c>
      <c r="D44" t="s">
        <v>1282</v>
      </c>
      <c r="E44">
        <v>168000</v>
      </c>
      <c r="F44">
        <v>13.06</v>
      </c>
      <c r="G44">
        <v>30</v>
      </c>
      <c r="H44">
        <v>6594</v>
      </c>
      <c r="I44" t="s">
        <v>1368</v>
      </c>
      <c r="J44">
        <v>30</v>
      </c>
      <c r="K44">
        <v>28</v>
      </c>
      <c r="L44">
        <v>2</v>
      </c>
      <c r="M44" t="s">
        <v>1284</v>
      </c>
      <c r="N44">
        <v>66452</v>
      </c>
    </row>
    <row r="45" spans="1:14" x14ac:dyDescent="0.25">
      <c r="A45" t="s">
        <v>1369</v>
      </c>
      <c r="B45" t="s">
        <v>991</v>
      </c>
      <c r="C45" t="s">
        <v>146</v>
      </c>
      <c r="D45" t="s">
        <v>1282</v>
      </c>
      <c r="E45">
        <v>328000</v>
      </c>
      <c r="F45">
        <v>11.42</v>
      </c>
      <c r="G45">
        <v>36</v>
      </c>
      <c r="H45">
        <v>10804</v>
      </c>
      <c r="I45" t="s">
        <v>284</v>
      </c>
      <c r="J45">
        <v>36</v>
      </c>
      <c r="K45">
        <v>34</v>
      </c>
      <c r="L45">
        <v>2</v>
      </c>
      <c r="M45" t="s">
        <v>1284</v>
      </c>
      <c r="N45">
        <v>125965</v>
      </c>
    </row>
    <row r="46" spans="1:14" x14ac:dyDescent="0.25">
      <c r="A46" t="s">
        <v>1370</v>
      </c>
      <c r="B46" t="s">
        <v>413</v>
      </c>
      <c r="C46" t="s">
        <v>96</v>
      </c>
      <c r="D46" t="s">
        <v>1295</v>
      </c>
      <c r="E46">
        <v>2042000</v>
      </c>
      <c r="F46">
        <v>14.49</v>
      </c>
      <c r="G46">
        <v>36</v>
      </c>
      <c r="H46">
        <v>70278</v>
      </c>
      <c r="I46" t="s">
        <v>1371</v>
      </c>
      <c r="J46">
        <v>36</v>
      </c>
      <c r="K46">
        <v>35</v>
      </c>
      <c r="L46">
        <v>1</v>
      </c>
      <c r="M46" t="s">
        <v>1312</v>
      </c>
      <c r="N46">
        <v>0</v>
      </c>
    </row>
    <row r="47" spans="1:14" x14ac:dyDescent="0.25">
      <c r="A47" t="s">
        <v>1372</v>
      </c>
      <c r="B47" t="s">
        <v>1165</v>
      </c>
      <c r="C47" t="s">
        <v>87</v>
      </c>
      <c r="D47" t="s">
        <v>1282</v>
      </c>
      <c r="E47">
        <v>159000</v>
      </c>
      <c r="F47">
        <v>12.72</v>
      </c>
      <c r="G47">
        <v>18</v>
      </c>
      <c r="H47">
        <v>9749</v>
      </c>
      <c r="I47" t="s">
        <v>1373</v>
      </c>
      <c r="J47">
        <v>18</v>
      </c>
      <c r="K47">
        <v>16</v>
      </c>
      <c r="L47">
        <v>2</v>
      </c>
      <c r="M47" t="s">
        <v>1284</v>
      </c>
      <c r="N47">
        <v>73209</v>
      </c>
    </row>
    <row r="48" spans="1:14" x14ac:dyDescent="0.25">
      <c r="A48" t="s">
        <v>1374</v>
      </c>
      <c r="B48" t="s">
        <v>473</v>
      </c>
      <c r="C48" t="s">
        <v>51</v>
      </c>
      <c r="D48" t="s">
        <v>1295</v>
      </c>
      <c r="E48">
        <v>911000</v>
      </c>
      <c r="F48">
        <v>15.69</v>
      </c>
      <c r="G48">
        <v>12</v>
      </c>
      <c r="H48">
        <v>82522</v>
      </c>
      <c r="I48" t="s">
        <v>1375</v>
      </c>
      <c r="J48">
        <v>12</v>
      </c>
      <c r="K48">
        <v>11</v>
      </c>
      <c r="L48">
        <v>1</v>
      </c>
      <c r="M48" t="s">
        <v>1312</v>
      </c>
      <c r="N48">
        <v>0</v>
      </c>
    </row>
    <row r="49" spans="1:14" x14ac:dyDescent="0.25">
      <c r="A49" t="s">
        <v>1376</v>
      </c>
      <c r="B49" t="s">
        <v>793</v>
      </c>
      <c r="C49" t="s">
        <v>96</v>
      </c>
      <c r="D49" t="s">
        <v>1295</v>
      </c>
      <c r="E49">
        <v>1736000</v>
      </c>
      <c r="F49">
        <v>15.72</v>
      </c>
      <c r="G49">
        <v>12</v>
      </c>
      <c r="H49">
        <v>157279</v>
      </c>
      <c r="I49" t="s">
        <v>1377</v>
      </c>
      <c r="J49">
        <v>12</v>
      </c>
      <c r="K49">
        <v>9</v>
      </c>
      <c r="L49">
        <v>3</v>
      </c>
      <c r="M49" t="s">
        <v>1288</v>
      </c>
      <c r="N49">
        <v>957469</v>
      </c>
    </row>
    <row r="50" spans="1:14" x14ac:dyDescent="0.25">
      <c r="A50" t="s">
        <v>1378</v>
      </c>
      <c r="B50" t="s">
        <v>172</v>
      </c>
      <c r="C50" t="s">
        <v>146</v>
      </c>
      <c r="D50" t="s">
        <v>1295</v>
      </c>
      <c r="E50">
        <v>1963000</v>
      </c>
      <c r="F50">
        <v>14.96</v>
      </c>
      <c r="G50">
        <v>72</v>
      </c>
      <c r="H50">
        <v>41465</v>
      </c>
      <c r="I50" t="s">
        <v>565</v>
      </c>
      <c r="J50">
        <v>26</v>
      </c>
      <c r="K50">
        <v>25</v>
      </c>
      <c r="L50">
        <v>1</v>
      </c>
      <c r="M50" t="s">
        <v>1284</v>
      </c>
      <c r="N50">
        <v>1392856</v>
      </c>
    </row>
    <row r="51" spans="1:14" x14ac:dyDescent="0.25">
      <c r="A51" t="s">
        <v>1379</v>
      </c>
      <c r="B51" t="s">
        <v>211</v>
      </c>
      <c r="C51" t="s">
        <v>146</v>
      </c>
      <c r="D51" t="s">
        <v>1286</v>
      </c>
      <c r="E51">
        <v>1793000</v>
      </c>
      <c r="F51">
        <v>8.77</v>
      </c>
      <c r="G51">
        <v>132</v>
      </c>
      <c r="H51">
        <v>21219</v>
      </c>
      <c r="I51" t="s">
        <v>1380</v>
      </c>
      <c r="J51">
        <v>39</v>
      </c>
      <c r="K51">
        <v>36</v>
      </c>
      <c r="L51">
        <v>3</v>
      </c>
      <c r="M51" t="s">
        <v>1288</v>
      </c>
      <c r="N51">
        <v>1372864</v>
      </c>
    </row>
    <row r="52" spans="1:14" x14ac:dyDescent="0.25">
      <c r="A52" t="s">
        <v>1381</v>
      </c>
      <c r="B52" t="s">
        <v>89</v>
      </c>
      <c r="C52" t="s">
        <v>87</v>
      </c>
      <c r="D52" t="s">
        <v>1290</v>
      </c>
      <c r="E52">
        <v>502000</v>
      </c>
      <c r="F52">
        <v>10.57</v>
      </c>
      <c r="G52">
        <v>24</v>
      </c>
      <c r="H52">
        <v>23297</v>
      </c>
      <c r="I52" t="s">
        <v>1073</v>
      </c>
      <c r="J52">
        <v>24</v>
      </c>
      <c r="K52">
        <v>23</v>
      </c>
      <c r="L52">
        <v>1</v>
      </c>
      <c r="M52" t="s">
        <v>1312</v>
      </c>
      <c r="N52">
        <v>0</v>
      </c>
    </row>
    <row r="53" spans="1:14" x14ac:dyDescent="0.25">
      <c r="A53" t="s">
        <v>1382</v>
      </c>
      <c r="B53" t="s">
        <v>154</v>
      </c>
      <c r="C53" t="s">
        <v>146</v>
      </c>
      <c r="D53" t="s">
        <v>1282</v>
      </c>
      <c r="E53">
        <v>440000</v>
      </c>
      <c r="F53">
        <v>13.04</v>
      </c>
      <c r="G53">
        <v>48</v>
      </c>
      <c r="H53">
        <v>11813</v>
      </c>
      <c r="I53" t="s">
        <v>1383</v>
      </c>
      <c r="J53">
        <v>48</v>
      </c>
      <c r="K53">
        <v>46</v>
      </c>
      <c r="L53">
        <v>2</v>
      </c>
      <c r="M53" t="s">
        <v>1284</v>
      </c>
      <c r="N53">
        <v>141131</v>
      </c>
    </row>
    <row r="54" spans="1:14" x14ac:dyDescent="0.25">
      <c r="A54" t="s">
        <v>1384</v>
      </c>
      <c r="B54" t="s">
        <v>563</v>
      </c>
      <c r="C54" t="s">
        <v>87</v>
      </c>
      <c r="D54" t="s">
        <v>1290</v>
      </c>
      <c r="E54">
        <v>329000</v>
      </c>
      <c r="F54">
        <v>10</v>
      </c>
      <c r="G54">
        <v>42</v>
      </c>
      <c r="H54">
        <v>9316</v>
      </c>
      <c r="I54" t="s">
        <v>1385</v>
      </c>
      <c r="J54">
        <v>42</v>
      </c>
      <c r="K54">
        <v>37</v>
      </c>
      <c r="L54">
        <v>5</v>
      </c>
      <c r="M54" t="s">
        <v>1288</v>
      </c>
      <c r="N54">
        <v>139419</v>
      </c>
    </row>
    <row r="55" spans="1:14" x14ac:dyDescent="0.25">
      <c r="A55" t="s">
        <v>1386</v>
      </c>
      <c r="B55" t="s">
        <v>1189</v>
      </c>
      <c r="C55" t="s">
        <v>73</v>
      </c>
      <c r="D55" t="s">
        <v>1295</v>
      </c>
      <c r="E55">
        <v>1636000</v>
      </c>
      <c r="F55">
        <v>14.43</v>
      </c>
      <c r="G55">
        <v>42</v>
      </c>
      <c r="H55">
        <v>49842</v>
      </c>
      <c r="I55" t="s">
        <v>1356</v>
      </c>
      <c r="J55">
        <v>39</v>
      </c>
      <c r="K55">
        <v>38</v>
      </c>
      <c r="L55">
        <v>1</v>
      </c>
      <c r="M55" t="s">
        <v>1284</v>
      </c>
      <c r="N55">
        <v>594302</v>
      </c>
    </row>
    <row r="56" spans="1:14" x14ac:dyDescent="0.25">
      <c r="A56" t="s">
        <v>1387</v>
      </c>
      <c r="B56" t="s">
        <v>713</v>
      </c>
      <c r="C56" t="s">
        <v>51</v>
      </c>
      <c r="D56" t="s">
        <v>1290</v>
      </c>
      <c r="E56">
        <v>220000</v>
      </c>
      <c r="F56">
        <v>9.1199999999999992</v>
      </c>
      <c r="G56">
        <v>72</v>
      </c>
      <c r="H56">
        <v>3979</v>
      </c>
      <c r="I56" t="s">
        <v>1388</v>
      </c>
      <c r="J56">
        <v>72</v>
      </c>
      <c r="K56">
        <v>68</v>
      </c>
      <c r="L56">
        <v>4</v>
      </c>
      <c r="M56" t="s">
        <v>1288</v>
      </c>
      <c r="N56">
        <v>71185</v>
      </c>
    </row>
    <row r="57" spans="1:14" x14ac:dyDescent="0.25">
      <c r="A57" t="s">
        <v>1389</v>
      </c>
      <c r="B57" t="s">
        <v>731</v>
      </c>
      <c r="C57" t="s">
        <v>73</v>
      </c>
      <c r="D57" t="s">
        <v>1286</v>
      </c>
      <c r="E57">
        <v>2595000</v>
      </c>
      <c r="F57">
        <v>8.7799999999999994</v>
      </c>
      <c r="G57">
        <v>132</v>
      </c>
      <c r="H57">
        <v>30724</v>
      </c>
      <c r="I57" t="s">
        <v>1390</v>
      </c>
      <c r="J57">
        <v>40</v>
      </c>
      <c r="K57">
        <v>39</v>
      </c>
      <c r="L57">
        <v>1</v>
      </c>
      <c r="M57" t="s">
        <v>1284</v>
      </c>
      <c r="N57">
        <v>1935970</v>
      </c>
    </row>
    <row r="58" spans="1:14" x14ac:dyDescent="0.25">
      <c r="A58" t="s">
        <v>1391</v>
      </c>
      <c r="B58" t="s">
        <v>883</v>
      </c>
      <c r="C58" t="s">
        <v>73</v>
      </c>
      <c r="D58" t="s">
        <v>1290</v>
      </c>
      <c r="E58">
        <v>394000</v>
      </c>
      <c r="F58">
        <v>10.74</v>
      </c>
      <c r="G58">
        <v>60</v>
      </c>
      <c r="H58">
        <v>8516</v>
      </c>
      <c r="I58" t="s">
        <v>1392</v>
      </c>
      <c r="J58">
        <v>45</v>
      </c>
      <c r="K58">
        <v>43</v>
      </c>
      <c r="L58">
        <v>2</v>
      </c>
      <c r="M58" t="s">
        <v>1284</v>
      </c>
      <c r="N58">
        <v>192597</v>
      </c>
    </row>
    <row r="59" spans="1:14" x14ac:dyDescent="0.25">
      <c r="A59" t="s">
        <v>1393</v>
      </c>
      <c r="B59" t="s">
        <v>428</v>
      </c>
      <c r="C59" t="s">
        <v>87</v>
      </c>
      <c r="D59" t="s">
        <v>1286</v>
      </c>
      <c r="E59">
        <v>3921000</v>
      </c>
      <c r="F59">
        <v>7.63</v>
      </c>
      <c r="G59">
        <v>96</v>
      </c>
      <c r="H59">
        <v>54695</v>
      </c>
      <c r="I59" t="s">
        <v>1394</v>
      </c>
      <c r="J59">
        <v>15</v>
      </c>
      <c r="K59">
        <v>15</v>
      </c>
      <c r="L59">
        <v>0</v>
      </c>
      <c r="M59" t="s">
        <v>1284</v>
      </c>
      <c r="N59">
        <v>3469766</v>
      </c>
    </row>
    <row r="60" spans="1:14" x14ac:dyDescent="0.25">
      <c r="A60" t="s">
        <v>1395</v>
      </c>
      <c r="B60" t="s">
        <v>1263</v>
      </c>
      <c r="C60" t="s">
        <v>87</v>
      </c>
      <c r="D60" t="s">
        <v>1295</v>
      </c>
      <c r="E60">
        <v>1865000</v>
      </c>
      <c r="F60">
        <v>12.99</v>
      </c>
      <c r="G60">
        <v>66</v>
      </c>
      <c r="H60">
        <v>39690</v>
      </c>
      <c r="I60" t="s">
        <v>1396</v>
      </c>
      <c r="J60">
        <v>14</v>
      </c>
      <c r="K60">
        <v>14</v>
      </c>
      <c r="L60">
        <v>0</v>
      </c>
      <c r="M60" t="s">
        <v>1284</v>
      </c>
      <c r="N60">
        <v>1559387</v>
      </c>
    </row>
    <row r="61" spans="1:14" x14ac:dyDescent="0.25">
      <c r="A61" t="s">
        <v>1397</v>
      </c>
      <c r="B61" t="s">
        <v>327</v>
      </c>
      <c r="C61" t="s">
        <v>51</v>
      </c>
      <c r="D61" t="s">
        <v>1282</v>
      </c>
      <c r="E61">
        <v>126000</v>
      </c>
      <c r="F61">
        <v>11.89</v>
      </c>
      <c r="G61">
        <v>12</v>
      </c>
      <c r="H61">
        <v>11188</v>
      </c>
      <c r="I61" t="s">
        <v>1398</v>
      </c>
      <c r="J61">
        <v>12</v>
      </c>
      <c r="K61">
        <v>11</v>
      </c>
      <c r="L61">
        <v>1</v>
      </c>
      <c r="M61" t="s">
        <v>1312</v>
      </c>
      <c r="N61">
        <v>0</v>
      </c>
    </row>
    <row r="62" spans="1:14" x14ac:dyDescent="0.25">
      <c r="A62" t="s">
        <v>1399</v>
      </c>
      <c r="B62" t="s">
        <v>530</v>
      </c>
      <c r="C62" t="s">
        <v>87</v>
      </c>
      <c r="D62" t="s">
        <v>1282</v>
      </c>
      <c r="E62">
        <v>249000</v>
      </c>
      <c r="F62">
        <v>11.07</v>
      </c>
      <c r="G62">
        <v>48</v>
      </c>
      <c r="H62">
        <v>6444</v>
      </c>
      <c r="I62" t="s">
        <v>1400</v>
      </c>
      <c r="J62">
        <v>48</v>
      </c>
      <c r="K62">
        <v>42</v>
      </c>
      <c r="L62">
        <v>6</v>
      </c>
      <c r="M62" t="s">
        <v>1288</v>
      </c>
      <c r="N62">
        <v>100144</v>
      </c>
    </row>
    <row r="63" spans="1:14" x14ac:dyDescent="0.25">
      <c r="A63" t="s">
        <v>1401</v>
      </c>
      <c r="B63" t="s">
        <v>1156</v>
      </c>
      <c r="C63" t="s">
        <v>146</v>
      </c>
      <c r="D63" t="s">
        <v>1286</v>
      </c>
      <c r="E63">
        <v>3023000</v>
      </c>
      <c r="F63">
        <v>8.18</v>
      </c>
      <c r="G63">
        <v>162</v>
      </c>
      <c r="H63">
        <v>30880</v>
      </c>
      <c r="I63" t="s">
        <v>1402</v>
      </c>
      <c r="J63">
        <v>23</v>
      </c>
      <c r="K63">
        <v>22</v>
      </c>
      <c r="L63">
        <v>1</v>
      </c>
      <c r="M63" t="s">
        <v>1284</v>
      </c>
      <c r="N63">
        <v>2649352</v>
      </c>
    </row>
    <row r="64" spans="1:14" x14ac:dyDescent="0.25">
      <c r="A64" t="s">
        <v>1403</v>
      </c>
      <c r="B64" t="s">
        <v>1177</v>
      </c>
      <c r="C64" t="s">
        <v>87</v>
      </c>
      <c r="D64" t="s">
        <v>1286</v>
      </c>
      <c r="E64">
        <v>1907000</v>
      </c>
      <c r="F64">
        <v>8.8000000000000007</v>
      </c>
      <c r="G64">
        <v>60</v>
      </c>
      <c r="H64">
        <v>39401</v>
      </c>
      <c r="I64" t="s">
        <v>1404</v>
      </c>
      <c r="J64">
        <v>60</v>
      </c>
      <c r="K64">
        <v>57</v>
      </c>
      <c r="L64">
        <v>3</v>
      </c>
      <c r="M64" t="s">
        <v>1288</v>
      </c>
      <c r="N64">
        <v>671779</v>
      </c>
    </row>
    <row r="65" spans="1:14" x14ac:dyDescent="0.25">
      <c r="A65" t="s">
        <v>1405</v>
      </c>
      <c r="B65" t="s">
        <v>1068</v>
      </c>
      <c r="C65" t="s">
        <v>51</v>
      </c>
      <c r="D65" t="s">
        <v>1282</v>
      </c>
      <c r="E65">
        <v>582000</v>
      </c>
      <c r="F65">
        <v>12.83</v>
      </c>
      <c r="G65">
        <v>36</v>
      </c>
      <c r="H65">
        <v>19562</v>
      </c>
      <c r="I65" t="s">
        <v>1406</v>
      </c>
      <c r="J65">
        <v>34</v>
      </c>
      <c r="K65">
        <v>34</v>
      </c>
      <c r="L65">
        <v>0</v>
      </c>
      <c r="M65" t="s">
        <v>1284</v>
      </c>
      <c r="N65">
        <v>216191</v>
      </c>
    </row>
    <row r="66" spans="1:14" x14ac:dyDescent="0.25">
      <c r="A66" t="s">
        <v>1407</v>
      </c>
      <c r="B66" t="s">
        <v>356</v>
      </c>
      <c r="C66" t="s">
        <v>146</v>
      </c>
      <c r="D66" t="s">
        <v>1286</v>
      </c>
      <c r="E66">
        <v>1794000</v>
      </c>
      <c r="F66">
        <v>8.4</v>
      </c>
      <c r="G66">
        <v>144</v>
      </c>
      <c r="H66">
        <v>19815</v>
      </c>
      <c r="I66" t="s">
        <v>1408</v>
      </c>
      <c r="J66">
        <v>46</v>
      </c>
      <c r="K66">
        <v>44</v>
      </c>
      <c r="L66">
        <v>2</v>
      </c>
      <c r="M66" t="s">
        <v>1284</v>
      </c>
      <c r="N66">
        <v>1314477</v>
      </c>
    </row>
    <row r="67" spans="1:14" x14ac:dyDescent="0.25">
      <c r="A67" t="s">
        <v>1409</v>
      </c>
      <c r="B67" t="s">
        <v>1065</v>
      </c>
      <c r="C67" t="s">
        <v>96</v>
      </c>
      <c r="D67" t="s">
        <v>1282</v>
      </c>
      <c r="E67">
        <v>273000</v>
      </c>
      <c r="F67">
        <v>14.57</v>
      </c>
      <c r="G67">
        <v>42</v>
      </c>
      <c r="H67">
        <v>8336</v>
      </c>
      <c r="I67" t="s">
        <v>1410</v>
      </c>
      <c r="J67">
        <v>29</v>
      </c>
      <c r="K67">
        <v>28</v>
      </c>
      <c r="L67">
        <v>1</v>
      </c>
      <c r="M67" t="s">
        <v>1284</v>
      </c>
      <c r="N67">
        <v>144626</v>
      </c>
    </row>
    <row r="68" spans="1:14" x14ac:dyDescent="0.25">
      <c r="A68" t="s">
        <v>1411</v>
      </c>
      <c r="B68" t="s">
        <v>1074</v>
      </c>
      <c r="C68" t="s">
        <v>96</v>
      </c>
      <c r="D68" t="s">
        <v>1295</v>
      </c>
      <c r="E68">
        <v>863000</v>
      </c>
      <c r="F68">
        <v>11.64</v>
      </c>
      <c r="G68">
        <v>18</v>
      </c>
      <c r="H68">
        <v>52483</v>
      </c>
      <c r="I68" t="s">
        <v>1412</v>
      </c>
      <c r="J68">
        <v>18</v>
      </c>
      <c r="K68">
        <v>18</v>
      </c>
      <c r="L68">
        <v>0</v>
      </c>
      <c r="M68" t="s">
        <v>1312</v>
      </c>
      <c r="N68">
        <v>0</v>
      </c>
    </row>
    <row r="69" spans="1:14" x14ac:dyDescent="0.25">
      <c r="A69" t="s">
        <v>1413</v>
      </c>
      <c r="B69" t="s">
        <v>796</v>
      </c>
      <c r="C69" t="s">
        <v>73</v>
      </c>
      <c r="D69" t="s">
        <v>1295</v>
      </c>
      <c r="E69">
        <v>235000</v>
      </c>
      <c r="F69">
        <v>11.85</v>
      </c>
      <c r="G69">
        <v>54</v>
      </c>
      <c r="H69">
        <v>5636</v>
      </c>
      <c r="I69" t="s">
        <v>1414</v>
      </c>
      <c r="J69">
        <v>54</v>
      </c>
      <c r="K69">
        <v>49</v>
      </c>
      <c r="L69">
        <v>5</v>
      </c>
      <c r="M69" t="s">
        <v>1288</v>
      </c>
      <c r="N69">
        <v>83110</v>
      </c>
    </row>
    <row r="70" spans="1:14" x14ac:dyDescent="0.25">
      <c r="A70" t="s">
        <v>1415</v>
      </c>
      <c r="B70" t="s">
        <v>1071</v>
      </c>
      <c r="C70" t="s">
        <v>146</v>
      </c>
      <c r="D70" t="s">
        <v>1286</v>
      </c>
      <c r="E70">
        <v>1102000</v>
      </c>
      <c r="F70">
        <v>8.8699999999999992</v>
      </c>
      <c r="G70">
        <v>168</v>
      </c>
      <c r="H70">
        <v>11476</v>
      </c>
      <c r="I70" t="s">
        <v>1416</v>
      </c>
      <c r="J70">
        <v>42</v>
      </c>
      <c r="K70">
        <v>42</v>
      </c>
      <c r="L70">
        <v>0</v>
      </c>
      <c r="M70" t="s">
        <v>1284</v>
      </c>
      <c r="N70">
        <v>836904</v>
      </c>
    </row>
    <row r="71" spans="1:14" x14ac:dyDescent="0.25">
      <c r="A71" t="s">
        <v>1417</v>
      </c>
      <c r="B71" t="s">
        <v>955</v>
      </c>
      <c r="C71" t="s">
        <v>73</v>
      </c>
      <c r="D71" t="s">
        <v>1286</v>
      </c>
      <c r="E71">
        <v>2976000</v>
      </c>
      <c r="F71">
        <v>8.3699999999999992</v>
      </c>
      <c r="G71">
        <v>144</v>
      </c>
      <c r="H71">
        <v>32821</v>
      </c>
      <c r="I71" t="s">
        <v>1418</v>
      </c>
      <c r="J71">
        <v>60</v>
      </c>
      <c r="K71">
        <v>60</v>
      </c>
      <c r="L71">
        <v>0</v>
      </c>
      <c r="M71" t="s">
        <v>1284</v>
      </c>
      <c r="N71">
        <v>1892907</v>
      </c>
    </row>
    <row r="72" spans="1:14" x14ac:dyDescent="0.25">
      <c r="A72" t="s">
        <v>1419</v>
      </c>
      <c r="B72" t="s">
        <v>1228</v>
      </c>
      <c r="C72" t="s">
        <v>96</v>
      </c>
      <c r="D72" t="s">
        <v>1282</v>
      </c>
      <c r="E72">
        <v>570000</v>
      </c>
      <c r="F72">
        <v>13.47</v>
      </c>
      <c r="G72">
        <v>30</v>
      </c>
      <c r="H72">
        <v>22484</v>
      </c>
      <c r="I72" t="s">
        <v>703</v>
      </c>
      <c r="J72">
        <v>30</v>
      </c>
      <c r="K72">
        <v>28</v>
      </c>
      <c r="L72">
        <v>2</v>
      </c>
      <c r="M72" t="s">
        <v>1284</v>
      </c>
      <c r="N72">
        <v>223746</v>
      </c>
    </row>
    <row r="73" spans="1:14" x14ac:dyDescent="0.25">
      <c r="A73" t="s">
        <v>1420</v>
      </c>
      <c r="B73" t="s">
        <v>521</v>
      </c>
      <c r="C73" t="s">
        <v>96</v>
      </c>
      <c r="D73" t="s">
        <v>1282</v>
      </c>
      <c r="E73">
        <v>438000</v>
      </c>
      <c r="F73">
        <v>11.63</v>
      </c>
      <c r="G73">
        <v>12</v>
      </c>
      <c r="H73">
        <v>38840</v>
      </c>
      <c r="I73" t="s">
        <v>1421</v>
      </c>
      <c r="J73">
        <v>12</v>
      </c>
      <c r="K73">
        <v>9</v>
      </c>
      <c r="L73">
        <v>3</v>
      </c>
      <c r="M73" t="s">
        <v>1288</v>
      </c>
      <c r="N73">
        <v>245742</v>
      </c>
    </row>
    <row r="74" spans="1:14" x14ac:dyDescent="0.25">
      <c r="A74" t="s">
        <v>1422</v>
      </c>
      <c r="B74" t="s">
        <v>594</v>
      </c>
      <c r="C74" t="s">
        <v>73</v>
      </c>
      <c r="D74" t="s">
        <v>1282</v>
      </c>
      <c r="E74">
        <v>208000</v>
      </c>
      <c r="F74">
        <v>13.47</v>
      </c>
      <c r="G74">
        <v>24</v>
      </c>
      <c r="H74">
        <v>9935</v>
      </c>
      <c r="I74" t="s">
        <v>1423</v>
      </c>
      <c r="J74">
        <v>24</v>
      </c>
      <c r="K74">
        <v>23</v>
      </c>
      <c r="L74">
        <v>1</v>
      </c>
      <c r="M74" t="s">
        <v>1312</v>
      </c>
      <c r="N74">
        <v>0</v>
      </c>
    </row>
    <row r="75" spans="1:14" x14ac:dyDescent="0.25">
      <c r="A75" t="s">
        <v>1424</v>
      </c>
      <c r="B75" t="s">
        <v>779</v>
      </c>
      <c r="C75" t="s">
        <v>87</v>
      </c>
      <c r="D75" t="s">
        <v>1282</v>
      </c>
      <c r="E75">
        <v>510000</v>
      </c>
      <c r="F75">
        <v>12.13</v>
      </c>
      <c r="G75">
        <v>36</v>
      </c>
      <c r="H75">
        <v>16971</v>
      </c>
      <c r="I75" t="s">
        <v>1341</v>
      </c>
      <c r="J75">
        <v>36</v>
      </c>
      <c r="K75">
        <v>32</v>
      </c>
      <c r="L75">
        <v>4</v>
      </c>
      <c r="M75" t="s">
        <v>1288</v>
      </c>
      <c r="N75">
        <v>211310</v>
      </c>
    </row>
    <row r="76" spans="1:14" x14ac:dyDescent="0.25">
      <c r="A76" t="s">
        <v>1425</v>
      </c>
      <c r="B76" t="s">
        <v>1195</v>
      </c>
      <c r="C76" t="s">
        <v>87</v>
      </c>
      <c r="D76" t="s">
        <v>1290</v>
      </c>
      <c r="E76">
        <v>626000</v>
      </c>
      <c r="F76">
        <v>9.2100000000000009</v>
      </c>
      <c r="G76">
        <v>18</v>
      </c>
      <c r="H76">
        <v>37368</v>
      </c>
      <c r="I76" t="s">
        <v>1426</v>
      </c>
      <c r="J76">
        <v>18</v>
      </c>
      <c r="K76">
        <v>17</v>
      </c>
      <c r="L76">
        <v>1</v>
      </c>
      <c r="M76" t="s">
        <v>1312</v>
      </c>
      <c r="N76">
        <v>0</v>
      </c>
    </row>
    <row r="77" spans="1:14" x14ac:dyDescent="0.25">
      <c r="A77" t="s">
        <v>1427</v>
      </c>
      <c r="B77" t="s">
        <v>746</v>
      </c>
      <c r="C77" t="s">
        <v>73</v>
      </c>
      <c r="D77" t="s">
        <v>1290</v>
      </c>
      <c r="E77">
        <v>454000</v>
      </c>
      <c r="F77">
        <v>9.94</v>
      </c>
      <c r="G77">
        <v>72</v>
      </c>
      <c r="H77">
        <v>8397</v>
      </c>
      <c r="I77" t="s">
        <v>1428</v>
      </c>
      <c r="J77">
        <v>23</v>
      </c>
      <c r="K77">
        <v>22</v>
      </c>
      <c r="L77">
        <v>1</v>
      </c>
      <c r="M77" t="s">
        <v>1284</v>
      </c>
      <c r="N77">
        <v>352396</v>
      </c>
    </row>
    <row r="78" spans="1:14" x14ac:dyDescent="0.25">
      <c r="A78" t="s">
        <v>1429</v>
      </c>
      <c r="B78" t="s">
        <v>265</v>
      </c>
      <c r="C78" t="s">
        <v>146</v>
      </c>
      <c r="D78" t="s">
        <v>1290</v>
      </c>
      <c r="E78">
        <v>1115000</v>
      </c>
      <c r="F78">
        <v>10.94</v>
      </c>
      <c r="G78">
        <v>48</v>
      </c>
      <c r="H78">
        <v>28785</v>
      </c>
      <c r="I78" t="s">
        <v>1430</v>
      </c>
      <c r="J78">
        <v>23</v>
      </c>
      <c r="K78">
        <v>23</v>
      </c>
      <c r="L78">
        <v>0</v>
      </c>
      <c r="M78" t="s">
        <v>1284</v>
      </c>
      <c r="N78">
        <v>750870</v>
      </c>
    </row>
    <row r="79" spans="1:14" x14ac:dyDescent="0.25">
      <c r="A79" t="s">
        <v>1431</v>
      </c>
      <c r="B79" t="s">
        <v>1159</v>
      </c>
      <c r="C79" t="s">
        <v>73</v>
      </c>
      <c r="D79" t="s">
        <v>1295</v>
      </c>
      <c r="E79">
        <v>1501000</v>
      </c>
      <c r="F79">
        <v>11.12</v>
      </c>
      <c r="G79">
        <v>54</v>
      </c>
      <c r="H79">
        <v>35454</v>
      </c>
      <c r="I79" t="s">
        <v>617</v>
      </c>
      <c r="J79">
        <v>54</v>
      </c>
      <c r="K79">
        <v>53</v>
      </c>
      <c r="L79">
        <v>1</v>
      </c>
      <c r="M79" t="s">
        <v>1312</v>
      </c>
      <c r="N79">
        <v>0</v>
      </c>
    </row>
    <row r="80" spans="1:14" x14ac:dyDescent="0.25">
      <c r="A80" t="s">
        <v>1432</v>
      </c>
      <c r="B80" t="s">
        <v>309</v>
      </c>
      <c r="C80" t="s">
        <v>87</v>
      </c>
      <c r="D80" t="s">
        <v>1290</v>
      </c>
      <c r="E80">
        <v>440000</v>
      </c>
      <c r="F80">
        <v>10.14</v>
      </c>
      <c r="G80">
        <v>60</v>
      </c>
      <c r="H80">
        <v>9379</v>
      </c>
      <c r="I80" t="s">
        <v>1433</v>
      </c>
      <c r="J80">
        <v>49</v>
      </c>
      <c r="K80">
        <v>47</v>
      </c>
      <c r="L80">
        <v>2</v>
      </c>
      <c r="M80" t="s">
        <v>1284</v>
      </c>
      <c r="N80">
        <v>197553</v>
      </c>
    </row>
    <row r="81" spans="1:14" x14ac:dyDescent="0.25">
      <c r="A81" t="s">
        <v>1434</v>
      </c>
      <c r="B81" t="s">
        <v>324</v>
      </c>
      <c r="C81" t="s">
        <v>146</v>
      </c>
      <c r="D81" t="s">
        <v>1286</v>
      </c>
      <c r="E81">
        <v>3759000</v>
      </c>
      <c r="F81">
        <v>7.72</v>
      </c>
      <c r="G81">
        <v>150</v>
      </c>
      <c r="H81">
        <v>39141</v>
      </c>
      <c r="I81" t="s">
        <v>1435</v>
      </c>
      <c r="J81">
        <v>32</v>
      </c>
      <c r="K81">
        <v>31</v>
      </c>
      <c r="L81">
        <v>1</v>
      </c>
      <c r="M81" t="s">
        <v>1284</v>
      </c>
      <c r="N81">
        <v>3091646</v>
      </c>
    </row>
    <row r="82" spans="1:14" x14ac:dyDescent="0.25">
      <c r="A82" t="s">
        <v>1436</v>
      </c>
      <c r="B82" t="s">
        <v>889</v>
      </c>
      <c r="C82" t="s">
        <v>87</v>
      </c>
      <c r="D82" t="s">
        <v>1290</v>
      </c>
      <c r="E82">
        <v>1020000</v>
      </c>
      <c r="F82">
        <v>10.7</v>
      </c>
      <c r="G82">
        <v>60</v>
      </c>
      <c r="H82">
        <v>22025</v>
      </c>
      <c r="I82" t="s">
        <v>1437</v>
      </c>
      <c r="J82">
        <v>60</v>
      </c>
      <c r="K82">
        <v>56</v>
      </c>
      <c r="L82">
        <v>4</v>
      </c>
      <c r="M82" t="s">
        <v>1288</v>
      </c>
      <c r="N82">
        <v>341630</v>
      </c>
    </row>
    <row r="83" spans="1:14" x14ac:dyDescent="0.25">
      <c r="A83" t="s">
        <v>1438</v>
      </c>
      <c r="B83" t="s">
        <v>380</v>
      </c>
      <c r="C83" t="s">
        <v>51</v>
      </c>
      <c r="D83" t="s">
        <v>1295</v>
      </c>
      <c r="E83">
        <v>407000</v>
      </c>
      <c r="F83">
        <v>15.52</v>
      </c>
      <c r="G83">
        <v>24</v>
      </c>
      <c r="H83">
        <v>19835</v>
      </c>
      <c r="I83" t="s">
        <v>520</v>
      </c>
      <c r="J83">
        <v>24</v>
      </c>
      <c r="K83">
        <v>24</v>
      </c>
      <c r="L83">
        <v>0</v>
      </c>
      <c r="M83" t="s">
        <v>1312</v>
      </c>
      <c r="N83">
        <v>0</v>
      </c>
    </row>
    <row r="84" spans="1:14" x14ac:dyDescent="0.25">
      <c r="A84" t="s">
        <v>1439</v>
      </c>
      <c r="B84" t="s">
        <v>330</v>
      </c>
      <c r="C84" t="s">
        <v>146</v>
      </c>
      <c r="D84" t="s">
        <v>1282</v>
      </c>
      <c r="E84">
        <v>377000</v>
      </c>
      <c r="F84">
        <v>14.38</v>
      </c>
      <c r="G84">
        <v>30</v>
      </c>
      <c r="H84">
        <v>15035</v>
      </c>
      <c r="I84" t="s">
        <v>1440</v>
      </c>
      <c r="J84">
        <v>13</v>
      </c>
      <c r="K84">
        <v>13</v>
      </c>
      <c r="L84">
        <v>0</v>
      </c>
      <c r="M84" t="s">
        <v>1284</v>
      </c>
      <c r="N84">
        <v>269500</v>
      </c>
    </row>
    <row r="85" spans="1:14" x14ac:dyDescent="0.25">
      <c r="A85" t="s">
        <v>1441</v>
      </c>
      <c r="B85" t="s">
        <v>238</v>
      </c>
      <c r="C85" t="s">
        <v>146</v>
      </c>
      <c r="D85" t="s">
        <v>1286</v>
      </c>
      <c r="E85">
        <v>2956000</v>
      </c>
      <c r="F85">
        <v>8.52</v>
      </c>
      <c r="G85">
        <v>66</v>
      </c>
      <c r="H85">
        <v>56254</v>
      </c>
      <c r="I85" t="s">
        <v>1442</v>
      </c>
      <c r="J85">
        <v>28</v>
      </c>
      <c r="K85">
        <v>27</v>
      </c>
      <c r="L85">
        <v>1</v>
      </c>
      <c r="M85" t="s">
        <v>1284</v>
      </c>
      <c r="N85">
        <v>2120628</v>
      </c>
    </row>
    <row r="86" spans="1:14" x14ac:dyDescent="0.25">
      <c r="A86" t="s">
        <v>1443</v>
      </c>
      <c r="B86" t="s">
        <v>813</v>
      </c>
      <c r="C86" t="s">
        <v>51</v>
      </c>
      <c r="D86" t="s">
        <v>1290</v>
      </c>
      <c r="E86">
        <v>1069000</v>
      </c>
      <c r="F86">
        <v>10.41</v>
      </c>
      <c r="G86">
        <v>60</v>
      </c>
      <c r="H86">
        <v>22929</v>
      </c>
      <c r="I86" t="s">
        <v>1444</v>
      </c>
      <c r="J86">
        <v>60</v>
      </c>
      <c r="K86">
        <v>57</v>
      </c>
      <c r="L86">
        <v>3</v>
      </c>
      <c r="M86" t="s">
        <v>1288</v>
      </c>
      <c r="N86">
        <v>350176</v>
      </c>
    </row>
    <row r="87" spans="1:14" x14ac:dyDescent="0.25">
      <c r="A87" t="s">
        <v>1445</v>
      </c>
      <c r="B87" t="s">
        <v>1148</v>
      </c>
      <c r="C87" t="s">
        <v>146</v>
      </c>
      <c r="D87" t="s">
        <v>1295</v>
      </c>
      <c r="E87">
        <v>1140000</v>
      </c>
      <c r="F87">
        <v>12.91</v>
      </c>
      <c r="G87">
        <v>42</v>
      </c>
      <c r="H87">
        <v>33879</v>
      </c>
      <c r="I87" t="s">
        <v>1446</v>
      </c>
      <c r="J87">
        <v>40</v>
      </c>
      <c r="K87">
        <v>36</v>
      </c>
      <c r="L87">
        <v>4</v>
      </c>
      <c r="M87" t="s">
        <v>1288</v>
      </c>
      <c r="N87">
        <v>469196</v>
      </c>
    </row>
    <row r="88" spans="1:14" x14ac:dyDescent="0.25">
      <c r="A88" t="s">
        <v>1447</v>
      </c>
      <c r="B88" t="s">
        <v>527</v>
      </c>
      <c r="C88" t="s">
        <v>146</v>
      </c>
      <c r="D88" t="s">
        <v>1295</v>
      </c>
      <c r="E88">
        <v>2428000</v>
      </c>
      <c r="F88">
        <v>12.32</v>
      </c>
      <c r="G88">
        <v>42</v>
      </c>
      <c r="H88">
        <v>71458</v>
      </c>
      <c r="I88" t="s">
        <v>1448</v>
      </c>
      <c r="J88">
        <v>28</v>
      </c>
      <c r="K88">
        <v>27</v>
      </c>
      <c r="L88">
        <v>1</v>
      </c>
      <c r="M88" t="s">
        <v>1284</v>
      </c>
      <c r="N88">
        <v>1366849</v>
      </c>
    </row>
    <row r="89" spans="1:14" x14ac:dyDescent="0.25">
      <c r="A89" t="s">
        <v>1449</v>
      </c>
      <c r="B89" t="s">
        <v>1231</v>
      </c>
      <c r="C89" t="s">
        <v>146</v>
      </c>
      <c r="D89" t="s">
        <v>1295</v>
      </c>
      <c r="E89">
        <v>1067000</v>
      </c>
      <c r="F89">
        <v>11.72</v>
      </c>
      <c r="G89">
        <v>78</v>
      </c>
      <c r="H89">
        <v>19609</v>
      </c>
      <c r="I89" t="s">
        <v>1450</v>
      </c>
      <c r="J89">
        <v>78</v>
      </c>
      <c r="K89">
        <v>76</v>
      </c>
      <c r="L89">
        <v>2</v>
      </c>
      <c r="M89" t="s">
        <v>1284</v>
      </c>
      <c r="N89">
        <v>247344</v>
      </c>
    </row>
    <row r="90" spans="1:14" x14ac:dyDescent="0.25">
      <c r="A90" t="s">
        <v>1451</v>
      </c>
      <c r="B90" t="s">
        <v>247</v>
      </c>
      <c r="C90" t="s">
        <v>73</v>
      </c>
      <c r="D90" t="s">
        <v>1295</v>
      </c>
      <c r="E90">
        <v>980000</v>
      </c>
      <c r="F90">
        <v>13.92</v>
      </c>
      <c r="G90">
        <v>84</v>
      </c>
      <c r="H90">
        <v>18322</v>
      </c>
      <c r="I90" t="s">
        <v>1452</v>
      </c>
      <c r="J90">
        <v>50</v>
      </c>
      <c r="K90">
        <v>49</v>
      </c>
      <c r="L90">
        <v>1</v>
      </c>
      <c r="M90" t="s">
        <v>1284</v>
      </c>
      <c r="N90">
        <v>486222</v>
      </c>
    </row>
    <row r="91" spans="1:14" x14ac:dyDescent="0.25">
      <c r="A91" t="s">
        <v>1453</v>
      </c>
      <c r="B91" t="s">
        <v>1130</v>
      </c>
      <c r="C91" t="s">
        <v>96</v>
      </c>
      <c r="D91" t="s">
        <v>1286</v>
      </c>
      <c r="E91">
        <v>1420000</v>
      </c>
      <c r="F91">
        <v>8.14</v>
      </c>
      <c r="G91">
        <v>138</v>
      </c>
      <c r="H91">
        <v>15879</v>
      </c>
      <c r="I91" t="s">
        <v>1454</v>
      </c>
      <c r="J91">
        <v>91</v>
      </c>
      <c r="K91">
        <v>77</v>
      </c>
      <c r="L91">
        <v>14</v>
      </c>
      <c r="M91" t="s">
        <v>1288</v>
      </c>
      <c r="N91">
        <v>747524</v>
      </c>
    </row>
    <row r="92" spans="1:14" x14ac:dyDescent="0.25">
      <c r="A92" t="s">
        <v>1455</v>
      </c>
      <c r="B92" t="s">
        <v>506</v>
      </c>
      <c r="C92" t="s">
        <v>96</v>
      </c>
      <c r="D92" t="s">
        <v>1290</v>
      </c>
      <c r="E92">
        <v>789000</v>
      </c>
      <c r="F92">
        <v>9.4600000000000009</v>
      </c>
      <c r="G92">
        <v>72</v>
      </c>
      <c r="H92">
        <v>14403</v>
      </c>
      <c r="I92" t="s">
        <v>1456</v>
      </c>
      <c r="J92">
        <v>72</v>
      </c>
      <c r="K92">
        <v>69</v>
      </c>
      <c r="L92">
        <v>3</v>
      </c>
      <c r="M92" t="s">
        <v>1288</v>
      </c>
      <c r="N92">
        <v>242406</v>
      </c>
    </row>
    <row r="93" spans="1:14" x14ac:dyDescent="0.25">
      <c r="A93" t="s">
        <v>1457</v>
      </c>
      <c r="B93" t="s">
        <v>1151</v>
      </c>
      <c r="C93" t="s">
        <v>96</v>
      </c>
      <c r="D93" t="s">
        <v>1290</v>
      </c>
      <c r="E93">
        <v>943000</v>
      </c>
      <c r="F93">
        <v>9.7899999999999991</v>
      </c>
      <c r="G93">
        <v>30</v>
      </c>
      <c r="H93">
        <v>35564</v>
      </c>
      <c r="I93" t="s">
        <v>1458</v>
      </c>
      <c r="J93">
        <v>30</v>
      </c>
      <c r="K93">
        <v>30</v>
      </c>
      <c r="L93">
        <v>0</v>
      </c>
      <c r="M93" t="s">
        <v>1312</v>
      </c>
      <c r="N93">
        <v>0</v>
      </c>
    </row>
    <row r="94" spans="1:14" x14ac:dyDescent="0.25">
      <c r="A94" t="s">
        <v>1459</v>
      </c>
      <c r="B94" t="s">
        <v>856</v>
      </c>
      <c r="C94" t="s">
        <v>146</v>
      </c>
      <c r="D94" t="s">
        <v>1295</v>
      </c>
      <c r="E94">
        <v>948000</v>
      </c>
      <c r="F94">
        <v>14.62</v>
      </c>
      <c r="G94">
        <v>72</v>
      </c>
      <c r="H94">
        <v>19850</v>
      </c>
      <c r="I94" t="s">
        <v>1460</v>
      </c>
      <c r="J94">
        <v>16</v>
      </c>
      <c r="K94">
        <v>14</v>
      </c>
      <c r="L94">
        <v>2</v>
      </c>
      <c r="M94" t="s">
        <v>1284</v>
      </c>
      <c r="N94">
        <v>795155</v>
      </c>
    </row>
    <row r="95" spans="1:14" x14ac:dyDescent="0.25">
      <c r="A95" t="s">
        <v>1461</v>
      </c>
      <c r="B95" t="s">
        <v>1180</v>
      </c>
      <c r="C95" t="s">
        <v>146</v>
      </c>
      <c r="D95" t="s">
        <v>1286</v>
      </c>
      <c r="E95">
        <v>2573000</v>
      </c>
      <c r="F95">
        <v>8.18</v>
      </c>
      <c r="G95">
        <v>180</v>
      </c>
      <c r="H95">
        <v>24857</v>
      </c>
      <c r="I95" t="s">
        <v>1462</v>
      </c>
      <c r="J95">
        <v>32</v>
      </c>
      <c r="K95">
        <v>31</v>
      </c>
      <c r="L95">
        <v>1</v>
      </c>
      <c r="M95" t="s">
        <v>1284</v>
      </c>
      <c r="N95">
        <v>2149188</v>
      </c>
    </row>
    <row r="96" spans="1:14" x14ac:dyDescent="0.25">
      <c r="A96" t="s">
        <v>1463</v>
      </c>
      <c r="B96" t="s">
        <v>606</v>
      </c>
      <c r="C96" t="s">
        <v>146</v>
      </c>
      <c r="D96" t="s">
        <v>1290</v>
      </c>
      <c r="E96">
        <v>319000</v>
      </c>
      <c r="F96">
        <v>10.97</v>
      </c>
      <c r="G96">
        <v>30</v>
      </c>
      <c r="H96">
        <v>12206</v>
      </c>
      <c r="I96" t="s">
        <v>1464</v>
      </c>
      <c r="J96">
        <v>30</v>
      </c>
      <c r="K96">
        <v>28</v>
      </c>
      <c r="L96">
        <v>2</v>
      </c>
      <c r="M96" t="s">
        <v>1284</v>
      </c>
      <c r="N96">
        <v>131028</v>
      </c>
    </row>
    <row r="97" spans="1:14" x14ac:dyDescent="0.25">
      <c r="A97" t="s">
        <v>1465</v>
      </c>
      <c r="B97" t="s">
        <v>943</v>
      </c>
      <c r="C97" t="s">
        <v>96</v>
      </c>
      <c r="D97" t="s">
        <v>1295</v>
      </c>
      <c r="E97">
        <v>600000</v>
      </c>
      <c r="F97">
        <v>12.92</v>
      </c>
      <c r="G97">
        <v>60</v>
      </c>
      <c r="H97">
        <v>13627</v>
      </c>
      <c r="I97" t="s">
        <v>1466</v>
      </c>
      <c r="J97">
        <v>39</v>
      </c>
      <c r="K97">
        <v>37</v>
      </c>
      <c r="L97">
        <v>2</v>
      </c>
      <c r="M97" t="s">
        <v>1284</v>
      </c>
      <c r="N97">
        <v>322691</v>
      </c>
    </row>
    <row r="98" spans="1:14" x14ac:dyDescent="0.25">
      <c r="A98" t="s">
        <v>1467</v>
      </c>
      <c r="B98" t="s">
        <v>285</v>
      </c>
      <c r="C98" t="s">
        <v>96</v>
      </c>
      <c r="D98" t="s">
        <v>1290</v>
      </c>
      <c r="E98">
        <v>765000</v>
      </c>
      <c r="F98">
        <v>10.83</v>
      </c>
      <c r="G98">
        <v>66</v>
      </c>
      <c r="H98">
        <v>15434</v>
      </c>
      <c r="I98" t="s">
        <v>1094</v>
      </c>
      <c r="J98">
        <v>60</v>
      </c>
      <c r="K98">
        <v>58</v>
      </c>
      <c r="L98">
        <v>2</v>
      </c>
      <c r="M98" t="s">
        <v>1284</v>
      </c>
      <c r="N98">
        <v>272655</v>
      </c>
    </row>
    <row r="99" spans="1:14" x14ac:dyDescent="0.25">
      <c r="A99" t="s">
        <v>1468</v>
      </c>
      <c r="B99" t="s">
        <v>985</v>
      </c>
      <c r="C99" t="s">
        <v>96</v>
      </c>
      <c r="D99" t="s">
        <v>1295</v>
      </c>
      <c r="E99">
        <v>893000</v>
      </c>
      <c r="F99">
        <v>11.57</v>
      </c>
      <c r="G99">
        <v>12</v>
      </c>
      <c r="H99">
        <v>79162</v>
      </c>
      <c r="I99" t="s">
        <v>1385</v>
      </c>
      <c r="J99">
        <v>12</v>
      </c>
      <c r="K99">
        <v>11</v>
      </c>
      <c r="L99">
        <v>1</v>
      </c>
      <c r="M99" t="s">
        <v>1312</v>
      </c>
      <c r="N99">
        <v>0</v>
      </c>
    </row>
    <row r="100" spans="1:14" x14ac:dyDescent="0.25">
      <c r="A100" t="s">
        <v>1469</v>
      </c>
      <c r="B100" t="s">
        <v>580</v>
      </c>
      <c r="C100" t="s">
        <v>96</v>
      </c>
      <c r="D100" t="s">
        <v>1290</v>
      </c>
      <c r="E100">
        <v>892000</v>
      </c>
      <c r="F100">
        <v>10.88</v>
      </c>
      <c r="G100">
        <v>72</v>
      </c>
      <c r="H100">
        <v>16924</v>
      </c>
      <c r="I100" t="s">
        <v>1470</v>
      </c>
      <c r="J100">
        <v>38</v>
      </c>
      <c r="K100">
        <v>37</v>
      </c>
      <c r="L100">
        <v>1</v>
      </c>
      <c r="M100" t="s">
        <v>1284</v>
      </c>
      <c r="N100">
        <v>547597</v>
      </c>
    </row>
    <row r="101" spans="1:14" x14ac:dyDescent="0.25">
      <c r="A101" t="s">
        <v>1471</v>
      </c>
      <c r="B101" t="s">
        <v>389</v>
      </c>
      <c r="C101" t="s">
        <v>146</v>
      </c>
      <c r="D101" t="s">
        <v>1282</v>
      </c>
      <c r="E101">
        <v>299000</v>
      </c>
      <c r="F101">
        <v>14.99</v>
      </c>
      <c r="G101">
        <v>24</v>
      </c>
      <c r="H101">
        <v>14496</v>
      </c>
      <c r="I101" t="s">
        <v>1472</v>
      </c>
      <c r="J101">
        <v>24</v>
      </c>
      <c r="K101">
        <v>22</v>
      </c>
      <c r="L101">
        <v>2</v>
      </c>
      <c r="M101" t="s">
        <v>1284</v>
      </c>
      <c r="N101">
        <v>123598</v>
      </c>
    </row>
    <row r="102" spans="1:14" x14ac:dyDescent="0.25">
      <c r="A102" t="s">
        <v>1473</v>
      </c>
      <c r="B102" t="s">
        <v>1219</v>
      </c>
      <c r="C102" t="s">
        <v>73</v>
      </c>
      <c r="D102" t="s">
        <v>1282</v>
      </c>
      <c r="E102">
        <v>227000</v>
      </c>
      <c r="F102">
        <v>14.52</v>
      </c>
      <c r="G102">
        <v>30</v>
      </c>
      <c r="H102">
        <v>9068</v>
      </c>
      <c r="I102" t="s">
        <v>1474</v>
      </c>
      <c r="J102">
        <v>30</v>
      </c>
      <c r="K102">
        <v>26</v>
      </c>
      <c r="L102">
        <v>4</v>
      </c>
      <c r="M102" t="s">
        <v>1288</v>
      </c>
      <c r="N102">
        <v>97328</v>
      </c>
    </row>
    <row r="103" spans="1:14" x14ac:dyDescent="0.25">
      <c r="A103" t="s">
        <v>1475</v>
      </c>
      <c r="B103" t="s">
        <v>339</v>
      </c>
      <c r="C103" t="s">
        <v>51</v>
      </c>
      <c r="D103" t="s">
        <v>1290</v>
      </c>
      <c r="E103">
        <v>152000</v>
      </c>
      <c r="F103">
        <v>10.199999999999999</v>
      </c>
      <c r="G103">
        <v>48</v>
      </c>
      <c r="H103">
        <v>3870</v>
      </c>
      <c r="I103" t="s">
        <v>1476</v>
      </c>
      <c r="J103">
        <v>48</v>
      </c>
      <c r="K103">
        <v>48</v>
      </c>
      <c r="L103">
        <v>0</v>
      </c>
      <c r="M103" t="s">
        <v>1312</v>
      </c>
      <c r="N103">
        <v>0</v>
      </c>
    </row>
    <row r="104" spans="1:14" x14ac:dyDescent="0.25">
      <c r="A104" t="s">
        <v>1477</v>
      </c>
      <c r="B104" t="s">
        <v>431</v>
      </c>
      <c r="C104" t="s">
        <v>51</v>
      </c>
      <c r="D104" t="s">
        <v>1286</v>
      </c>
      <c r="E104">
        <v>3633000</v>
      </c>
      <c r="F104">
        <v>7.92</v>
      </c>
      <c r="G104">
        <v>90</v>
      </c>
      <c r="H104">
        <v>53665</v>
      </c>
      <c r="I104" t="s">
        <v>1478</v>
      </c>
      <c r="J104">
        <v>15</v>
      </c>
      <c r="K104">
        <v>13</v>
      </c>
      <c r="L104">
        <v>2</v>
      </c>
      <c r="M104" t="s">
        <v>1284</v>
      </c>
      <c r="N104">
        <v>3249295</v>
      </c>
    </row>
    <row r="105" spans="1:14" x14ac:dyDescent="0.25">
      <c r="A105" t="s">
        <v>1479</v>
      </c>
      <c r="B105" t="s">
        <v>1059</v>
      </c>
      <c r="C105" t="s">
        <v>73</v>
      </c>
      <c r="D105" t="s">
        <v>1290</v>
      </c>
      <c r="E105">
        <v>1040000</v>
      </c>
      <c r="F105">
        <v>10</v>
      </c>
      <c r="G105">
        <v>72</v>
      </c>
      <c r="H105">
        <v>19267</v>
      </c>
      <c r="I105" t="s">
        <v>1480</v>
      </c>
      <c r="J105">
        <v>12</v>
      </c>
      <c r="K105">
        <v>12</v>
      </c>
      <c r="L105">
        <v>0</v>
      </c>
      <c r="M105" t="s">
        <v>1284</v>
      </c>
      <c r="N105">
        <v>912838</v>
      </c>
    </row>
    <row r="106" spans="1:14" x14ac:dyDescent="0.25">
      <c r="A106" t="s">
        <v>1481</v>
      </c>
      <c r="B106" t="s">
        <v>383</v>
      </c>
      <c r="C106" t="s">
        <v>51</v>
      </c>
      <c r="D106" t="s">
        <v>1286</v>
      </c>
      <c r="E106">
        <v>1825000</v>
      </c>
      <c r="F106">
        <v>7.56</v>
      </c>
      <c r="G106">
        <v>96</v>
      </c>
      <c r="H106">
        <v>25393</v>
      </c>
      <c r="I106" t="s">
        <v>649</v>
      </c>
      <c r="J106">
        <v>59</v>
      </c>
      <c r="K106">
        <v>55</v>
      </c>
      <c r="L106">
        <v>4</v>
      </c>
      <c r="M106" t="s">
        <v>1288</v>
      </c>
      <c r="N106">
        <v>1056862</v>
      </c>
    </row>
    <row r="107" spans="1:14" x14ac:dyDescent="0.25">
      <c r="A107" t="s">
        <v>1482</v>
      </c>
      <c r="B107" t="s">
        <v>842</v>
      </c>
      <c r="C107" t="s">
        <v>73</v>
      </c>
      <c r="D107" t="s">
        <v>1295</v>
      </c>
      <c r="E107">
        <v>1722000</v>
      </c>
      <c r="F107">
        <v>12.88</v>
      </c>
      <c r="G107">
        <v>72</v>
      </c>
      <c r="H107">
        <v>34459</v>
      </c>
      <c r="I107" t="s">
        <v>103</v>
      </c>
      <c r="J107">
        <v>72</v>
      </c>
      <c r="K107">
        <v>66</v>
      </c>
      <c r="L107">
        <v>6</v>
      </c>
      <c r="M107" t="s">
        <v>1288</v>
      </c>
      <c r="N107">
        <v>471138</v>
      </c>
    </row>
    <row r="108" spans="1:14" x14ac:dyDescent="0.25">
      <c r="A108" t="s">
        <v>1483</v>
      </c>
      <c r="B108" t="s">
        <v>509</v>
      </c>
      <c r="C108" t="s">
        <v>73</v>
      </c>
      <c r="D108" t="s">
        <v>1286</v>
      </c>
      <c r="E108">
        <v>2540000</v>
      </c>
      <c r="F108">
        <v>7.8</v>
      </c>
      <c r="G108">
        <v>72</v>
      </c>
      <c r="H108">
        <v>44287</v>
      </c>
      <c r="I108" t="s">
        <v>1484</v>
      </c>
      <c r="J108">
        <v>18</v>
      </c>
      <c r="K108">
        <v>17</v>
      </c>
      <c r="L108">
        <v>1</v>
      </c>
      <c r="M108" t="s">
        <v>1284</v>
      </c>
      <c r="N108">
        <v>2125917</v>
      </c>
    </row>
    <row r="109" spans="1:14" x14ac:dyDescent="0.25">
      <c r="A109" t="s">
        <v>1485</v>
      </c>
      <c r="B109" t="s">
        <v>131</v>
      </c>
      <c r="C109" t="s">
        <v>51</v>
      </c>
      <c r="D109" t="s">
        <v>1290</v>
      </c>
      <c r="E109">
        <v>170000</v>
      </c>
      <c r="F109">
        <v>8.74</v>
      </c>
      <c r="G109">
        <v>72</v>
      </c>
      <c r="H109">
        <v>3042</v>
      </c>
      <c r="I109" t="s">
        <v>1486</v>
      </c>
      <c r="J109">
        <v>26</v>
      </c>
      <c r="K109">
        <v>25</v>
      </c>
      <c r="L109">
        <v>1</v>
      </c>
      <c r="M109" t="s">
        <v>1284</v>
      </c>
      <c r="N109">
        <v>128172</v>
      </c>
    </row>
    <row r="110" spans="1:14" x14ac:dyDescent="0.25">
      <c r="A110" t="s">
        <v>1487</v>
      </c>
      <c r="B110" t="s">
        <v>847</v>
      </c>
      <c r="C110" t="s">
        <v>96</v>
      </c>
      <c r="D110" t="s">
        <v>1282</v>
      </c>
      <c r="E110">
        <v>403000</v>
      </c>
      <c r="F110">
        <v>11.51</v>
      </c>
      <c r="G110">
        <v>18</v>
      </c>
      <c r="H110">
        <v>24484</v>
      </c>
      <c r="I110" t="s">
        <v>1488</v>
      </c>
      <c r="J110">
        <v>18</v>
      </c>
      <c r="K110">
        <v>17</v>
      </c>
      <c r="L110">
        <v>1</v>
      </c>
      <c r="M110" t="s">
        <v>1312</v>
      </c>
      <c r="N110">
        <v>0</v>
      </c>
    </row>
    <row r="111" spans="1:14" x14ac:dyDescent="0.25">
      <c r="A111" t="s">
        <v>1489</v>
      </c>
      <c r="B111" t="s">
        <v>862</v>
      </c>
      <c r="C111" t="s">
        <v>51</v>
      </c>
      <c r="D111" t="s">
        <v>1282</v>
      </c>
      <c r="E111">
        <v>214000</v>
      </c>
      <c r="F111">
        <v>13.37</v>
      </c>
      <c r="G111">
        <v>30</v>
      </c>
      <c r="H111">
        <v>8431</v>
      </c>
      <c r="I111" t="s">
        <v>1446</v>
      </c>
      <c r="J111">
        <v>30</v>
      </c>
      <c r="K111">
        <v>29</v>
      </c>
      <c r="L111">
        <v>1</v>
      </c>
      <c r="M111" t="s">
        <v>1312</v>
      </c>
      <c r="N111">
        <v>0</v>
      </c>
    </row>
    <row r="112" spans="1:14" x14ac:dyDescent="0.25">
      <c r="A112" t="s">
        <v>1490</v>
      </c>
      <c r="B112" t="s">
        <v>978</v>
      </c>
      <c r="C112" t="s">
        <v>73</v>
      </c>
      <c r="D112" t="s">
        <v>1282</v>
      </c>
      <c r="E112">
        <v>200000</v>
      </c>
      <c r="F112">
        <v>12.89</v>
      </c>
      <c r="G112">
        <v>18</v>
      </c>
      <c r="H112">
        <v>12279</v>
      </c>
      <c r="I112" t="s">
        <v>1491</v>
      </c>
      <c r="J112">
        <v>18</v>
      </c>
      <c r="K112">
        <v>16</v>
      </c>
      <c r="L112">
        <v>2</v>
      </c>
      <c r="M112" t="s">
        <v>1284</v>
      </c>
      <c r="N112">
        <v>91945</v>
      </c>
    </row>
    <row r="113" spans="1:14" x14ac:dyDescent="0.25">
      <c r="A113" t="s">
        <v>1492</v>
      </c>
      <c r="B113" t="s">
        <v>345</v>
      </c>
      <c r="C113" t="s">
        <v>51</v>
      </c>
      <c r="D113" t="s">
        <v>1295</v>
      </c>
      <c r="E113">
        <v>1149000</v>
      </c>
      <c r="F113">
        <v>14.89</v>
      </c>
      <c r="G113">
        <v>84</v>
      </c>
      <c r="H113">
        <v>22101</v>
      </c>
      <c r="I113" t="s">
        <v>1493</v>
      </c>
      <c r="J113">
        <v>84</v>
      </c>
      <c r="K113">
        <v>79</v>
      </c>
      <c r="L113">
        <v>5</v>
      </c>
      <c r="M113" t="s">
        <v>1288</v>
      </c>
      <c r="N113">
        <v>188712</v>
      </c>
    </row>
    <row r="114" spans="1:14" x14ac:dyDescent="0.25">
      <c r="A114" t="s">
        <v>1494</v>
      </c>
      <c r="B114" t="s">
        <v>199</v>
      </c>
      <c r="C114" t="s">
        <v>73</v>
      </c>
      <c r="D114" t="s">
        <v>1286</v>
      </c>
      <c r="E114">
        <v>2091000</v>
      </c>
      <c r="F114">
        <v>7.92</v>
      </c>
      <c r="G114">
        <v>120</v>
      </c>
      <c r="H114">
        <v>25281</v>
      </c>
      <c r="I114" t="s">
        <v>1495</v>
      </c>
      <c r="J114">
        <v>87</v>
      </c>
      <c r="K114">
        <v>81</v>
      </c>
      <c r="L114">
        <v>6</v>
      </c>
      <c r="M114" t="s">
        <v>1288</v>
      </c>
      <c r="N114">
        <v>964731</v>
      </c>
    </row>
    <row r="115" spans="1:14" x14ac:dyDescent="0.25">
      <c r="A115" t="s">
        <v>1496</v>
      </c>
      <c r="B115" t="s">
        <v>84</v>
      </c>
      <c r="C115" t="s">
        <v>87</v>
      </c>
      <c r="D115" t="s">
        <v>1282</v>
      </c>
      <c r="E115">
        <v>592000</v>
      </c>
      <c r="F115">
        <v>11.69</v>
      </c>
      <c r="G115">
        <v>48</v>
      </c>
      <c r="H115">
        <v>15500</v>
      </c>
      <c r="I115" t="s">
        <v>1497</v>
      </c>
      <c r="J115">
        <v>17</v>
      </c>
      <c r="K115">
        <v>14</v>
      </c>
      <c r="L115">
        <v>3</v>
      </c>
      <c r="M115" t="s">
        <v>1288</v>
      </c>
      <c r="N115">
        <v>472650</v>
      </c>
    </row>
    <row r="116" spans="1:14" x14ac:dyDescent="0.25">
      <c r="A116" t="s">
        <v>1498</v>
      </c>
      <c r="B116" t="s">
        <v>273</v>
      </c>
      <c r="C116" t="s">
        <v>96</v>
      </c>
      <c r="D116" t="s">
        <v>1286</v>
      </c>
      <c r="E116">
        <v>2849000</v>
      </c>
      <c r="F116">
        <v>8.44</v>
      </c>
      <c r="G116">
        <v>168</v>
      </c>
      <c r="H116">
        <v>28959</v>
      </c>
      <c r="I116" t="s">
        <v>1499</v>
      </c>
      <c r="J116">
        <v>76</v>
      </c>
      <c r="K116">
        <v>73</v>
      </c>
      <c r="L116">
        <v>3</v>
      </c>
      <c r="M116" t="s">
        <v>1288</v>
      </c>
      <c r="N116">
        <v>1686296</v>
      </c>
    </row>
    <row r="117" spans="1:14" x14ac:dyDescent="0.25">
      <c r="A117" t="s">
        <v>1500</v>
      </c>
      <c r="B117" t="s">
        <v>931</v>
      </c>
      <c r="C117" t="s">
        <v>146</v>
      </c>
      <c r="D117" t="s">
        <v>1295</v>
      </c>
      <c r="E117">
        <v>1004000</v>
      </c>
      <c r="F117">
        <v>14.72</v>
      </c>
      <c r="G117">
        <v>36</v>
      </c>
      <c r="H117">
        <v>34666</v>
      </c>
      <c r="I117" t="s">
        <v>130</v>
      </c>
      <c r="J117">
        <v>36</v>
      </c>
      <c r="K117">
        <v>35</v>
      </c>
      <c r="L117">
        <v>1</v>
      </c>
      <c r="M117" t="s">
        <v>1312</v>
      </c>
      <c r="N117">
        <v>0</v>
      </c>
    </row>
    <row r="118" spans="1:14" x14ac:dyDescent="0.25">
      <c r="A118" t="s">
        <v>1501</v>
      </c>
      <c r="B118" t="s">
        <v>557</v>
      </c>
      <c r="C118" t="s">
        <v>146</v>
      </c>
      <c r="D118" t="s">
        <v>1286</v>
      </c>
      <c r="E118">
        <v>3212000</v>
      </c>
      <c r="F118">
        <v>8.2100000000000009</v>
      </c>
      <c r="G118">
        <v>138</v>
      </c>
      <c r="H118">
        <v>36041</v>
      </c>
      <c r="I118" t="s">
        <v>1502</v>
      </c>
      <c r="J118">
        <v>89</v>
      </c>
      <c r="K118">
        <v>87</v>
      </c>
      <c r="L118">
        <v>2</v>
      </c>
      <c r="M118" t="s">
        <v>1284</v>
      </c>
      <c r="N118">
        <v>1487438</v>
      </c>
    </row>
    <row r="119" spans="1:14" x14ac:dyDescent="0.25">
      <c r="A119" t="s">
        <v>1503</v>
      </c>
      <c r="B119" t="s">
        <v>994</v>
      </c>
      <c r="C119" t="s">
        <v>73</v>
      </c>
      <c r="D119" t="s">
        <v>1290</v>
      </c>
      <c r="E119">
        <v>489000</v>
      </c>
      <c r="F119">
        <v>8.7799999999999994</v>
      </c>
      <c r="G119">
        <v>48</v>
      </c>
      <c r="H119">
        <v>12118</v>
      </c>
      <c r="I119" t="s">
        <v>1504</v>
      </c>
      <c r="J119">
        <v>48</v>
      </c>
      <c r="K119">
        <v>47</v>
      </c>
      <c r="L119">
        <v>1</v>
      </c>
      <c r="M119" t="s">
        <v>1312</v>
      </c>
      <c r="N119">
        <v>0</v>
      </c>
    </row>
    <row r="120" spans="1:14" x14ac:dyDescent="0.25">
      <c r="A120" t="s">
        <v>1505</v>
      </c>
      <c r="B120" t="s">
        <v>603</v>
      </c>
      <c r="C120" t="s">
        <v>51</v>
      </c>
      <c r="D120" t="s">
        <v>1295</v>
      </c>
      <c r="E120">
        <v>2201000</v>
      </c>
      <c r="F120">
        <v>15.92</v>
      </c>
      <c r="G120">
        <v>42</v>
      </c>
      <c r="H120">
        <v>68692</v>
      </c>
      <c r="I120" t="s">
        <v>1506</v>
      </c>
      <c r="J120">
        <v>42</v>
      </c>
      <c r="K120">
        <v>39</v>
      </c>
      <c r="L120">
        <v>3</v>
      </c>
      <c r="M120" t="s">
        <v>1288</v>
      </c>
      <c r="N120">
        <v>727557</v>
      </c>
    </row>
    <row r="121" spans="1:14" x14ac:dyDescent="0.25">
      <c r="A121" t="s">
        <v>1507</v>
      </c>
      <c r="B121" t="s">
        <v>695</v>
      </c>
      <c r="C121" t="s">
        <v>87</v>
      </c>
      <c r="D121" t="s">
        <v>1290</v>
      </c>
      <c r="E121">
        <v>444000</v>
      </c>
      <c r="F121">
        <v>9.3000000000000007</v>
      </c>
      <c r="G121">
        <v>42</v>
      </c>
      <c r="H121">
        <v>12426</v>
      </c>
      <c r="I121" t="s">
        <v>1304</v>
      </c>
      <c r="J121">
        <v>22</v>
      </c>
      <c r="K121">
        <v>21</v>
      </c>
      <c r="L121">
        <v>1</v>
      </c>
      <c r="M121" t="s">
        <v>1284</v>
      </c>
      <c r="N121">
        <v>300480</v>
      </c>
    </row>
    <row r="122" spans="1:14" x14ac:dyDescent="0.25">
      <c r="A122" t="s">
        <v>1508</v>
      </c>
      <c r="B122" t="s">
        <v>306</v>
      </c>
      <c r="C122" t="s">
        <v>146</v>
      </c>
      <c r="D122" t="s">
        <v>1286</v>
      </c>
      <c r="E122">
        <v>2867000</v>
      </c>
      <c r="F122">
        <v>8.67</v>
      </c>
      <c r="G122">
        <v>96</v>
      </c>
      <c r="H122">
        <v>41513</v>
      </c>
      <c r="I122" t="s">
        <v>1504</v>
      </c>
      <c r="J122">
        <v>61</v>
      </c>
      <c r="K122">
        <v>58</v>
      </c>
      <c r="L122">
        <v>3</v>
      </c>
      <c r="M122" t="s">
        <v>1288</v>
      </c>
      <c r="N122">
        <v>1542735</v>
      </c>
    </row>
    <row r="123" spans="1:14" x14ac:dyDescent="0.25">
      <c r="A123" t="s">
        <v>1509</v>
      </c>
      <c r="B123" t="s">
        <v>1023</v>
      </c>
      <c r="C123" t="s">
        <v>146</v>
      </c>
      <c r="D123" t="s">
        <v>1286</v>
      </c>
      <c r="E123">
        <v>3505000</v>
      </c>
      <c r="F123">
        <v>8.65</v>
      </c>
      <c r="G123">
        <v>174</v>
      </c>
      <c r="H123">
        <v>35414</v>
      </c>
      <c r="I123" t="s">
        <v>1510</v>
      </c>
      <c r="J123">
        <v>75</v>
      </c>
      <c r="K123">
        <v>68</v>
      </c>
      <c r="L123">
        <v>7</v>
      </c>
      <c r="M123" t="s">
        <v>1288</v>
      </c>
      <c r="N123">
        <v>2180516</v>
      </c>
    </row>
    <row r="124" spans="1:14" x14ac:dyDescent="0.25">
      <c r="A124" t="s">
        <v>1511</v>
      </c>
      <c r="B124" t="s">
        <v>398</v>
      </c>
      <c r="C124" t="s">
        <v>87</v>
      </c>
      <c r="D124" t="s">
        <v>1290</v>
      </c>
      <c r="E124">
        <v>864000</v>
      </c>
      <c r="F124">
        <v>10.050000000000001</v>
      </c>
      <c r="G124">
        <v>72</v>
      </c>
      <c r="H124">
        <v>16028</v>
      </c>
      <c r="I124" t="s">
        <v>1031</v>
      </c>
      <c r="J124">
        <v>23</v>
      </c>
      <c r="K124">
        <v>22</v>
      </c>
      <c r="L124">
        <v>1</v>
      </c>
      <c r="M124" t="s">
        <v>1284</v>
      </c>
      <c r="N124">
        <v>670061</v>
      </c>
    </row>
    <row r="125" spans="1:14" x14ac:dyDescent="0.25">
      <c r="A125" t="s">
        <v>1512</v>
      </c>
      <c r="B125" t="s">
        <v>825</v>
      </c>
      <c r="C125" t="s">
        <v>96</v>
      </c>
      <c r="D125" t="s">
        <v>1295</v>
      </c>
      <c r="E125">
        <v>233000</v>
      </c>
      <c r="F125">
        <v>13.45</v>
      </c>
      <c r="G125">
        <v>54</v>
      </c>
      <c r="H125">
        <v>5775</v>
      </c>
      <c r="I125" t="s">
        <v>1513</v>
      </c>
      <c r="J125">
        <v>32</v>
      </c>
      <c r="K125">
        <v>28</v>
      </c>
      <c r="L125">
        <v>4</v>
      </c>
      <c r="M125" t="s">
        <v>1288</v>
      </c>
      <c r="N125">
        <v>144065</v>
      </c>
    </row>
    <row r="126" spans="1:14" x14ac:dyDescent="0.25">
      <c r="A126" t="s">
        <v>1514</v>
      </c>
      <c r="B126" t="s">
        <v>967</v>
      </c>
      <c r="C126" t="s">
        <v>96</v>
      </c>
      <c r="D126" t="s">
        <v>1295</v>
      </c>
      <c r="E126">
        <v>1830000</v>
      </c>
      <c r="F126">
        <v>12.51</v>
      </c>
      <c r="G126">
        <v>72</v>
      </c>
      <c r="H126">
        <v>36264</v>
      </c>
      <c r="I126" t="s">
        <v>1515</v>
      </c>
      <c r="J126">
        <v>14</v>
      </c>
      <c r="K126">
        <v>14</v>
      </c>
      <c r="L126">
        <v>0</v>
      </c>
      <c r="M126" t="s">
        <v>1284</v>
      </c>
      <c r="N126">
        <v>1550767</v>
      </c>
    </row>
    <row r="127" spans="1:14" x14ac:dyDescent="0.25">
      <c r="A127" t="s">
        <v>1516</v>
      </c>
      <c r="B127" t="s">
        <v>134</v>
      </c>
      <c r="C127" t="s">
        <v>87</v>
      </c>
      <c r="D127" t="s">
        <v>1290</v>
      </c>
      <c r="E127">
        <v>409000</v>
      </c>
      <c r="F127">
        <v>9.5299999999999994</v>
      </c>
      <c r="G127">
        <v>18</v>
      </c>
      <c r="H127">
        <v>24475</v>
      </c>
      <c r="I127" t="s">
        <v>1517</v>
      </c>
      <c r="J127">
        <v>18</v>
      </c>
      <c r="K127">
        <v>17</v>
      </c>
      <c r="L127">
        <v>1</v>
      </c>
      <c r="M127" t="s">
        <v>1312</v>
      </c>
      <c r="N127">
        <v>0</v>
      </c>
    </row>
    <row r="128" spans="1:14" x14ac:dyDescent="0.25">
      <c r="A128" t="s">
        <v>1518</v>
      </c>
      <c r="B128" t="s">
        <v>764</v>
      </c>
      <c r="C128" t="s">
        <v>146</v>
      </c>
      <c r="D128" t="s">
        <v>1282</v>
      </c>
      <c r="E128">
        <v>349000</v>
      </c>
      <c r="F128">
        <v>11.04</v>
      </c>
      <c r="G128">
        <v>36</v>
      </c>
      <c r="H128">
        <v>11432</v>
      </c>
      <c r="I128" t="s">
        <v>1519</v>
      </c>
      <c r="J128">
        <v>36</v>
      </c>
      <c r="K128">
        <v>36</v>
      </c>
      <c r="L128">
        <v>0</v>
      </c>
      <c r="M128" t="s">
        <v>1312</v>
      </c>
      <c r="N128">
        <v>0</v>
      </c>
    </row>
    <row r="129" spans="1:14" x14ac:dyDescent="0.25">
      <c r="A129" t="s">
        <v>1520</v>
      </c>
      <c r="B129" t="s">
        <v>1080</v>
      </c>
      <c r="C129" t="s">
        <v>87</v>
      </c>
      <c r="D129" t="s">
        <v>1290</v>
      </c>
      <c r="E129">
        <v>939000</v>
      </c>
      <c r="F129">
        <v>10.27</v>
      </c>
      <c r="G129">
        <v>72</v>
      </c>
      <c r="H129">
        <v>17524</v>
      </c>
      <c r="I129" t="s">
        <v>629</v>
      </c>
      <c r="J129">
        <v>19</v>
      </c>
      <c r="K129">
        <v>19</v>
      </c>
      <c r="L129">
        <v>0</v>
      </c>
      <c r="M129" t="s">
        <v>1284</v>
      </c>
      <c r="N129">
        <v>755874</v>
      </c>
    </row>
    <row r="130" spans="1:14" x14ac:dyDescent="0.25">
      <c r="A130" t="s">
        <v>1521</v>
      </c>
      <c r="B130" t="s">
        <v>574</v>
      </c>
      <c r="C130" t="s">
        <v>73</v>
      </c>
      <c r="D130" t="s">
        <v>1286</v>
      </c>
      <c r="E130">
        <v>1519000</v>
      </c>
      <c r="F130">
        <v>7.87</v>
      </c>
      <c r="G130">
        <v>60</v>
      </c>
      <c r="H130">
        <v>30705</v>
      </c>
      <c r="I130" t="s">
        <v>1522</v>
      </c>
      <c r="J130">
        <v>60</v>
      </c>
      <c r="K130">
        <v>58</v>
      </c>
      <c r="L130">
        <v>2</v>
      </c>
      <c r="M130" t="s">
        <v>1284</v>
      </c>
      <c r="N130">
        <v>539510</v>
      </c>
    </row>
    <row r="131" spans="1:14" x14ac:dyDescent="0.25">
      <c r="A131" t="s">
        <v>1523</v>
      </c>
      <c r="B131" t="s">
        <v>350</v>
      </c>
      <c r="C131" t="s">
        <v>51</v>
      </c>
      <c r="D131" t="s">
        <v>1286</v>
      </c>
      <c r="E131">
        <v>1358000</v>
      </c>
      <c r="F131">
        <v>8.1199999999999992</v>
      </c>
      <c r="G131">
        <v>156</v>
      </c>
      <c r="H131">
        <v>14120</v>
      </c>
      <c r="I131" t="s">
        <v>1524</v>
      </c>
      <c r="J131">
        <v>71</v>
      </c>
      <c r="K131">
        <v>65</v>
      </c>
      <c r="L131">
        <v>6</v>
      </c>
      <c r="M131" t="s">
        <v>1288</v>
      </c>
      <c r="N131">
        <v>853210</v>
      </c>
    </row>
    <row r="132" spans="1:14" x14ac:dyDescent="0.25">
      <c r="A132" t="s">
        <v>1525</v>
      </c>
      <c r="B132" t="s">
        <v>1077</v>
      </c>
      <c r="C132" t="s">
        <v>73</v>
      </c>
      <c r="D132" t="s">
        <v>1286</v>
      </c>
      <c r="E132">
        <v>3872000</v>
      </c>
      <c r="F132">
        <v>8.09</v>
      </c>
      <c r="G132">
        <v>84</v>
      </c>
      <c r="H132">
        <v>60524</v>
      </c>
      <c r="I132" t="s">
        <v>1526</v>
      </c>
      <c r="J132">
        <v>59</v>
      </c>
      <c r="K132">
        <v>56</v>
      </c>
      <c r="L132">
        <v>3</v>
      </c>
      <c r="M132" t="s">
        <v>1288</v>
      </c>
      <c r="N132">
        <v>2007861</v>
      </c>
    </row>
    <row r="133" spans="1:14" x14ac:dyDescent="0.25">
      <c r="A133" t="s">
        <v>1527</v>
      </c>
      <c r="B133" t="s">
        <v>392</v>
      </c>
      <c r="C133" t="s">
        <v>96</v>
      </c>
      <c r="D133" t="s">
        <v>1295</v>
      </c>
      <c r="E133">
        <v>2330000</v>
      </c>
      <c r="F133">
        <v>11.91</v>
      </c>
      <c r="G133">
        <v>66</v>
      </c>
      <c r="H133">
        <v>48288</v>
      </c>
      <c r="I133" t="s">
        <v>1528</v>
      </c>
      <c r="J133">
        <v>51</v>
      </c>
      <c r="K133">
        <v>48</v>
      </c>
      <c r="L133">
        <v>3</v>
      </c>
      <c r="M133" t="s">
        <v>1288</v>
      </c>
      <c r="N133">
        <v>1055197</v>
      </c>
    </row>
    <row r="134" spans="1:14" x14ac:dyDescent="0.25">
      <c r="A134" t="s">
        <v>1529</v>
      </c>
      <c r="B134" t="s">
        <v>572</v>
      </c>
      <c r="C134" t="s">
        <v>146</v>
      </c>
      <c r="D134" t="s">
        <v>1290</v>
      </c>
      <c r="E134">
        <v>401000</v>
      </c>
      <c r="F134">
        <v>9.77</v>
      </c>
      <c r="G134">
        <v>42</v>
      </c>
      <c r="H134">
        <v>11311</v>
      </c>
      <c r="I134" t="s">
        <v>1530</v>
      </c>
      <c r="J134">
        <v>42</v>
      </c>
      <c r="K134">
        <v>37</v>
      </c>
      <c r="L134">
        <v>5</v>
      </c>
      <c r="M134" t="s">
        <v>1288</v>
      </c>
      <c r="N134">
        <v>170821</v>
      </c>
    </row>
    <row r="135" spans="1:14" x14ac:dyDescent="0.25">
      <c r="A135" t="s">
        <v>1531</v>
      </c>
      <c r="B135" t="s">
        <v>297</v>
      </c>
      <c r="C135" t="s">
        <v>73</v>
      </c>
      <c r="D135" t="s">
        <v>1286</v>
      </c>
      <c r="E135">
        <v>1283000</v>
      </c>
      <c r="F135">
        <v>7.67</v>
      </c>
      <c r="G135">
        <v>144</v>
      </c>
      <c r="H135">
        <v>13657</v>
      </c>
      <c r="I135" t="s">
        <v>1532</v>
      </c>
      <c r="J135">
        <v>32</v>
      </c>
      <c r="K135">
        <v>30</v>
      </c>
      <c r="L135">
        <v>2</v>
      </c>
      <c r="M135" t="s">
        <v>1284</v>
      </c>
      <c r="N135">
        <v>1057660</v>
      </c>
    </row>
    <row r="136" spans="1:14" x14ac:dyDescent="0.25">
      <c r="A136" t="s">
        <v>1533</v>
      </c>
      <c r="B136" t="s">
        <v>485</v>
      </c>
      <c r="C136" t="s">
        <v>51</v>
      </c>
      <c r="D136" t="s">
        <v>1282</v>
      </c>
      <c r="E136">
        <v>419000</v>
      </c>
      <c r="F136">
        <v>12.37</v>
      </c>
      <c r="G136">
        <v>42</v>
      </c>
      <c r="H136">
        <v>12342</v>
      </c>
      <c r="I136" t="s">
        <v>1534</v>
      </c>
      <c r="J136">
        <v>42</v>
      </c>
      <c r="K136">
        <v>41</v>
      </c>
      <c r="L136">
        <v>1</v>
      </c>
      <c r="M136" t="s">
        <v>1312</v>
      </c>
      <c r="N136">
        <v>0</v>
      </c>
    </row>
    <row r="137" spans="1:14" x14ac:dyDescent="0.25">
      <c r="A137" t="s">
        <v>1535</v>
      </c>
      <c r="B137" t="s">
        <v>662</v>
      </c>
      <c r="C137" t="s">
        <v>51</v>
      </c>
      <c r="D137" t="s">
        <v>1290</v>
      </c>
      <c r="E137">
        <v>884000</v>
      </c>
      <c r="F137">
        <v>9.07</v>
      </c>
      <c r="G137">
        <v>60</v>
      </c>
      <c r="H137">
        <v>18380</v>
      </c>
      <c r="I137" t="s">
        <v>1536</v>
      </c>
      <c r="J137">
        <v>60</v>
      </c>
      <c r="K137">
        <v>55</v>
      </c>
      <c r="L137">
        <v>5</v>
      </c>
      <c r="M137" t="s">
        <v>1288</v>
      </c>
      <c r="N137">
        <v>328005</v>
      </c>
    </row>
    <row r="138" spans="1:14" x14ac:dyDescent="0.25">
      <c r="A138" t="s">
        <v>1537</v>
      </c>
      <c r="B138" t="s">
        <v>1252</v>
      </c>
      <c r="C138" t="s">
        <v>87</v>
      </c>
      <c r="D138" t="s">
        <v>1295</v>
      </c>
      <c r="E138">
        <v>890000</v>
      </c>
      <c r="F138">
        <v>15.46</v>
      </c>
      <c r="G138">
        <v>24</v>
      </c>
      <c r="H138">
        <v>43348</v>
      </c>
      <c r="I138" t="s">
        <v>1538</v>
      </c>
      <c r="J138">
        <v>13</v>
      </c>
      <c r="K138">
        <v>10</v>
      </c>
      <c r="L138">
        <v>3</v>
      </c>
      <c r="M138" t="s">
        <v>1288</v>
      </c>
      <c r="N138">
        <v>651586</v>
      </c>
    </row>
    <row r="139" spans="1:14" x14ac:dyDescent="0.25">
      <c r="A139" t="s">
        <v>1539</v>
      </c>
      <c r="B139" t="s">
        <v>503</v>
      </c>
      <c r="C139" t="s">
        <v>87</v>
      </c>
      <c r="D139" t="s">
        <v>1295</v>
      </c>
      <c r="E139">
        <v>1533000</v>
      </c>
      <c r="F139">
        <v>11.61</v>
      </c>
      <c r="G139">
        <v>84</v>
      </c>
      <c r="H139">
        <v>26743</v>
      </c>
      <c r="I139" t="s">
        <v>1450</v>
      </c>
      <c r="J139">
        <v>84</v>
      </c>
      <c r="K139">
        <v>79</v>
      </c>
      <c r="L139">
        <v>5</v>
      </c>
      <c r="M139" t="s">
        <v>1288</v>
      </c>
      <c r="N139">
        <v>371017</v>
      </c>
    </row>
    <row r="140" spans="1:14" x14ac:dyDescent="0.25">
      <c r="A140" t="s">
        <v>1540</v>
      </c>
      <c r="B140" t="s">
        <v>868</v>
      </c>
      <c r="C140" t="s">
        <v>51</v>
      </c>
      <c r="D140" t="s">
        <v>1286</v>
      </c>
      <c r="E140">
        <v>2146000</v>
      </c>
      <c r="F140">
        <v>7.65</v>
      </c>
      <c r="G140">
        <v>162</v>
      </c>
      <c r="H140">
        <v>21283</v>
      </c>
      <c r="I140" t="s">
        <v>1541</v>
      </c>
      <c r="J140">
        <v>75</v>
      </c>
      <c r="K140">
        <v>74</v>
      </c>
      <c r="L140">
        <v>1</v>
      </c>
      <c r="M140" t="s">
        <v>1284</v>
      </c>
      <c r="N140">
        <v>1279782</v>
      </c>
    </row>
    <row r="141" spans="1:14" x14ac:dyDescent="0.25">
      <c r="A141" t="s">
        <v>1542</v>
      </c>
      <c r="B141" t="s">
        <v>140</v>
      </c>
      <c r="C141" t="s">
        <v>51</v>
      </c>
      <c r="D141" t="s">
        <v>1290</v>
      </c>
      <c r="E141">
        <v>220000</v>
      </c>
      <c r="F141">
        <v>9.91</v>
      </c>
      <c r="G141">
        <v>72</v>
      </c>
      <c r="H141">
        <v>4066</v>
      </c>
      <c r="I141" t="s">
        <v>1543</v>
      </c>
      <c r="J141">
        <v>72</v>
      </c>
      <c r="K141">
        <v>69</v>
      </c>
      <c r="L141">
        <v>3</v>
      </c>
      <c r="M141" t="s">
        <v>1288</v>
      </c>
      <c r="N141">
        <v>65695</v>
      </c>
    </row>
    <row r="142" spans="1:14" x14ac:dyDescent="0.25">
      <c r="A142" t="s">
        <v>1544</v>
      </c>
      <c r="B142" t="s">
        <v>1000</v>
      </c>
      <c r="C142" t="s">
        <v>87</v>
      </c>
      <c r="D142" t="s">
        <v>1290</v>
      </c>
      <c r="E142">
        <v>267000</v>
      </c>
      <c r="F142">
        <v>9.0399999999999991</v>
      </c>
      <c r="G142">
        <v>30</v>
      </c>
      <c r="H142">
        <v>9977</v>
      </c>
      <c r="I142" t="s">
        <v>1545</v>
      </c>
      <c r="J142">
        <v>30</v>
      </c>
      <c r="K142">
        <v>29</v>
      </c>
      <c r="L142">
        <v>1</v>
      </c>
      <c r="M142" t="s">
        <v>1312</v>
      </c>
      <c r="N142">
        <v>0</v>
      </c>
    </row>
    <row r="143" spans="1:14" x14ac:dyDescent="0.25">
      <c r="A143" t="s">
        <v>1546</v>
      </c>
      <c r="B143" t="s">
        <v>148</v>
      </c>
      <c r="C143" t="s">
        <v>73</v>
      </c>
      <c r="D143" t="s">
        <v>1295</v>
      </c>
      <c r="E143">
        <v>367000</v>
      </c>
      <c r="F143">
        <v>11.56</v>
      </c>
      <c r="G143">
        <v>60</v>
      </c>
      <c r="H143">
        <v>8082</v>
      </c>
      <c r="I143" t="s">
        <v>1547</v>
      </c>
      <c r="J143">
        <v>58</v>
      </c>
      <c r="K143">
        <v>57</v>
      </c>
      <c r="L143">
        <v>1</v>
      </c>
      <c r="M143" t="s">
        <v>1284</v>
      </c>
      <c r="N143">
        <v>113629</v>
      </c>
    </row>
    <row r="144" spans="1:14" x14ac:dyDescent="0.25">
      <c r="A144" t="s">
        <v>1548</v>
      </c>
      <c r="B144" t="s">
        <v>253</v>
      </c>
      <c r="C144" t="s">
        <v>87</v>
      </c>
      <c r="D144" t="s">
        <v>1295</v>
      </c>
      <c r="E144">
        <v>1231000</v>
      </c>
      <c r="F144">
        <v>11.83</v>
      </c>
      <c r="G144">
        <v>84</v>
      </c>
      <c r="H144">
        <v>21619</v>
      </c>
      <c r="I144" t="s">
        <v>1549</v>
      </c>
      <c r="J144">
        <v>68</v>
      </c>
      <c r="K144">
        <v>62</v>
      </c>
      <c r="L144">
        <v>6</v>
      </c>
      <c r="M144" t="s">
        <v>1288</v>
      </c>
      <c r="N144">
        <v>493792</v>
      </c>
    </row>
    <row r="145" spans="1:14" x14ac:dyDescent="0.25">
      <c r="A145" t="s">
        <v>1550</v>
      </c>
      <c r="B145" t="s">
        <v>683</v>
      </c>
      <c r="C145" t="s">
        <v>96</v>
      </c>
      <c r="D145" t="s">
        <v>1286</v>
      </c>
      <c r="E145">
        <v>1806000</v>
      </c>
      <c r="F145">
        <v>8.15</v>
      </c>
      <c r="G145">
        <v>114</v>
      </c>
      <c r="H145">
        <v>22810</v>
      </c>
      <c r="I145" t="s">
        <v>1551</v>
      </c>
      <c r="J145">
        <v>59</v>
      </c>
      <c r="K145">
        <v>55</v>
      </c>
      <c r="L145">
        <v>4</v>
      </c>
      <c r="M145" t="s">
        <v>1288</v>
      </c>
      <c r="N145">
        <v>1115998</v>
      </c>
    </row>
    <row r="146" spans="1:14" x14ac:dyDescent="0.25">
      <c r="A146" t="s">
        <v>1552</v>
      </c>
      <c r="B146" t="s">
        <v>1089</v>
      </c>
      <c r="C146" t="s">
        <v>73</v>
      </c>
      <c r="D146" t="s">
        <v>1295</v>
      </c>
      <c r="E146">
        <v>646000</v>
      </c>
      <c r="F146">
        <v>11.67</v>
      </c>
      <c r="G146">
        <v>54</v>
      </c>
      <c r="H146">
        <v>15435</v>
      </c>
      <c r="I146" t="s">
        <v>1293</v>
      </c>
      <c r="J146">
        <v>54</v>
      </c>
      <c r="K146">
        <v>48</v>
      </c>
      <c r="L146">
        <v>6</v>
      </c>
      <c r="M146" t="s">
        <v>1288</v>
      </c>
      <c r="N146">
        <v>238516</v>
      </c>
    </row>
    <row r="147" spans="1:14" x14ac:dyDescent="0.25">
      <c r="A147" t="s">
        <v>1553</v>
      </c>
      <c r="B147" t="s">
        <v>1014</v>
      </c>
      <c r="C147" t="s">
        <v>87</v>
      </c>
      <c r="D147" t="s">
        <v>1282</v>
      </c>
      <c r="E147">
        <v>131000</v>
      </c>
      <c r="F147">
        <v>14.77</v>
      </c>
      <c r="G147">
        <v>18</v>
      </c>
      <c r="H147">
        <v>8158</v>
      </c>
      <c r="I147" t="s">
        <v>1554</v>
      </c>
      <c r="J147">
        <v>18</v>
      </c>
      <c r="K147">
        <v>18</v>
      </c>
      <c r="L147">
        <v>0</v>
      </c>
      <c r="M147" t="s">
        <v>1312</v>
      </c>
      <c r="N147">
        <v>0</v>
      </c>
    </row>
    <row r="148" spans="1:14" x14ac:dyDescent="0.25">
      <c r="A148" t="s">
        <v>1555</v>
      </c>
      <c r="B148" t="s">
        <v>802</v>
      </c>
      <c r="C148" t="s">
        <v>51</v>
      </c>
      <c r="D148" t="s">
        <v>1282</v>
      </c>
      <c r="E148">
        <v>242000</v>
      </c>
      <c r="F148">
        <v>12.82</v>
      </c>
      <c r="G148">
        <v>18</v>
      </c>
      <c r="H148">
        <v>14850</v>
      </c>
      <c r="I148" t="s">
        <v>1524</v>
      </c>
      <c r="J148">
        <v>18</v>
      </c>
      <c r="K148">
        <v>15</v>
      </c>
      <c r="L148">
        <v>3</v>
      </c>
      <c r="M148" t="s">
        <v>1288</v>
      </c>
      <c r="N148">
        <v>119487</v>
      </c>
    </row>
    <row r="149" spans="1:14" x14ac:dyDescent="0.25">
      <c r="A149" t="s">
        <v>1556</v>
      </c>
      <c r="B149" t="s">
        <v>536</v>
      </c>
      <c r="C149" t="s">
        <v>146</v>
      </c>
      <c r="D149" t="s">
        <v>1282</v>
      </c>
      <c r="E149">
        <v>464000</v>
      </c>
      <c r="F149">
        <v>14.15</v>
      </c>
      <c r="G149">
        <v>12</v>
      </c>
      <c r="H149">
        <v>41694</v>
      </c>
      <c r="I149" t="s">
        <v>1557</v>
      </c>
      <c r="J149">
        <v>12</v>
      </c>
      <c r="K149">
        <v>10</v>
      </c>
      <c r="L149">
        <v>2</v>
      </c>
      <c r="M149" t="s">
        <v>1284</v>
      </c>
      <c r="N149">
        <v>234683</v>
      </c>
    </row>
    <row r="150" spans="1:14" x14ac:dyDescent="0.25">
      <c r="A150" t="s">
        <v>1558</v>
      </c>
      <c r="B150" t="s">
        <v>877</v>
      </c>
      <c r="C150" t="s">
        <v>96</v>
      </c>
      <c r="D150" t="s">
        <v>1286</v>
      </c>
      <c r="E150">
        <v>3026000</v>
      </c>
      <c r="F150">
        <v>8.84</v>
      </c>
      <c r="G150">
        <v>180</v>
      </c>
      <c r="H150">
        <v>30404</v>
      </c>
      <c r="I150" t="s">
        <v>1215</v>
      </c>
      <c r="J150">
        <v>43</v>
      </c>
      <c r="K150">
        <v>43</v>
      </c>
      <c r="L150">
        <v>0</v>
      </c>
      <c r="M150" t="s">
        <v>1284</v>
      </c>
      <c r="N150">
        <v>2306945</v>
      </c>
    </row>
    <row r="151" spans="1:14" x14ac:dyDescent="0.25">
      <c r="A151" t="s">
        <v>1559</v>
      </c>
      <c r="B151" t="s">
        <v>719</v>
      </c>
      <c r="C151" t="s">
        <v>146</v>
      </c>
      <c r="D151" t="s">
        <v>1286</v>
      </c>
      <c r="E151">
        <v>2505000</v>
      </c>
      <c r="F151">
        <v>7.75</v>
      </c>
      <c r="G151">
        <v>174</v>
      </c>
      <c r="H151">
        <v>24012</v>
      </c>
      <c r="I151" t="s">
        <v>1560</v>
      </c>
      <c r="J151">
        <v>60</v>
      </c>
      <c r="K151">
        <v>59</v>
      </c>
      <c r="L151">
        <v>1</v>
      </c>
      <c r="M151" t="s">
        <v>1284</v>
      </c>
      <c r="N151">
        <v>1725811</v>
      </c>
    </row>
    <row r="152" spans="1:14" x14ac:dyDescent="0.25">
      <c r="A152" t="s">
        <v>1561</v>
      </c>
      <c r="B152" t="s">
        <v>377</v>
      </c>
      <c r="C152" t="s">
        <v>96</v>
      </c>
      <c r="D152" t="s">
        <v>1282</v>
      </c>
      <c r="E152">
        <v>387000</v>
      </c>
      <c r="F152">
        <v>12.81</v>
      </c>
      <c r="G152">
        <v>18</v>
      </c>
      <c r="H152">
        <v>23746</v>
      </c>
      <c r="I152" t="s">
        <v>469</v>
      </c>
      <c r="J152">
        <v>18</v>
      </c>
      <c r="K152">
        <v>17</v>
      </c>
      <c r="L152">
        <v>1</v>
      </c>
      <c r="M152" t="s">
        <v>1312</v>
      </c>
      <c r="N152">
        <v>0</v>
      </c>
    </row>
    <row r="153" spans="1:14" x14ac:dyDescent="0.25">
      <c r="A153" t="s">
        <v>1562</v>
      </c>
      <c r="B153" t="s">
        <v>1115</v>
      </c>
      <c r="C153" t="s">
        <v>96</v>
      </c>
      <c r="D153" t="s">
        <v>1286</v>
      </c>
      <c r="E153">
        <v>3455000</v>
      </c>
      <c r="F153">
        <v>7.86</v>
      </c>
      <c r="G153">
        <v>156</v>
      </c>
      <c r="H153">
        <v>35423</v>
      </c>
      <c r="I153" t="s">
        <v>1563</v>
      </c>
      <c r="J153">
        <v>67</v>
      </c>
      <c r="K153">
        <v>60</v>
      </c>
      <c r="L153">
        <v>7</v>
      </c>
      <c r="M153" t="s">
        <v>1288</v>
      </c>
      <c r="N153">
        <v>2286041</v>
      </c>
    </row>
    <row r="154" spans="1:14" x14ac:dyDescent="0.25">
      <c r="A154" t="s">
        <v>1564</v>
      </c>
      <c r="B154" t="s">
        <v>452</v>
      </c>
      <c r="C154" t="s">
        <v>96</v>
      </c>
      <c r="D154" t="s">
        <v>1290</v>
      </c>
      <c r="E154">
        <v>861000</v>
      </c>
      <c r="F154">
        <v>8.5299999999999994</v>
      </c>
      <c r="G154">
        <v>36</v>
      </c>
      <c r="H154">
        <v>27192</v>
      </c>
      <c r="I154" t="s">
        <v>1565</v>
      </c>
      <c r="J154">
        <v>36</v>
      </c>
      <c r="K154">
        <v>35</v>
      </c>
      <c r="L154">
        <v>1</v>
      </c>
      <c r="M154" t="s">
        <v>1312</v>
      </c>
      <c r="N154">
        <v>0</v>
      </c>
    </row>
    <row r="155" spans="1:14" x14ac:dyDescent="0.25">
      <c r="A155" t="s">
        <v>1566</v>
      </c>
      <c r="B155" t="s">
        <v>425</v>
      </c>
      <c r="C155" t="s">
        <v>146</v>
      </c>
      <c r="D155" t="s">
        <v>1286</v>
      </c>
      <c r="E155">
        <v>2026000</v>
      </c>
      <c r="F155">
        <v>8.02</v>
      </c>
      <c r="G155">
        <v>138</v>
      </c>
      <c r="H155">
        <v>22523</v>
      </c>
      <c r="I155" t="s">
        <v>427</v>
      </c>
      <c r="J155">
        <v>24</v>
      </c>
      <c r="K155">
        <v>23</v>
      </c>
      <c r="L155">
        <v>1</v>
      </c>
      <c r="M155" t="s">
        <v>1284</v>
      </c>
      <c r="N155">
        <v>1741084</v>
      </c>
    </row>
    <row r="156" spans="1:14" x14ac:dyDescent="0.25">
      <c r="A156" t="s">
        <v>1567</v>
      </c>
      <c r="B156" t="s">
        <v>1198</v>
      </c>
      <c r="C156" t="s">
        <v>96</v>
      </c>
      <c r="D156" t="s">
        <v>1282</v>
      </c>
      <c r="E156">
        <v>102000</v>
      </c>
      <c r="F156">
        <v>14.28</v>
      </c>
      <c r="G156">
        <v>12</v>
      </c>
      <c r="H156">
        <v>9172</v>
      </c>
      <c r="I156" t="s">
        <v>1568</v>
      </c>
      <c r="J156">
        <v>12</v>
      </c>
      <c r="K156">
        <v>11</v>
      </c>
      <c r="L156">
        <v>1</v>
      </c>
      <c r="M156" t="s">
        <v>1312</v>
      </c>
      <c r="N156">
        <v>0</v>
      </c>
    </row>
    <row r="157" spans="1:14" x14ac:dyDescent="0.25">
      <c r="A157" t="s">
        <v>1569</v>
      </c>
      <c r="B157" t="s">
        <v>886</v>
      </c>
      <c r="C157" t="s">
        <v>96</v>
      </c>
      <c r="D157" t="s">
        <v>1282</v>
      </c>
      <c r="E157">
        <v>505000</v>
      </c>
      <c r="F157">
        <v>12</v>
      </c>
      <c r="G157">
        <v>30</v>
      </c>
      <c r="H157">
        <v>19568</v>
      </c>
      <c r="I157" t="s">
        <v>1570</v>
      </c>
      <c r="J157">
        <v>28</v>
      </c>
      <c r="K157">
        <v>26</v>
      </c>
      <c r="L157">
        <v>2</v>
      </c>
      <c r="M157" t="s">
        <v>1284</v>
      </c>
      <c r="N157">
        <v>225178</v>
      </c>
    </row>
    <row r="158" spans="1:14" x14ac:dyDescent="0.25">
      <c r="A158" t="s">
        <v>1571</v>
      </c>
      <c r="B158" t="s">
        <v>410</v>
      </c>
      <c r="C158" t="s">
        <v>146</v>
      </c>
      <c r="D158" t="s">
        <v>1286</v>
      </c>
      <c r="E158">
        <v>3077000</v>
      </c>
      <c r="F158">
        <v>8.85</v>
      </c>
      <c r="G158">
        <v>156</v>
      </c>
      <c r="H158">
        <v>33265</v>
      </c>
      <c r="I158" t="s">
        <v>1572</v>
      </c>
      <c r="J158">
        <v>75</v>
      </c>
      <c r="K158">
        <v>73</v>
      </c>
      <c r="L158">
        <v>2</v>
      </c>
      <c r="M158" t="s">
        <v>1284</v>
      </c>
      <c r="N158">
        <v>1741410</v>
      </c>
    </row>
    <row r="159" spans="1:14" x14ac:dyDescent="0.25">
      <c r="A159" t="s">
        <v>1573</v>
      </c>
      <c r="B159" t="s">
        <v>1086</v>
      </c>
      <c r="C159" t="s">
        <v>146</v>
      </c>
      <c r="D159" t="s">
        <v>1282</v>
      </c>
      <c r="E159">
        <v>369000</v>
      </c>
      <c r="F159">
        <v>12.48</v>
      </c>
      <c r="G159">
        <v>30</v>
      </c>
      <c r="H159">
        <v>14382</v>
      </c>
      <c r="I159" t="s">
        <v>1574</v>
      </c>
      <c r="J159">
        <v>30</v>
      </c>
      <c r="K159">
        <v>27</v>
      </c>
      <c r="L159">
        <v>3</v>
      </c>
      <c r="M159" t="s">
        <v>1288</v>
      </c>
      <c r="N159">
        <v>155427</v>
      </c>
    </row>
    <row r="160" spans="1:14" x14ac:dyDescent="0.25">
      <c r="A160" t="s">
        <v>1575</v>
      </c>
      <c r="B160" t="s">
        <v>368</v>
      </c>
      <c r="C160" t="s">
        <v>87</v>
      </c>
      <c r="D160" t="s">
        <v>1282</v>
      </c>
      <c r="E160">
        <v>425000</v>
      </c>
      <c r="F160">
        <v>12.58</v>
      </c>
      <c r="G160">
        <v>48</v>
      </c>
      <c r="H160">
        <v>11313</v>
      </c>
      <c r="I160" t="s">
        <v>290</v>
      </c>
      <c r="J160">
        <v>48</v>
      </c>
      <c r="K160">
        <v>46</v>
      </c>
      <c r="L160">
        <v>2</v>
      </c>
      <c r="M160" t="s">
        <v>1284</v>
      </c>
      <c r="N160">
        <v>138781</v>
      </c>
    </row>
    <row r="161" spans="1:14" x14ac:dyDescent="0.25">
      <c r="A161" t="s">
        <v>1576</v>
      </c>
      <c r="B161" t="s">
        <v>946</v>
      </c>
      <c r="C161" t="s">
        <v>146</v>
      </c>
      <c r="D161" t="s">
        <v>1290</v>
      </c>
      <c r="E161">
        <v>750000</v>
      </c>
      <c r="F161">
        <v>10.15</v>
      </c>
      <c r="G161">
        <v>54</v>
      </c>
      <c r="H161">
        <v>17359</v>
      </c>
      <c r="I161" t="s">
        <v>1577</v>
      </c>
      <c r="J161">
        <v>54</v>
      </c>
      <c r="K161">
        <v>51</v>
      </c>
      <c r="L161">
        <v>3</v>
      </c>
      <c r="M161" t="s">
        <v>1288</v>
      </c>
      <c r="N161">
        <v>263080</v>
      </c>
    </row>
    <row r="162" spans="1:14" x14ac:dyDescent="0.25">
      <c r="A162" t="s">
        <v>1578</v>
      </c>
      <c r="B162" t="s">
        <v>461</v>
      </c>
      <c r="C162" t="s">
        <v>87</v>
      </c>
      <c r="D162" t="s">
        <v>1286</v>
      </c>
      <c r="E162">
        <v>1737000</v>
      </c>
      <c r="F162">
        <v>8.49</v>
      </c>
      <c r="G162">
        <v>72</v>
      </c>
      <c r="H162">
        <v>30873</v>
      </c>
      <c r="I162" t="s">
        <v>1579</v>
      </c>
      <c r="J162">
        <v>54</v>
      </c>
      <c r="K162">
        <v>50</v>
      </c>
      <c r="L162">
        <v>4</v>
      </c>
      <c r="M162" t="s">
        <v>1288</v>
      </c>
      <c r="N162">
        <v>887992</v>
      </c>
    </row>
    <row r="163" spans="1:14" x14ac:dyDescent="0.25">
      <c r="A163" t="s">
        <v>1580</v>
      </c>
      <c r="B163" t="s">
        <v>799</v>
      </c>
      <c r="C163" t="s">
        <v>146</v>
      </c>
      <c r="D163" t="s">
        <v>1290</v>
      </c>
      <c r="E163">
        <v>683000</v>
      </c>
      <c r="F163">
        <v>9.98</v>
      </c>
      <c r="G163">
        <v>72</v>
      </c>
      <c r="H163">
        <v>12646</v>
      </c>
      <c r="I163" t="s">
        <v>1581</v>
      </c>
      <c r="J163">
        <v>36</v>
      </c>
      <c r="K163">
        <v>34</v>
      </c>
      <c r="L163">
        <v>2</v>
      </c>
      <c r="M163" t="s">
        <v>1284</v>
      </c>
      <c r="N163">
        <v>446520</v>
      </c>
    </row>
    <row r="164" spans="1:14" x14ac:dyDescent="0.25">
      <c r="A164" t="s">
        <v>1582</v>
      </c>
      <c r="B164" t="s">
        <v>1225</v>
      </c>
      <c r="C164" t="s">
        <v>51</v>
      </c>
      <c r="D164" t="s">
        <v>1295</v>
      </c>
      <c r="E164">
        <v>865000</v>
      </c>
      <c r="F164">
        <v>14.73</v>
      </c>
      <c r="G164">
        <v>18</v>
      </c>
      <c r="H164">
        <v>53853</v>
      </c>
      <c r="I164" t="s">
        <v>1583</v>
      </c>
      <c r="J164">
        <v>18</v>
      </c>
      <c r="K164">
        <v>18</v>
      </c>
      <c r="L164">
        <v>0</v>
      </c>
      <c r="M164" t="s">
        <v>1312</v>
      </c>
      <c r="N164">
        <v>0</v>
      </c>
    </row>
    <row r="165" spans="1:14" x14ac:dyDescent="0.25">
      <c r="A165" t="s">
        <v>1584</v>
      </c>
      <c r="B165" t="s">
        <v>359</v>
      </c>
      <c r="C165" t="s">
        <v>73</v>
      </c>
      <c r="D165" t="s">
        <v>1286</v>
      </c>
      <c r="E165">
        <v>1278000</v>
      </c>
      <c r="F165">
        <v>8.2200000000000006</v>
      </c>
      <c r="G165">
        <v>132</v>
      </c>
      <c r="H165">
        <v>14741</v>
      </c>
      <c r="I165" t="s">
        <v>287</v>
      </c>
      <c r="J165">
        <v>82</v>
      </c>
      <c r="K165">
        <v>76</v>
      </c>
      <c r="L165">
        <v>6</v>
      </c>
      <c r="M165" t="s">
        <v>1288</v>
      </c>
      <c r="N165">
        <v>661826</v>
      </c>
    </row>
    <row r="166" spans="1:14" x14ac:dyDescent="0.25">
      <c r="A166" t="s">
        <v>1585</v>
      </c>
      <c r="B166" t="s">
        <v>1216</v>
      </c>
      <c r="C166" t="s">
        <v>51</v>
      </c>
      <c r="D166" t="s">
        <v>1290</v>
      </c>
      <c r="E166">
        <v>708000</v>
      </c>
      <c r="F166">
        <v>8.52</v>
      </c>
      <c r="G166">
        <v>72</v>
      </c>
      <c r="H166">
        <v>12594</v>
      </c>
      <c r="I166" t="s">
        <v>1586</v>
      </c>
      <c r="J166">
        <v>72</v>
      </c>
      <c r="K166">
        <v>66</v>
      </c>
      <c r="L166">
        <v>6</v>
      </c>
      <c r="M166" t="s">
        <v>1288</v>
      </c>
      <c r="N166">
        <v>250838</v>
      </c>
    </row>
    <row r="167" spans="1:14" x14ac:dyDescent="0.25">
      <c r="A167" t="s">
        <v>1587</v>
      </c>
      <c r="B167" t="s">
        <v>1083</v>
      </c>
      <c r="C167" t="s">
        <v>146</v>
      </c>
      <c r="D167" t="s">
        <v>1295</v>
      </c>
      <c r="E167">
        <v>2034000</v>
      </c>
      <c r="F167">
        <v>13.77</v>
      </c>
      <c r="G167">
        <v>84</v>
      </c>
      <c r="H167">
        <v>37859</v>
      </c>
      <c r="I167" t="s">
        <v>1588</v>
      </c>
      <c r="J167">
        <v>27</v>
      </c>
      <c r="K167">
        <v>22</v>
      </c>
      <c r="L167">
        <v>5</v>
      </c>
      <c r="M167" t="s">
        <v>1288</v>
      </c>
      <c r="N167">
        <v>1575906</v>
      </c>
    </row>
    <row r="168" spans="1:14" x14ac:dyDescent="0.25">
      <c r="A168" t="s">
        <v>1589</v>
      </c>
      <c r="B168" t="s">
        <v>647</v>
      </c>
      <c r="C168" t="s">
        <v>146</v>
      </c>
      <c r="D168" t="s">
        <v>1282</v>
      </c>
      <c r="E168">
        <v>93000</v>
      </c>
      <c r="F168">
        <v>14.4</v>
      </c>
      <c r="G168">
        <v>48</v>
      </c>
      <c r="H168">
        <v>2560</v>
      </c>
      <c r="I168" t="s">
        <v>1590</v>
      </c>
      <c r="J168">
        <v>48</v>
      </c>
      <c r="K168">
        <v>44</v>
      </c>
      <c r="L168">
        <v>4</v>
      </c>
      <c r="M168" t="s">
        <v>1288</v>
      </c>
      <c r="N168">
        <v>31048</v>
      </c>
    </row>
    <row r="169" spans="1:14" x14ac:dyDescent="0.25">
      <c r="A169" t="s">
        <v>1591</v>
      </c>
      <c r="B169" t="s">
        <v>627</v>
      </c>
      <c r="C169" t="s">
        <v>51</v>
      </c>
      <c r="D169" t="s">
        <v>1286</v>
      </c>
      <c r="E169">
        <v>3073000</v>
      </c>
      <c r="F169">
        <v>8.8699999999999992</v>
      </c>
      <c r="G169">
        <v>96</v>
      </c>
      <c r="H169">
        <v>44813</v>
      </c>
      <c r="I169" t="s">
        <v>1592</v>
      </c>
      <c r="J169">
        <v>66</v>
      </c>
      <c r="K169">
        <v>62</v>
      </c>
      <c r="L169">
        <v>4</v>
      </c>
      <c r="M169" t="s">
        <v>1288</v>
      </c>
      <c r="N169">
        <v>1544877</v>
      </c>
    </row>
    <row r="170" spans="1:14" x14ac:dyDescent="0.25">
      <c r="A170" t="s">
        <v>1593</v>
      </c>
      <c r="B170" t="s">
        <v>618</v>
      </c>
      <c r="C170" t="s">
        <v>146</v>
      </c>
      <c r="D170" t="s">
        <v>1295</v>
      </c>
      <c r="E170">
        <v>1768000</v>
      </c>
      <c r="F170">
        <v>13.52</v>
      </c>
      <c r="G170">
        <v>54</v>
      </c>
      <c r="H170">
        <v>43883</v>
      </c>
      <c r="I170" t="s">
        <v>1594</v>
      </c>
      <c r="J170">
        <v>54</v>
      </c>
      <c r="K170">
        <v>50</v>
      </c>
      <c r="L170">
        <v>4</v>
      </c>
      <c r="M170" t="s">
        <v>1288</v>
      </c>
      <c r="N170">
        <v>561218</v>
      </c>
    </row>
    <row r="171" spans="1:14" x14ac:dyDescent="0.25">
      <c r="A171" t="s">
        <v>1595</v>
      </c>
      <c r="B171" t="s">
        <v>1053</v>
      </c>
      <c r="C171" t="s">
        <v>51</v>
      </c>
      <c r="D171" t="s">
        <v>1290</v>
      </c>
      <c r="E171">
        <v>980000</v>
      </c>
      <c r="F171">
        <v>9.4</v>
      </c>
      <c r="G171">
        <v>12</v>
      </c>
      <c r="H171">
        <v>85884</v>
      </c>
      <c r="I171" t="s">
        <v>1596</v>
      </c>
      <c r="J171">
        <v>12</v>
      </c>
      <c r="K171">
        <v>12</v>
      </c>
      <c r="L171">
        <v>0</v>
      </c>
      <c r="M171" t="s">
        <v>1312</v>
      </c>
      <c r="N171">
        <v>0</v>
      </c>
    </row>
    <row r="172" spans="1:14" x14ac:dyDescent="0.25">
      <c r="A172" t="s">
        <v>1597</v>
      </c>
      <c r="B172" t="s">
        <v>160</v>
      </c>
      <c r="C172" t="s">
        <v>73</v>
      </c>
      <c r="D172" t="s">
        <v>1286</v>
      </c>
      <c r="E172">
        <v>2194000</v>
      </c>
      <c r="F172">
        <v>8.0299999999999994</v>
      </c>
      <c r="G172">
        <v>150</v>
      </c>
      <c r="H172">
        <v>23220</v>
      </c>
      <c r="I172" t="s">
        <v>1598</v>
      </c>
      <c r="J172">
        <v>77</v>
      </c>
      <c r="K172">
        <v>68</v>
      </c>
      <c r="L172">
        <v>9</v>
      </c>
      <c r="M172" t="s">
        <v>1288</v>
      </c>
      <c r="N172">
        <v>1325572</v>
      </c>
    </row>
    <row r="173" spans="1:14" x14ac:dyDescent="0.25">
      <c r="A173" t="s">
        <v>1599</v>
      </c>
      <c r="B173" t="s">
        <v>845</v>
      </c>
      <c r="C173" t="s">
        <v>146</v>
      </c>
      <c r="D173" t="s">
        <v>1282</v>
      </c>
      <c r="E173">
        <v>229000</v>
      </c>
      <c r="F173">
        <v>14.77</v>
      </c>
      <c r="G173">
        <v>18</v>
      </c>
      <c r="H173">
        <v>14261</v>
      </c>
      <c r="I173" t="s">
        <v>1456</v>
      </c>
      <c r="J173">
        <v>18</v>
      </c>
      <c r="K173">
        <v>17</v>
      </c>
      <c r="L173">
        <v>1</v>
      </c>
      <c r="M173" t="s">
        <v>1312</v>
      </c>
      <c r="N173">
        <v>0</v>
      </c>
    </row>
    <row r="174" spans="1:14" x14ac:dyDescent="0.25">
      <c r="A174" t="s">
        <v>1600</v>
      </c>
      <c r="B174" t="s">
        <v>810</v>
      </c>
      <c r="C174" t="s">
        <v>51</v>
      </c>
      <c r="D174" t="s">
        <v>1282</v>
      </c>
      <c r="E174">
        <v>329000</v>
      </c>
      <c r="F174">
        <v>13.03</v>
      </c>
      <c r="G174">
        <v>18</v>
      </c>
      <c r="H174">
        <v>20221</v>
      </c>
      <c r="I174" t="s">
        <v>1601</v>
      </c>
      <c r="J174">
        <v>18</v>
      </c>
      <c r="K174">
        <v>16</v>
      </c>
      <c r="L174">
        <v>2</v>
      </c>
      <c r="M174" t="s">
        <v>1284</v>
      </c>
      <c r="N174">
        <v>151055</v>
      </c>
    </row>
    <row r="175" spans="1:14" x14ac:dyDescent="0.25">
      <c r="A175" t="s">
        <v>1602</v>
      </c>
      <c r="B175" t="s">
        <v>464</v>
      </c>
      <c r="C175" t="s">
        <v>146</v>
      </c>
      <c r="D175" t="s">
        <v>1286</v>
      </c>
      <c r="E175">
        <v>2011000</v>
      </c>
      <c r="F175">
        <v>7.99</v>
      </c>
      <c r="G175">
        <v>132</v>
      </c>
      <c r="H175">
        <v>22946</v>
      </c>
      <c r="I175" t="s">
        <v>1603</v>
      </c>
      <c r="J175">
        <v>32</v>
      </c>
      <c r="K175">
        <v>28</v>
      </c>
      <c r="L175">
        <v>4</v>
      </c>
      <c r="M175" t="s">
        <v>1288</v>
      </c>
      <c r="N175">
        <v>1657632</v>
      </c>
    </row>
    <row r="176" spans="1:14" x14ac:dyDescent="0.25">
      <c r="A176" t="s">
        <v>1604</v>
      </c>
      <c r="B176" t="s">
        <v>1047</v>
      </c>
      <c r="C176" t="s">
        <v>146</v>
      </c>
      <c r="D176" t="s">
        <v>1286</v>
      </c>
      <c r="E176">
        <v>1539000</v>
      </c>
      <c r="F176">
        <v>8.92</v>
      </c>
      <c r="G176">
        <v>120</v>
      </c>
      <c r="H176">
        <v>19429</v>
      </c>
      <c r="I176" t="s">
        <v>231</v>
      </c>
      <c r="J176">
        <v>16</v>
      </c>
      <c r="K176">
        <v>16</v>
      </c>
      <c r="L176">
        <v>0</v>
      </c>
      <c r="M176" t="s">
        <v>1284</v>
      </c>
      <c r="N176">
        <v>1368025</v>
      </c>
    </row>
    <row r="177" spans="1:14" x14ac:dyDescent="0.25">
      <c r="A177" t="s">
        <v>1605</v>
      </c>
      <c r="B177" t="s">
        <v>321</v>
      </c>
      <c r="C177" t="s">
        <v>73</v>
      </c>
      <c r="D177" t="s">
        <v>1282</v>
      </c>
      <c r="E177">
        <v>453000</v>
      </c>
      <c r="F177">
        <v>12.92</v>
      </c>
      <c r="G177">
        <v>30</v>
      </c>
      <c r="H177">
        <v>17750</v>
      </c>
      <c r="I177" t="s">
        <v>1606</v>
      </c>
      <c r="J177">
        <v>30</v>
      </c>
      <c r="K177">
        <v>29</v>
      </c>
      <c r="L177">
        <v>1</v>
      </c>
      <c r="M177" t="s">
        <v>1312</v>
      </c>
      <c r="N177">
        <v>0</v>
      </c>
    </row>
    <row r="178" spans="1:14" x14ac:dyDescent="0.25">
      <c r="A178" t="s">
        <v>1607</v>
      </c>
      <c r="B178" t="s">
        <v>734</v>
      </c>
      <c r="C178" t="s">
        <v>87</v>
      </c>
      <c r="D178" t="s">
        <v>1295</v>
      </c>
      <c r="E178">
        <v>1574000</v>
      </c>
      <c r="F178">
        <v>15.19</v>
      </c>
      <c r="G178">
        <v>78</v>
      </c>
      <c r="H178">
        <v>31873</v>
      </c>
      <c r="I178" t="s">
        <v>323</v>
      </c>
      <c r="J178">
        <v>26</v>
      </c>
      <c r="K178">
        <v>24</v>
      </c>
      <c r="L178">
        <v>2</v>
      </c>
      <c r="M178" t="s">
        <v>1284</v>
      </c>
      <c r="N178">
        <v>1153276</v>
      </c>
    </row>
    <row r="179" spans="1:14" x14ac:dyDescent="0.25">
      <c r="A179" t="s">
        <v>1608</v>
      </c>
      <c r="B179" t="s">
        <v>701</v>
      </c>
      <c r="C179" t="s">
        <v>87</v>
      </c>
      <c r="D179" t="s">
        <v>1282</v>
      </c>
      <c r="E179">
        <v>253000</v>
      </c>
      <c r="F179">
        <v>12.13</v>
      </c>
      <c r="G179">
        <v>24</v>
      </c>
      <c r="H179">
        <v>11925</v>
      </c>
      <c r="I179" t="s">
        <v>1609</v>
      </c>
      <c r="J179">
        <v>24</v>
      </c>
      <c r="K179">
        <v>22</v>
      </c>
      <c r="L179">
        <v>2</v>
      </c>
      <c r="M179" t="s">
        <v>1284</v>
      </c>
      <c r="N179">
        <v>108708</v>
      </c>
    </row>
    <row r="180" spans="1:14" x14ac:dyDescent="0.25">
      <c r="A180" t="s">
        <v>1610</v>
      </c>
      <c r="B180" t="s">
        <v>969</v>
      </c>
      <c r="C180" t="s">
        <v>73</v>
      </c>
      <c r="D180" t="s">
        <v>1290</v>
      </c>
      <c r="E180">
        <v>651000</v>
      </c>
      <c r="F180">
        <v>9.65</v>
      </c>
      <c r="G180">
        <v>66</v>
      </c>
      <c r="H180">
        <v>12750</v>
      </c>
      <c r="I180" t="s">
        <v>1611</v>
      </c>
      <c r="J180">
        <v>48</v>
      </c>
      <c r="K180">
        <v>45</v>
      </c>
      <c r="L180">
        <v>3</v>
      </c>
      <c r="M180" t="s">
        <v>1288</v>
      </c>
      <c r="N180">
        <v>335438</v>
      </c>
    </row>
    <row r="181" spans="1:14" x14ac:dyDescent="0.25">
      <c r="A181" t="s">
        <v>1612</v>
      </c>
      <c r="B181" t="s">
        <v>1174</v>
      </c>
      <c r="C181" t="s">
        <v>146</v>
      </c>
      <c r="D181" t="s">
        <v>1282</v>
      </c>
      <c r="E181">
        <v>507000</v>
      </c>
      <c r="F181">
        <v>14.58</v>
      </c>
      <c r="G181">
        <v>30</v>
      </c>
      <c r="H181">
        <v>20268</v>
      </c>
      <c r="I181" t="s">
        <v>1613</v>
      </c>
      <c r="J181">
        <v>30</v>
      </c>
      <c r="K181">
        <v>28</v>
      </c>
      <c r="L181">
        <v>2</v>
      </c>
      <c r="M181" t="s">
        <v>1284</v>
      </c>
      <c r="N181">
        <v>194873</v>
      </c>
    </row>
    <row r="182" spans="1:14" x14ac:dyDescent="0.25">
      <c r="A182" t="s">
        <v>1614</v>
      </c>
      <c r="B182" t="s">
        <v>271</v>
      </c>
      <c r="C182" t="s">
        <v>51</v>
      </c>
      <c r="D182" t="s">
        <v>1282</v>
      </c>
      <c r="E182">
        <v>522000</v>
      </c>
      <c r="F182">
        <v>13.78</v>
      </c>
      <c r="G182">
        <v>42</v>
      </c>
      <c r="H182">
        <v>15736</v>
      </c>
      <c r="I182" t="s">
        <v>945</v>
      </c>
      <c r="J182">
        <v>42</v>
      </c>
      <c r="K182">
        <v>40</v>
      </c>
      <c r="L182">
        <v>2</v>
      </c>
      <c r="M182" t="s">
        <v>1284</v>
      </c>
      <c r="N182">
        <v>175808</v>
      </c>
    </row>
    <row r="183" spans="1:14" x14ac:dyDescent="0.25">
      <c r="A183" t="s">
        <v>1615</v>
      </c>
      <c r="B183" t="s">
        <v>913</v>
      </c>
      <c r="C183" t="s">
        <v>51</v>
      </c>
      <c r="D183" t="s">
        <v>1286</v>
      </c>
      <c r="E183">
        <v>2489000</v>
      </c>
      <c r="F183">
        <v>7.76</v>
      </c>
      <c r="G183">
        <v>156</v>
      </c>
      <c r="H183">
        <v>25381</v>
      </c>
      <c r="I183" t="s">
        <v>1616</v>
      </c>
      <c r="J183">
        <v>25</v>
      </c>
      <c r="K183">
        <v>22</v>
      </c>
      <c r="L183">
        <v>3</v>
      </c>
      <c r="M183" t="s">
        <v>1288</v>
      </c>
      <c r="N183">
        <v>2181890</v>
      </c>
    </row>
    <row r="184" spans="1:14" x14ac:dyDescent="0.25">
      <c r="A184" t="s">
        <v>1617</v>
      </c>
      <c r="B184" t="s">
        <v>365</v>
      </c>
      <c r="C184" t="s">
        <v>87</v>
      </c>
      <c r="D184" t="s">
        <v>1295</v>
      </c>
      <c r="E184">
        <v>2342000</v>
      </c>
      <c r="F184">
        <v>15.27</v>
      </c>
      <c r="G184">
        <v>42</v>
      </c>
      <c r="H184">
        <v>72330</v>
      </c>
      <c r="I184" t="s">
        <v>1618</v>
      </c>
      <c r="J184">
        <v>42</v>
      </c>
      <c r="K184">
        <v>38</v>
      </c>
      <c r="L184">
        <v>4</v>
      </c>
      <c r="M184" t="s">
        <v>1288</v>
      </c>
      <c r="N184">
        <v>830303</v>
      </c>
    </row>
    <row r="185" spans="1:14" x14ac:dyDescent="0.25">
      <c r="A185" t="s">
        <v>1619</v>
      </c>
      <c r="B185" t="s">
        <v>1038</v>
      </c>
      <c r="C185" t="s">
        <v>73</v>
      </c>
      <c r="D185" t="s">
        <v>1295</v>
      </c>
      <c r="E185">
        <v>1410000</v>
      </c>
      <c r="F185">
        <v>14.77</v>
      </c>
      <c r="G185">
        <v>48</v>
      </c>
      <c r="H185">
        <v>39077</v>
      </c>
      <c r="I185" t="s">
        <v>1620</v>
      </c>
      <c r="J185">
        <v>48</v>
      </c>
      <c r="K185">
        <v>48</v>
      </c>
      <c r="L185">
        <v>0</v>
      </c>
      <c r="M185" t="s">
        <v>1312</v>
      </c>
      <c r="N185">
        <v>0</v>
      </c>
    </row>
    <row r="186" spans="1:14" x14ac:dyDescent="0.25">
      <c r="A186" t="s">
        <v>1621</v>
      </c>
      <c r="B186" t="s">
        <v>749</v>
      </c>
      <c r="C186" t="s">
        <v>146</v>
      </c>
      <c r="D186" t="s">
        <v>1282</v>
      </c>
      <c r="E186">
        <v>545000</v>
      </c>
      <c r="F186">
        <v>12.22</v>
      </c>
      <c r="G186">
        <v>30</v>
      </c>
      <c r="H186">
        <v>21174</v>
      </c>
      <c r="I186" t="s">
        <v>1622</v>
      </c>
      <c r="J186">
        <v>30</v>
      </c>
      <c r="K186">
        <v>30</v>
      </c>
      <c r="L186">
        <v>0</v>
      </c>
      <c r="M186" t="s">
        <v>1312</v>
      </c>
      <c r="N186">
        <v>0</v>
      </c>
    </row>
    <row r="187" spans="1:14" x14ac:dyDescent="0.25">
      <c r="A187" t="s">
        <v>1623</v>
      </c>
      <c r="B187" t="s">
        <v>294</v>
      </c>
      <c r="C187" t="s">
        <v>87</v>
      </c>
      <c r="D187" t="s">
        <v>1282</v>
      </c>
      <c r="E187">
        <v>366000</v>
      </c>
      <c r="F187">
        <v>14.84</v>
      </c>
      <c r="G187">
        <v>36</v>
      </c>
      <c r="H187">
        <v>12659</v>
      </c>
      <c r="I187" t="s">
        <v>1624</v>
      </c>
      <c r="J187">
        <v>13</v>
      </c>
      <c r="K187">
        <v>11</v>
      </c>
      <c r="L187">
        <v>2</v>
      </c>
      <c r="M187" t="s">
        <v>1284</v>
      </c>
      <c r="N187">
        <v>289413</v>
      </c>
    </row>
    <row r="188" spans="1:14" x14ac:dyDescent="0.25">
      <c r="A188" t="s">
        <v>1625</v>
      </c>
      <c r="B188" t="s">
        <v>196</v>
      </c>
      <c r="C188" t="s">
        <v>51</v>
      </c>
      <c r="D188" t="s">
        <v>1290</v>
      </c>
      <c r="E188">
        <v>385000</v>
      </c>
      <c r="F188">
        <v>8.8800000000000008</v>
      </c>
      <c r="G188">
        <v>42</v>
      </c>
      <c r="H188">
        <v>10698</v>
      </c>
      <c r="I188" t="s">
        <v>1423</v>
      </c>
      <c r="J188">
        <v>42</v>
      </c>
      <c r="K188">
        <v>35</v>
      </c>
      <c r="L188">
        <v>7</v>
      </c>
      <c r="M188" t="s">
        <v>1288</v>
      </c>
      <c r="N188">
        <v>179063</v>
      </c>
    </row>
    <row r="189" spans="1:14" x14ac:dyDescent="0.25">
      <c r="A189" t="s">
        <v>1626</v>
      </c>
      <c r="B189" t="s">
        <v>208</v>
      </c>
      <c r="C189" t="s">
        <v>73</v>
      </c>
      <c r="D189" t="s">
        <v>1286</v>
      </c>
      <c r="E189">
        <v>3838000</v>
      </c>
      <c r="F189">
        <v>8.81</v>
      </c>
      <c r="G189">
        <v>180</v>
      </c>
      <c r="H189">
        <v>38495</v>
      </c>
      <c r="I189" t="s">
        <v>1627</v>
      </c>
      <c r="J189">
        <v>53</v>
      </c>
      <c r="K189">
        <v>51</v>
      </c>
      <c r="L189">
        <v>2</v>
      </c>
      <c r="M189" t="s">
        <v>1284</v>
      </c>
      <c r="N189">
        <v>2758215</v>
      </c>
    </row>
    <row r="190" spans="1:14" x14ac:dyDescent="0.25">
      <c r="A190" t="s">
        <v>1628</v>
      </c>
      <c r="B190" t="s">
        <v>566</v>
      </c>
      <c r="C190" t="s">
        <v>87</v>
      </c>
      <c r="D190" t="s">
        <v>1290</v>
      </c>
      <c r="E190">
        <v>196000</v>
      </c>
      <c r="F190">
        <v>9.9499999999999993</v>
      </c>
      <c r="G190">
        <v>54</v>
      </c>
      <c r="H190">
        <v>4517</v>
      </c>
      <c r="I190" t="s">
        <v>1629</v>
      </c>
      <c r="J190">
        <v>16</v>
      </c>
      <c r="K190">
        <v>14</v>
      </c>
      <c r="L190">
        <v>2</v>
      </c>
      <c r="M190" t="s">
        <v>1284</v>
      </c>
      <c r="N190">
        <v>161219</v>
      </c>
    </row>
    <row r="191" spans="1:14" x14ac:dyDescent="0.25">
      <c r="A191" t="s">
        <v>1630</v>
      </c>
      <c r="B191" t="s">
        <v>928</v>
      </c>
      <c r="C191" t="s">
        <v>51</v>
      </c>
      <c r="D191" t="s">
        <v>1286</v>
      </c>
      <c r="E191">
        <v>2866000</v>
      </c>
      <c r="F191">
        <v>8.58</v>
      </c>
      <c r="G191">
        <v>174</v>
      </c>
      <c r="H191">
        <v>28841</v>
      </c>
      <c r="I191" t="s">
        <v>963</v>
      </c>
      <c r="J191">
        <v>82</v>
      </c>
      <c r="K191">
        <v>80</v>
      </c>
      <c r="L191">
        <v>2</v>
      </c>
      <c r="M191" t="s">
        <v>1284</v>
      </c>
      <c r="N191">
        <v>1596996</v>
      </c>
    </row>
    <row r="192" spans="1:14" x14ac:dyDescent="0.25">
      <c r="A192" t="s">
        <v>1631</v>
      </c>
      <c r="B192" t="s">
        <v>117</v>
      </c>
      <c r="C192" t="s">
        <v>96</v>
      </c>
      <c r="D192" t="s">
        <v>1290</v>
      </c>
      <c r="E192">
        <v>797000</v>
      </c>
      <c r="F192">
        <v>9.91</v>
      </c>
      <c r="G192">
        <v>42</v>
      </c>
      <c r="H192">
        <v>22534</v>
      </c>
      <c r="I192" t="s">
        <v>1632</v>
      </c>
      <c r="J192">
        <v>42</v>
      </c>
      <c r="K192">
        <v>41</v>
      </c>
      <c r="L192">
        <v>1</v>
      </c>
      <c r="M192" t="s">
        <v>1312</v>
      </c>
      <c r="N192">
        <v>0</v>
      </c>
    </row>
    <row r="193" spans="1:14" x14ac:dyDescent="0.25">
      <c r="A193" t="s">
        <v>1633</v>
      </c>
      <c r="B193" t="s">
        <v>518</v>
      </c>
      <c r="C193" t="s">
        <v>146</v>
      </c>
      <c r="D193" t="s">
        <v>1282</v>
      </c>
      <c r="E193">
        <v>384000</v>
      </c>
      <c r="F193">
        <v>13.48</v>
      </c>
      <c r="G193">
        <v>18</v>
      </c>
      <c r="H193">
        <v>23682</v>
      </c>
      <c r="I193" t="s">
        <v>1634</v>
      </c>
      <c r="J193">
        <v>18</v>
      </c>
      <c r="K193">
        <v>15</v>
      </c>
      <c r="L193">
        <v>3</v>
      </c>
      <c r="M193" t="s">
        <v>1288</v>
      </c>
      <c r="N193">
        <v>188623</v>
      </c>
    </row>
    <row r="194" spans="1:14" x14ac:dyDescent="0.25">
      <c r="A194" t="s">
        <v>1635</v>
      </c>
      <c r="B194" t="s">
        <v>898</v>
      </c>
      <c r="C194" t="s">
        <v>73</v>
      </c>
      <c r="D194" t="s">
        <v>1286</v>
      </c>
      <c r="E194">
        <v>1095000</v>
      </c>
      <c r="F194">
        <v>7.76</v>
      </c>
      <c r="G194">
        <v>168</v>
      </c>
      <c r="H194">
        <v>10706</v>
      </c>
      <c r="I194" t="s">
        <v>1636</v>
      </c>
      <c r="J194">
        <v>66</v>
      </c>
      <c r="K194">
        <v>63</v>
      </c>
      <c r="L194">
        <v>3</v>
      </c>
      <c r="M194" t="s">
        <v>1288</v>
      </c>
      <c r="N194">
        <v>724037</v>
      </c>
    </row>
    <row r="195" spans="1:14" x14ac:dyDescent="0.25">
      <c r="A195" t="s">
        <v>1637</v>
      </c>
      <c r="B195" t="s">
        <v>1127</v>
      </c>
      <c r="C195" t="s">
        <v>51</v>
      </c>
      <c r="D195" t="s">
        <v>1290</v>
      </c>
      <c r="E195">
        <v>450000</v>
      </c>
      <c r="F195">
        <v>10.82</v>
      </c>
      <c r="G195">
        <v>48</v>
      </c>
      <c r="H195">
        <v>11591</v>
      </c>
      <c r="I195" t="s">
        <v>1638</v>
      </c>
      <c r="J195">
        <v>30</v>
      </c>
      <c r="K195">
        <v>29</v>
      </c>
      <c r="L195">
        <v>1</v>
      </c>
      <c r="M195" t="s">
        <v>1284</v>
      </c>
      <c r="N195">
        <v>265124</v>
      </c>
    </row>
    <row r="196" spans="1:14" x14ac:dyDescent="0.25">
      <c r="A196" t="s">
        <v>1639</v>
      </c>
      <c r="B196" t="s">
        <v>790</v>
      </c>
      <c r="C196" t="s">
        <v>51</v>
      </c>
      <c r="D196" t="s">
        <v>1295</v>
      </c>
      <c r="E196">
        <v>1274000</v>
      </c>
      <c r="F196">
        <v>14.07</v>
      </c>
      <c r="G196">
        <v>36</v>
      </c>
      <c r="H196">
        <v>43586</v>
      </c>
      <c r="I196" t="s">
        <v>1640</v>
      </c>
      <c r="J196">
        <v>21</v>
      </c>
      <c r="K196">
        <v>17</v>
      </c>
      <c r="L196">
        <v>4</v>
      </c>
      <c r="M196" t="s">
        <v>1288</v>
      </c>
      <c r="N196">
        <v>866471</v>
      </c>
    </row>
    <row r="197" spans="1:14" x14ac:dyDescent="0.25">
      <c r="A197" t="s">
        <v>1641</v>
      </c>
      <c r="B197" t="s">
        <v>467</v>
      </c>
      <c r="C197" t="s">
        <v>51</v>
      </c>
      <c r="D197" t="s">
        <v>1295</v>
      </c>
      <c r="E197">
        <v>2427000</v>
      </c>
      <c r="F197">
        <v>11.5</v>
      </c>
      <c r="G197">
        <v>42</v>
      </c>
      <c r="H197">
        <v>70466</v>
      </c>
      <c r="I197" t="s">
        <v>216</v>
      </c>
      <c r="J197">
        <v>42</v>
      </c>
      <c r="K197">
        <v>41</v>
      </c>
      <c r="L197">
        <v>1</v>
      </c>
      <c r="M197" t="s">
        <v>1312</v>
      </c>
      <c r="N197">
        <v>0</v>
      </c>
    </row>
    <row r="198" spans="1:14" x14ac:dyDescent="0.25">
      <c r="A198" t="s">
        <v>1642</v>
      </c>
      <c r="B198" t="s">
        <v>689</v>
      </c>
      <c r="C198" t="s">
        <v>87</v>
      </c>
      <c r="D198" t="s">
        <v>1295</v>
      </c>
      <c r="E198">
        <v>643000</v>
      </c>
      <c r="F198">
        <v>12.41</v>
      </c>
      <c r="G198">
        <v>42</v>
      </c>
      <c r="H198">
        <v>18952</v>
      </c>
      <c r="I198" t="s">
        <v>1643</v>
      </c>
      <c r="J198">
        <v>42</v>
      </c>
      <c r="K198">
        <v>39</v>
      </c>
      <c r="L198">
        <v>3</v>
      </c>
      <c r="M198" t="s">
        <v>1288</v>
      </c>
      <c r="N198">
        <v>236480</v>
      </c>
    </row>
    <row r="199" spans="1:14" x14ac:dyDescent="0.25">
      <c r="A199" t="s">
        <v>1644</v>
      </c>
      <c r="B199" t="s">
        <v>636</v>
      </c>
      <c r="C199" t="s">
        <v>146</v>
      </c>
      <c r="D199" t="s">
        <v>1295</v>
      </c>
      <c r="E199">
        <v>2314000</v>
      </c>
      <c r="F199">
        <v>14.59</v>
      </c>
      <c r="G199">
        <v>72</v>
      </c>
      <c r="H199">
        <v>48416</v>
      </c>
      <c r="I199" t="s">
        <v>1645</v>
      </c>
      <c r="J199">
        <v>33</v>
      </c>
      <c r="K199">
        <v>33</v>
      </c>
      <c r="L199">
        <v>0</v>
      </c>
      <c r="M199" t="s">
        <v>1284</v>
      </c>
      <c r="N199">
        <v>1435250</v>
      </c>
    </row>
    <row r="200" spans="1:14" x14ac:dyDescent="0.25">
      <c r="A200" t="s">
        <v>1646</v>
      </c>
      <c r="B200" t="s">
        <v>226</v>
      </c>
      <c r="C200" t="s">
        <v>146</v>
      </c>
      <c r="D200" t="s">
        <v>1295</v>
      </c>
      <c r="E200">
        <v>500000</v>
      </c>
      <c r="F200">
        <v>11.35</v>
      </c>
      <c r="G200">
        <v>66</v>
      </c>
      <c r="H200">
        <v>10219</v>
      </c>
      <c r="I200" t="s">
        <v>1647</v>
      </c>
      <c r="J200">
        <v>66</v>
      </c>
      <c r="K200">
        <v>62</v>
      </c>
      <c r="L200">
        <v>4</v>
      </c>
      <c r="M200" t="s">
        <v>1288</v>
      </c>
      <c r="N200">
        <v>151532</v>
      </c>
    </row>
    <row r="201" spans="1:14" x14ac:dyDescent="0.25">
      <c r="A201" t="s">
        <v>1648</v>
      </c>
      <c r="B201" t="s">
        <v>922</v>
      </c>
      <c r="C201" t="s">
        <v>146</v>
      </c>
      <c r="D201" t="s">
        <v>1290</v>
      </c>
      <c r="E201">
        <v>328000</v>
      </c>
      <c r="F201">
        <v>10.79</v>
      </c>
      <c r="G201">
        <v>60</v>
      </c>
      <c r="H201">
        <v>7097</v>
      </c>
      <c r="I201" t="s">
        <v>1649</v>
      </c>
      <c r="J201">
        <v>34</v>
      </c>
      <c r="K201">
        <v>34</v>
      </c>
      <c r="L201">
        <v>0</v>
      </c>
      <c r="M201" t="s">
        <v>1284</v>
      </c>
      <c r="N201">
        <v>195286</v>
      </c>
    </row>
    <row r="202" spans="1:14" x14ac:dyDescent="0.25">
      <c r="A202" t="s">
        <v>1650</v>
      </c>
      <c r="B202" t="s">
        <v>972</v>
      </c>
      <c r="C202" t="s">
        <v>73</v>
      </c>
      <c r="D202" t="s">
        <v>1295</v>
      </c>
      <c r="E202">
        <v>1168000</v>
      </c>
      <c r="F202">
        <v>15.35</v>
      </c>
      <c r="G202">
        <v>72</v>
      </c>
      <c r="H202">
        <v>24920</v>
      </c>
      <c r="I202" t="s">
        <v>1651</v>
      </c>
      <c r="J202">
        <v>72</v>
      </c>
      <c r="K202">
        <v>67</v>
      </c>
      <c r="L202">
        <v>5</v>
      </c>
      <c r="M202" t="s">
        <v>1288</v>
      </c>
      <c r="N202">
        <v>249698</v>
      </c>
    </row>
    <row r="203" spans="1:14" x14ac:dyDescent="0.25">
      <c r="A203" t="s">
        <v>1652</v>
      </c>
      <c r="B203" t="s">
        <v>1142</v>
      </c>
      <c r="C203" t="s">
        <v>51</v>
      </c>
      <c r="D203" t="s">
        <v>1295</v>
      </c>
      <c r="E203">
        <v>2147000</v>
      </c>
      <c r="F203">
        <v>15.83</v>
      </c>
      <c r="G203">
        <v>18</v>
      </c>
      <c r="H203">
        <v>134780</v>
      </c>
      <c r="I203" t="s">
        <v>1653</v>
      </c>
      <c r="J203">
        <v>18</v>
      </c>
      <c r="K203">
        <v>18</v>
      </c>
      <c r="L203">
        <v>0</v>
      </c>
      <c r="M203" t="s">
        <v>1312</v>
      </c>
      <c r="N203">
        <v>0</v>
      </c>
    </row>
    <row r="204" spans="1:14" x14ac:dyDescent="0.25">
      <c r="A204" t="s">
        <v>1654</v>
      </c>
      <c r="B204" t="s">
        <v>612</v>
      </c>
      <c r="C204" t="s">
        <v>73</v>
      </c>
      <c r="D204" t="s">
        <v>1282</v>
      </c>
      <c r="E204">
        <v>348000</v>
      </c>
      <c r="F204">
        <v>12.09</v>
      </c>
      <c r="G204">
        <v>36</v>
      </c>
      <c r="H204">
        <v>11574</v>
      </c>
      <c r="I204" t="s">
        <v>1655</v>
      </c>
      <c r="J204">
        <v>36</v>
      </c>
      <c r="K204">
        <v>35</v>
      </c>
      <c r="L204">
        <v>1</v>
      </c>
      <c r="M204" t="s">
        <v>1312</v>
      </c>
      <c r="N204">
        <v>0</v>
      </c>
    </row>
    <row r="205" spans="1:14" x14ac:dyDescent="0.25">
      <c r="A205" t="s">
        <v>1656</v>
      </c>
      <c r="B205" t="s">
        <v>470</v>
      </c>
      <c r="C205" t="s">
        <v>146</v>
      </c>
      <c r="D205" t="s">
        <v>1282</v>
      </c>
      <c r="E205">
        <v>333000</v>
      </c>
      <c r="F205">
        <v>14.57</v>
      </c>
      <c r="G205">
        <v>18</v>
      </c>
      <c r="H205">
        <v>20707</v>
      </c>
      <c r="I205" t="s">
        <v>1657</v>
      </c>
      <c r="J205">
        <v>18</v>
      </c>
      <c r="K205">
        <v>17</v>
      </c>
      <c r="L205">
        <v>1</v>
      </c>
      <c r="M205" t="s">
        <v>1312</v>
      </c>
      <c r="N205">
        <v>0</v>
      </c>
    </row>
    <row r="206" spans="1:14" x14ac:dyDescent="0.25">
      <c r="A206" t="s">
        <v>1658</v>
      </c>
      <c r="B206" t="s">
        <v>515</v>
      </c>
      <c r="C206" t="s">
        <v>87</v>
      </c>
      <c r="D206" t="s">
        <v>1295</v>
      </c>
      <c r="E206">
        <v>2380000</v>
      </c>
      <c r="F206">
        <v>12.99</v>
      </c>
      <c r="G206">
        <v>42</v>
      </c>
      <c r="H206">
        <v>70822</v>
      </c>
      <c r="I206" t="s">
        <v>1659</v>
      </c>
      <c r="J206">
        <v>42</v>
      </c>
      <c r="K206">
        <v>40</v>
      </c>
      <c r="L206">
        <v>2</v>
      </c>
      <c r="M206" t="s">
        <v>1284</v>
      </c>
      <c r="N206">
        <v>821916</v>
      </c>
    </row>
    <row r="207" spans="1:14" x14ac:dyDescent="0.25">
      <c r="A207" t="s">
        <v>1660</v>
      </c>
      <c r="B207" t="s">
        <v>104</v>
      </c>
      <c r="C207" t="s">
        <v>96</v>
      </c>
      <c r="D207" t="s">
        <v>1290</v>
      </c>
      <c r="E207">
        <v>661000</v>
      </c>
      <c r="F207">
        <v>10.49</v>
      </c>
      <c r="G207">
        <v>18</v>
      </c>
      <c r="H207">
        <v>39847</v>
      </c>
      <c r="I207" t="s">
        <v>1661</v>
      </c>
      <c r="J207">
        <v>18</v>
      </c>
      <c r="K207">
        <v>17</v>
      </c>
      <c r="L207">
        <v>1</v>
      </c>
      <c r="M207" t="s">
        <v>1312</v>
      </c>
      <c r="N207">
        <v>0</v>
      </c>
    </row>
    <row r="208" spans="1:14" x14ac:dyDescent="0.25">
      <c r="A208" t="s">
        <v>1662</v>
      </c>
      <c r="B208" t="s">
        <v>1239</v>
      </c>
      <c r="C208" t="s">
        <v>146</v>
      </c>
      <c r="D208" t="s">
        <v>1295</v>
      </c>
      <c r="E208">
        <v>1113000</v>
      </c>
      <c r="F208">
        <v>12.2</v>
      </c>
      <c r="G208">
        <v>66</v>
      </c>
      <c r="H208">
        <v>23232</v>
      </c>
      <c r="I208" t="s">
        <v>1663</v>
      </c>
      <c r="J208">
        <v>53</v>
      </c>
      <c r="K208">
        <v>50</v>
      </c>
      <c r="L208">
        <v>3</v>
      </c>
      <c r="M208" t="s">
        <v>1288</v>
      </c>
      <c r="N208">
        <v>474120</v>
      </c>
    </row>
    <row r="209" spans="1:14" x14ac:dyDescent="0.25">
      <c r="A209" t="s">
        <v>1664</v>
      </c>
      <c r="B209" t="s">
        <v>807</v>
      </c>
      <c r="C209" t="s">
        <v>51</v>
      </c>
      <c r="D209" t="s">
        <v>1282</v>
      </c>
      <c r="E209">
        <v>204000</v>
      </c>
      <c r="F209">
        <v>12.92</v>
      </c>
      <c r="G209">
        <v>30</v>
      </c>
      <c r="H209">
        <v>7993</v>
      </c>
      <c r="I209" t="s">
        <v>1351</v>
      </c>
      <c r="J209">
        <v>30</v>
      </c>
      <c r="K209">
        <v>24</v>
      </c>
      <c r="L209">
        <v>6</v>
      </c>
      <c r="M209" t="s">
        <v>1288</v>
      </c>
      <c r="N209">
        <v>98492</v>
      </c>
    </row>
    <row r="210" spans="1:14" x14ac:dyDescent="0.25">
      <c r="A210" t="s">
        <v>1665</v>
      </c>
      <c r="B210" t="s">
        <v>984</v>
      </c>
      <c r="C210" t="s">
        <v>146</v>
      </c>
      <c r="D210" t="s">
        <v>1295</v>
      </c>
      <c r="E210">
        <v>748000</v>
      </c>
      <c r="F210">
        <v>14.82</v>
      </c>
      <c r="G210">
        <v>54</v>
      </c>
      <c r="H210">
        <v>19063</v>
      </c>
      <c r="I210" t="s">
        <v>1666</v>
      </c>
      <c r="J210">
        <v>15</v>
      </c>
      <c r="K210">
        <v>15</v>
      </c>
      <c r="L210">
        <v>0</v>
      </c>
      <c r="M210" t="s">
        <v>1284</v>
      </c>
      <c r="N210">
        <v>590730</v>
      </c>
    </row>
    <row r="211" spans="1:14" x14ac:dyDescent="0.25">
      <c r="A211" t="s">
        <v>1667</v>
      </c>
      <c r="B211" t="s">
        <v>621</v>
      </c>
      <c r="C211" t="s">
        <v>73</v>
      </c>
      <c r="D211" t="s">
        <v>1290</v>
      </c>
      <c r="E211">
        <v>851000</v>
      </c>
      <c r="F211">
        <v>10.83</v>
      </c>
      <c r="G211">
        <v>12</v>
      </c>
      <c r="H211">
        <v>75145</v>
      </c>
      <c r="I211" t="s">
        <v>766</v>
      </c>
      <c r="J211">
        <v>12</v>
      </c>
      <c r="K211">
        <v>11</v>
      </c>
      <c r="L211">
        <v>1</v>
      </c>
      <c r="M211" t="s">
        <v>1312</v>
      </c>
      <c r="N211">
        <v>0</v>
      </c>
    </row>
    <row r="212" spans="1:14" x14ac:dyDescent="0.25">
      <c r="A212" t="s">
        <v>1668</v>
      </c>
      <c r="B212" t="s">
        <v>600</v>
      </c>
      <c r="C212" t="s">
        <v>146</v>
      </c>
      <c r="D212" t="s">
        <v>1295</v>
      </c>
      <c r="E212">
        <v>1918000</v>
      </c>
      <c r="F212">
        <v>13.27</v>
      </c>
      <c r="G212">
        <v>42</v>
      </c>
      <c r="H212">
        <v>57337</v>
      </c>
      <c r="I212" t="s">
        <v>1669</v>
      </c>
      <c r="J212">
        <v>42</v>
      </c>
      <c r="K212">
        <v>40</v>
      </c>
      <c r="L212">
        <v>2</v>
      </c>
      <c r="M212" t="s">
        <v>1284</v>
      </c>
      <c r="N212">
        <v>656586</v>
      </c>
    </row>
    <row r="213" spans="1:14" x14ac:dyDescent="0.25">
      <c r="A213" t="s">
        <v>1670</v>
      </c>
      <c r="B213" t="s">
        <v>961</v>
      </c>
      <c r="C213" t="s">
        <v>73</v>
      </c>
      <c r="D213" t="s">
        <v>1290</v>
      </c>
      <c r="E213">
        <v>342000</v>
      </c>
      <c r="F213">
        <v>9.09</v>
      </c>
      <c r="G213">
        <v>72</v>
      </c>
      <c r="H213">
        <v>6180</v>
      </c>
      <c r="I213" t="s">
        <v>1671</v>
      </c>
      <c r="J213">
        <v>35</v>
      </c>
      <c r="K213">
        <v>34</v>
      </c>
      <c r="L213">
        <v>1</v>
      </c>
      <c r="M213" t="s">
        <v>1284</v>
      </c>
      <c r="N213">
        <v>226434</v>
      </c>
    </row>
    <row r="214" spans="1:14" x14ac:dyDescent="0.25">
      <c r="A214" t="s">
        <v>1672</v>
      </c>
      <c r="B214" t="s">
        <v>107</v>
      </c>
      <c r="C214" t="s">
        <v>96</v>
      </c>
      <c r="D214" t="s">
        <v>1286</v>
      </c>
      <c r="E214">
        <v>3638000</v>
      </c>
      <c r="F214">
        <v>8.4499999999999993</v>
      </c>
      <c r="G214">
        <v>162</v>
      </c>
      <c r="H214">
        <v>37721</v>
      </c>
      <c r="I214" t="s">
        <v>1673</v>
      </c>
      <c r="J214">
        <v>57</v>
      </c>
      <c r="K214">
        <v>56</v>
      </c>
      <c r="L214">
        <v>1</v>
      </c>
      <c r="M214" t="s">
        <v>1284</v>
      </c>
      <c r="N214">
        <v>2476193</v>
      </c>
    </row>
    <row r="215" spans="1:14" x14ac:dyDescent="0.25">
      <c r="A215" t="s">
        <v>1674</v>
      </c>
      <c r="B215" t="s">
        <v>554</v>
      </c>
      <c r="C215" t="s">
        <v>51</v>
      </c>
      <c r="D215" t="s">
        <v>1290</v>
      </c>
      <c r="E215">
        <v>262000</v>
      </c>
      <c r="F215">
        <v>9.75</v>
      </c>
      <c r="G215">
        <v>36</v>
      </c>
      <c r="H215">
        <v>8423</v>
      </c>
      <c r="I215" t="s">
        <v>1675</v>
      </c>
      <c r="J215">
        <v>36</v>
      </c>
      <c r="K215">
        <v>30</v>
      </c>
      <c r="L215">
        <v>6</v>
      </c>
      <c r="M215" t="s">
        <v>1288</v>
      </c>
      <c r="N215">
        <v>123020</v>
      </c>
    </row>
    <row r="216" spans="1:14" x14ac:dyDescent="0.25">
      <c r="A216" t="s">
        <v>1676</v>
      </c>
      <c r="B216" t="s">
        <v>169</v>
      </c>
      <c r="C216" t="s">
        <v>73</v>
      </c>
      <c r="D216" t="s">
        <v>1286</v>
      </c>
      <c r="E216">
        <v>3252000</v>
      </c>
      <c r="F216">
        <v>8.7100000000000009</v>
      </c>
      <c r="G216">
        <v>96</v>
      </c>
      <c r="H216">
        <v>47155</v>
      </c>
      <c r="I216" t="s">
        <v>1677</v>
      </c>
      <c r="J216">
        <v>40</v>
      </c>
      <c r="K216">
        <v>38</v>
      </c>
      <c r="L216">
        <v>2</v>
      </c>
      <c r="M216" t="s">
        <v>1284</v>
      </c>
      <c r="N216">
        <v>2266460</v>
      </c>
    </row>
    <row r="217" spans="1:14" x14ac:dyDescent="0.25">
      <c r="A217" t="s">
        <v>1678</v>
      </c>
      <c r="B217" t="s">
        <v>958</v>
      </c>
      <c r="C217" t="s">
        <v>51</v>
      </c>
      <c r="D217" t="s">
        <v>1295</v>
      </c>
      <c r="E217">
        <v>2131000</v>
      </c>
      <c r="F217">
        <v>15.56</v>
      </c>
      <c r="G217">
        <v>60</v>
      </c>
      <c r="H217">
        <v>51325</v>
      </c>
      <c r="I217" t="s">
        <v>1308</v>
      </c>
      <c r="J217">
        <v>25</v>
      </c>
      <c r="K217">
        <v>25</v>
      </c>
      <c r="L217">
        <v>0</v>
      </c>
      <c r="M217" t="s">
        <v>1284</v>
      </c>
      <c r="N217">
        <v>1425281</v>
      </c>
    </row>
    <row r="218" spans="1:14" x14ac:dyDescent="0.25">
      <c r="A218" t="s">
        <v>1679</v>
      </c>
      <c r="B218" t="s">
        <v>1124</v>
      </c>
      <c r="C218" t="s">
        <v>96</v>
      </c>
      <c r="D218" t="s">
        <v>1282</v>
      </c>
      <c r="E218">
        <v>315000</v>
      </c>
      <c r="F218">
        <v>13.67</v>
      </c>
      <c r="G218">
        <v>30</v>
      </c>
      <c r="H218">
        <v>12455</v>
      </c>
      <c r="I218" t="s">
        <v>1680</v>
      </c>
      <c r="J218">
        <v>14</v>
      </c>
      <c r="K218">
        <v>13</v>
      </c>
      <c r="L218">
        <v>1</v>
      </c>
      <c r="M218" t="s">
        <v>1284</v>
      </c>
      <c r="N218">
        <v>225947</v>
      </c>
    </row>
    <row r="219" spans="1:14" x14ac:dyDescent="0.25">
      <c r="A219" t="s">
        <v>1681</v>
      </c>
      <c r="B219" t="s">
        <v>262</v>
      </c>
      <c r="C219" t="s">
        <v>96</v>
      </c>
      <c r="D219" t="s">
        <v>1295</v>
      </c>
      <c r="E219">
        <v>369000</v>
      </c>
      <c r="F219">
        <v>14.31</v>
      </c>
      <c r="G219">
        <v>36</v>
      </c>
      <c r="H219">
        <v>12667</v>
      </c>
      <c r="I219" t="s">
        <v>1682</v>
      </c>
      <c r="J219">
        <v>16</v>
      </c>
      <c r="K219">
        <v>15</v>
      </c>
      <c r="L219">
        <v>1</v>
      </c>
      <c r="M219" t="s">
        <v>1284</v>
      </c>
      <c r="N219">
        <v>264497</v>
      </c>
    </row>
    <row r="220" spans="1:14" x14ac:dyDescent="0.25">
      <c r="A220" t="s">
        <v>1683</v>
      </c>
      <c r="B220" t="s">
        <v>698</v>
      </c>
      <c r="C220" t="s">
        <v>51</v>
      </c>
      <c r="D220" t="s">
        <v>1286</v>
      </c>
      <c r="E220">
        <v>2447000</v>
      </c>
      <c r="F220">
        <v>7.82</v>
      </c>
      <c r="G220">
        <v>168</v>
      </c>
      <c r="H220">
        <v>24008</v>
      </c>
      <c r="I220" t="s">
        <v>1049</v>
      </c>
      <c r="J220">
        <v>80</v>
      </c>
      <c r="K220">
        <v>71</v>
      </c>
      <c r="L220">
        <v>9</v>
      </c>
      <c r="M220" t="s">
        <v>1288</v>
      </c>
      <c r="N220">
        <v>1509488</v>
      </c>
    </row>
    <row r="221" spans="1:14" x14ac:dyDescent="0.25">
      <c r="A221" t="s">
        <v>1684</v>
      </c>
      <c r="B221" t="s">
        <v>279</v>
      </c>
      <c r="C221" t="s">
        <v>51</v>
      </c>
      <c r="D221" t="s">
        <v>1282</v>
      </c>
      <c r="E221">
        <v>189000</v>
      </c>
      <c r="F221">
        <v>13.83</v>
      </c>
      <c r="G221">
        <v>18</v>
      </c>
      <c r="H221">
        <v>11687</v>
      </c>
      <c r="I221" t="s">
        <v>1685</v>
      </c>
      <c r="J221">
        <v>18</v>
      </c>
      <c r="K221">
        <v>18</v>
      </c>
      <c r="L221">
        <v>0</v>
      </c>
      <c r="M221" t="s">
        <v>1312</v>
      </c>
      <c r="N221">
        <v>0</v>
      </c>
    </row>
    <row r="222" spans="1:14" x14ac:dyDescent="0.25">
      <c r="A222" t="s">
        <v>1686</v>
      </c>
      <c r="B222" t="s">
        <v>333</v>
      </c>
      <c r="C222" t="s">
        <v>51</v>
      </c>
      <c r="D222" t="s">
        <v>1295</v>
      </c>
      <c r="E222">
        <v>720000</v>
      </c>
      <c r="F222">
        <v>12.71</v>
      </c>
      <c r="G222">
        <v>42</v>
      </c>
      <c r="H222">
        <v>21327</v>
      </c>
      <c r="I222" t="s">
        <v>1687</v>
      </c>
      <c r="J222">
        <v>35</v>
      </c>
      <c r="K222">
        <v>34</v>
      </c>
      <c r="L222">
        <v>1</v>
      </c>
      <c r="M222" t="s">
        <v>1284</v>
      </c>
      <c r="N222">
        <v>321185</v>
      </c>
    </row>
    <row r="223" spans="1:14" x14ac:dyDescent="0.25">
      <c r="A223" t="s">
        <v>1688</v>
      </c>
      <c r="B223" t="s">
        <v>1255</v>
      </c>
      <c r="C223" t="s">
        <v>51</v>
      </c>
      <c r="D223" t="s">
        <v>1290</v>
      </c>
      <c r="E223">
        <v>546000</v>
      </c>
      <c r="F223">
        <v>10.4</v>
      </c>
      <c r="G223">
        <v>48</v>
      </c>
      <c r="H223">
        <v>13953</v>
      </c>
      <c r="I223" t="s">
        <v>1689</v>
      </c>
      <c r="J223">
        <v>48</v>
      </c>
      <c r="K223">
        <v>46</v>
      </c>
      <c r="L223">
        <v>2</v>
      </c>
      <c r="M223" t="s">
        <v>1284</v>
      </c>
      <c r="N223">
        <v>192989</v>
      </c>
    </row>
    <row r="224" spans="1:14" x14ac:dyDescent="0.25">
      <c r="A224" t="s">
        <v>1690</v>
      </c>
      <c r="B224" t="s">
        <v>722</v>
      </c>
      <c r="C224" t="s">
        <v>73</v>
      </c>
      <c r="D224" t="s">
        <v>1295</v>
      </c>
      <c r="E224">
        <v>643000</v>
      </c>
      <c r="F224">
        <v>11.4</v>
      </c>
      <c r="G224">
        <v>72</v>
      </c>
      <c r="H224">
        <v>12371</v>
      </c>
      <c r="I224" t="s">
        <v>1691</v>
      </c>
      <c r="J224">
        <v>72</v>
      </c>
      <c r="K224">
        <v>71</v>
      </c>
      <c r="L224">
        <v>1</v>
      </c>
      <c r="M224" t="s">
        <v>1312</v>
      </c>
      <c r="N224">
        <v>0</v>
      </c>
    </row>
    <row r="225" spans="1:14" x14ac:dyDescent="0.25">
      <c r="A225" t="s">
        <v>1692</v>
      </c>
      <c r="B225" t="s">
        <v>1006</v>
      </c>
      <c r="C225" t="s">
        <v>96</v>
      </c>
      <c r="D225" t="s">
        <v>1295</v>
      </c>
      <c r="E225">
        <v>622000</v>
      </c>
      <c r="F225">
        <v>14.56</v>
      </c>
      <c r="G225">
        <v>66</v>
      </c>
      <c r="H225">
        <v>13750</v>
      </c>
      <c r="I225" t="s">
        <v>1693</v>
      </c>
      <c r="J225">
        <v>14</v>
      </c>
      <c r="K225">
        <v>14</v>
      </c>
      <c r="L225">
        <v>0</v>
      </c>
      <c r="M225" t="s">
        <v>1284</v>
      </c>
      <c r="N225">
        <v>516125</v>
      </c>
    </row>
    <row r="226" spans="1:14" x14ac:dyDescent="0.25">
      <c r="A226" t="s">
        <v>1694</v>
      </c>
      <c r="B226" t="s">
        <v>545</v>
      </c>
      <c r="C226" t="s">
        <v>96</v>
      </c>
      <c r="D226" t="s">
        <v>1286</v>
      </c>
      <c r="E226">
        <v>962000</v>
      </c>
      <c r="F226">
        <v>8.33</v>
      </c>
      <c r="G226">
        <v>108</v>
      </c>
      <c r="H226">
        <v>12689</v>
      </c>
      <c r="I226" t="s">
        <v>1695</v>
      </c>
      <c r="J226">
        <v>46</v>
      </c>
      <c r="K226">
        <v>45</v>
      </c>
      <c r="L226">
        <v>1</v>
      </c>
      <c r="M226" t="s">
        <v>1284</v>
      </c>
      <c r="N226">
        <v>647947</v>
      </c>
    </row>
    <row r="227" spans="1:14" x14ac:dyDescent="0.25">
      <c r="A227" t="s">
        <v>1696</v>
      </c>
      <c r="B227" t="s">
        <v>232</v>
      </c>
      <c r="C227" t="s">
        <v>146</v>
      </c>
      <c r="D227" t="s">
        <v>1282</v>
      </c>
      <c r="E227">
        <v>327000</v>
      </c>
      <c r="F227">
        <v>12.5</v>
      </c>
      <c r="G227">
        <v>12</v>
      </c>
      <c r="H227">
        <v>29130</v>
      </c>
      <c r="I227" t="s">
        <v>1697</v>
      </c>
      <c r="J227">
        <v>12</v>
      </c>
      <c r="K227">
        <v>11</v>
      </c>
      <c r="L227">
        <v>1</v>
      </c>
      <c r="M227" t="s">
        <v>1312</v>
      </c>
      <c r="N227">
        <v>0</v>
      </c>
    </row>
    <row r="228" spans="1:14" x14ac:dyDescent="0.25">
      <c r="A228" t="s">
        <v>1698</v>
      </c>
      <c r="B228" t="s">
        <v>707</v>
      </c>
      <c r="C228" t="s">
        <v>96</v>
      </c>
      <c r="D228" t="s">
        <v>1290</v>
      </c>
      <c r="E228">
        <v>515000</v>
      </c>
      <c r="F228">
        <v>9.85</v>
      </c>
      <c r="G228">
        <v>42</v>
      </c>
      <c r="H228">
        <v>14547</v>
      </c>
      <c r="I228" t="s">
        <v>1699</v>
      </c>
      <c r="J228">
        <v>42</v>
      </c>
      <c r="K228">
        <v>41</v>
      </c>
      <c r="L228">
        <v>1</v>
      </c>
      <c r="M228" t="s">
        <v>1312</v>
      </c>
      <c r="N228">
        <v>0</v>
      </c>
    </row>
    <row r="229" spans="1:14" x14ac:dyDescent="0.25">
      <c r="A229" t="s">
        <v>1700</v>
      </c>
      <c r="B229" t="s">
        <v>816</v>
      </c>
      <c r="C229" t="s">
        <v>87</v>
      </c>
      <c r="D229" t="s">
        <v>1290</v>
      </c>
      <c r="E229">
        <v>214000</v>
      </c>
      <c r="F229">
        <v>9.31</v>
      </c>
      <c r="G229">
        <v>24</v>
      </c>
      <c r="H229">
        <v>9807</v>
      </c>
      <c r="I229" t="s">
        <v>1701</v>
      </c>
      <c r="J229">
        <v>24</v>
      </c>
      <c r="K229">
        <v>23</v>
      </c>
      <c r="L229">
        <v>1</v>
      </c>
      <c r="M229" t="s">
        <v>1312</v>
      </c>
      <c r="N229">
        <v>0</v>
      </c>
    </row>
    <row r="230" spans="1:14" x14ac:dyDescent="0.25">
      <c r="A230" t="s">
        <v>1702</v>
      </c>
      <c r="B230" t="s">
        <v>181</v>
      </c>
      <c r="C230" t="s">
        <v>87</v>
      </c>
      <c r="D230" t="s">
        <v>1290</v>
      </c>
      <c r="E230">
        <v>587000</v>
      </c>
      <c r="F230">
        <v>8.85</v>
      </c>
      <c r="G230">
        <v>72</v>
      </c>
      <c r="H230">
        <v>10537</v>
      </c>
      <c r="I230" t="s">
        <v>1703</v>
      </c>
      <c r="J230">
        <v>72</v>
      </c>
      <c r="K230">
        <v>58</v>
      </c>
      <c r="L230">
        <v>14</v>
      </c>
      <c r="M230" t="s">
        <v>1288</v>
      </c>
      <c r="N230">
        <v>250870</v>
      </c>
    </row>
    <row r="231" spans="1:14" x14ac:dyDescent="0.25">
      <c r="A231" t="s">
        <v>1704</v>
      </c>
      <c r="B231" t="s">
        <v>77</v>
      </c>
      <c r="C231" t="s">
        <v>51</v>
      </c>
      <c r="D231" t="s">
        <v>1295</v>
      </c>
      <c r="E231">
        <v>1407000</v>
      </c>
      <c r="F231">
        <v>12.55</v>
      </c>
      <c r="G231">
        <v>24</v>
      </c>
      <c r="H231">
        <v>66594</v>
      </c>
      <c r="I231" t="s">
        <v>1705</v>
      </c>
      <c r="J231">
        <v>24</v>
      </c>
      <c r="K231">
        <v>22</v>
      </c>
      <c r="L231">
        <v>2</v>
      </c>
      <c r="M231" t="s">
        <v>1284</v>
      </c>
      <c r="N231">
        <v>601213</v>
      </c>
    </row>
    <row r="232" spans="1:14" x14ac:dyDescent="0.25">
      <c r="A232" t="s">
        <v>1706</v>
      </c>
      <c r="B232" t="s">
        <v>597</v>
      </c>
      <c r="C232" t="s">
        <v>87</v>
      </c>
      <c r="D232" t="s">
        <v>1295</v>
      </c>
      <c r="E232">
        <v>351000</v>
      </c>
      <c r="F232">
        <v>11.64</v>
      </c>
      <c r="G232">
        <v>60</v>
      </c>
      <c r="H232">
        <v>7744</v>
      </c>
      <c r="I232" t="s">
        <v>1707</v>
      </c>
      <c r="J232">
        <v>15</v>
      </c>
      <c r="K232">
        <v>13</v>
      </c>
      <c r="L232">
        <v>2</v>
      </c>
      <c r="M232" t="s">
        <v>1284</v>
      </c>
      <c r="N232">
        <v>295630</v>
      </c>
    </row>
    <row r="233" spans="1:14" x14ac:dyDescent="0.25">
      <c r="A233" t="s">
        <v>1708</v>
      </c>
      <c r="B233" t="s">
        <v>1044</v>
      </c>
      <c r="C233" t="s">
        <v>146</v>
      </c>
      <c r="D233" t="s">
        <v>1290</v>
      </c>
      <c r="E233">
        <v>494000</v>
      </c>
      <c r="F233">
        <v>10.15</v>
      </c>
      <c r="G233">
        <v>36</v>
      </c>
      <c r="H233">
        <v>15975</v>
      </c>
      <c r="I233" t="s">
        <v>1709</v>
      </c>
      <c r="J233">
        <v>36</v>
      </c>
      <c r="K233">
        <v>33</v>
      </c>
      <c r="L233">
        <v>3</v>
      </c>
      <c r="M233" t="s">
        <v>1288</v>
      </c>
      <c r="N233">
        <v>204054</v>
      </c>
    </row>
    <row r="234" spans="1:14" x14ac:dyDescent="0.25">
      <c r="A234" t="s">
        <v>1710</v>
      </c>
      <c r="B234" t="s">
        <v>124</v>
      </c>
      <c r="C234" t="s">
        <v>73</v>
      </c>
      <c r="D234" t="s">
        <v>1282</v>
      </c>
      <c r="E234">
        <v>490000</v>
      </c>
      <c r="F234">
        <v>12.94</v>
      </c>
      <c r="G234">
        <v>18</v>
      </c>
      <c r="H234">
        <v>30096</v>
      </c>
      <c r="I234" t="s">
        <v>1711</v>
      </c>
      <c r="J234">
        <v>17</v>
      </c>
      <c r="K234">
        <v>16</v>
      </c>
      <c r="L234">
        <v>1</v>
      </c>
      <c r="M234" t="s">
        <v>1284</v>
      </c>
      <c r="N234">
        <v>225155</v>
      </c>
    </row>
    <row r="235" spans="1:14" x14ac:dyDescent="0.25">
      <c r="A235" t="s">
        <v>1712</v>
      </c>
      <c r="B235" t="s">
        <v>1168</v>
      </c>
      <c r="C235" t="s">
        <v>146</v>
      </c>
      <c r="D235" t="s">
        <v>1286</v>
      </c>
      <c r="E235">
        <v>949000</v>
      </c>
      <c r="F235">
        <v>8.41</v>
      </c>
      <c r="G235">
        <v>120</v>
      </c>
      <c r="H235">
        <v>11721</v>
      </c>
      <c r="I235" t="s">
        <v>1713</v>
      </c>
      <c r="J235">
        <v>51</v>
      </c>
      <c r="K235">
        <v>48</v>
      </c>
      <c r="L235">
        <v>3</v>
      </c>
      <c r="M235" t="s">
        <v>1288</v>
      </c>
      <c r="N235">
        <v>639566</v>
      </c>
    </row>
    <row r="236" spans="1:14" x14ac:dyDescent="0.25">
      <c r="A236" t="s">
        <v>1714</v>
      </c>
      <c r="B236" t="s">
        <v>110</v>
      </c>
      <c r="C236" t="s">
        <v>51</v>
      </c>
      <c r="D236" t="s">
        <v>1290</v>
      </c>
      <c r="E236">
        <v>1101000</v>
      </c>
      <c r="F236">
        <v>8.6300000000000008</v>
      </c>
      <c r="G236">
        <v>72</v>
      </c>
      <c r="H236">
        <v>19645</v>
      </c>
      <c r="I236" t="s">
        <v>1715</v>
      </c>
      <c r="J236">
        <v>48</v>
      </c>
      <c r="K236">
        <v>44</v>
      </c>
      <c r="L236">
        <v>4</v>
      </c>
      <c r="M236" t="s">
        <v>1288</v>
      </c>
      <c r="N236">
        <v>625591</v>
      </c>
    </row>
    <row r="237" spans="1:14" x14ac:dyDescent="0.25">
      <c r="A237" t="s">
        <v>1716</v>
      </c>
      <c r="B237" t="s">
        <v>524</v>
      </c>
      <c r="C237" t="s">
        <v>87</v>
      </c>
      <c r="D237" t="s">
        <v>1286</v>
      </c>
      <c r="E237">
        <v>1913000</v>
      </c>
      <c r="F237">
        <v>7.53</v>
      </c>
      <c r="G237">
        <v>102</v>
      </c>
      <c r="H237">
        <v>25450</v>
      </c>
      <c r="I237" t="s">
        <v>924</v>
      </c>
      <c r="J237">
        <v>87</v>
      </c>
      <c r="K237">
        <v>77</v>
      </c>
      <c r="L237">
        <v>10</v>
      </c>
      <c r="M237" t="s">
        <v>1288</v>
      </c>
      <c r="N237">
        <v>835192</v>
      </c>
    </row>
    <row r="238" spans="1:14" x14ac:dyDescent="0.25">
      <c r="A238" t="s">
        <v>1717</v>
      </c>
      <c r="B238" t="s">
        <v>853</v>
      </c>
      <c r="C238" t="s">
        <v>96</v>
      </c>
      <c r="D238" t="s">
        <v>1282</v>
      </c>
      <c r="E238">
        <v>368000</v>
      </c>
      <c r="F238">
        <v>11.42</v>
      </c>
      <c r="G238">
        <v>42</v>
      </c>
      <c r="H238">
        <v>10670</v>
      </c>
      <c r="I238" t="s">
        <v>1718</v>
      </c>
      <c r="J238">
        <v>42</v>
      </c>
      <c r="K238">
        <v>36</v>
      </c>
      <c r="L238">
        <v>6</v>
      </c>
      <c r="M238" t="s">
        <v>1288</v>
      </c>
      <c r="N238">
        <v>156734</v>
      </c>
    </row>
    <row r="239" spans="1:14" x14ac:dyDescent="0.25">
      <c r="A239" t="s">
        <v>1719</v>
      </c>
      <c r="B239" t="s">
        <v>871</v>
      </c>
      <c r="C239" t="s">
        <v>96</v>
      </c>
      <c r="D239" t="s">
        <v>1282</v>
      </c>
      <c r="E239">
        <v>568000</v>
      </c>
      <c r="F239">
        <v>12.63</v>
      </c>
      <c r="G239">
        <v>42</v>
      </c>
      <c r="H239">
        <v>16802</v>
      </c>
      <c r="I239" t="s">
        <v>1720</v>
      </c>
      <c r="J239">
        <v>15</v>
      </c>
      <c r="K239">
        <v>15</v>
      </c>
      <c r="L239">
        <v>0</v>
      </c>
      <c r="M239" t="s">
        <v>1284</v>
      </c>
      <c r="N239">
        <v>429384</v>
      </c>
    </row>
    <row r="240" spans="1:14" x14ac:dyDescent="0.25">
      <c r="A240" t="s">
        <v>1721</v>
      </c>
      <c r="B240" t="s">
        <v>1183</v>
      </c>
      <c r="C240" t="s">
        <v>96</v>
      </c>
      <c r="D240" t="s">
        <v>1282</v>
      </c>
      <c r="E240">
        <v>392000</v>
      </c>
      <c r="F240">
        <v>12.31</v>
      </c>
      <c r="G240">
        <v>18</v>
      </c>
      <c r="H240">
        <v>23961</v>
      </c>
      <c r="I240" t="s">
        <v>1722</v>
      </c>
      <c r="J240">
        <v>18</v>
      </c>
      <c r="K240">
        <v>17</v>
      </c>
      <c r="L240">
        <v>1</v>
      </c>
      <c r="M240" t="s">
        <v>1312</v>
      </c>
      <c r="N240">
        <v>0</v>
      </c>
    </row>
    <row r="241" spans="1:14" x14ac:dyDescent="0.25">
      <c r="A241" t="s">
        <v>1723</v>
      </c>
      <c r="B241" t="s">
        <v>371</v>
      </c>
      <c r="C241" t="s">
        <v>96</v>
      </c>
      <c r="D241" t="s">
        <v>1290</v>
      </c>
      <c r="E241">
        <v>503000</v>
      </c>
      <c r="F241">
        <v>8.5299999999999994</v>
      </c>
      <c r="G241">
        <v>36</v>
      </c>
      <c r="H241">
        <v>15885</v>
      </c>
      <c r="I241" t="s">
        <v>1724</v>
      </c>
      <c r="J241">
        <v>36</v>
      </c>
      <c r="K241">
        <v>35</v>
      </c>
      <c r="L241">
        <v>1</v>
      </c>
      <c r="M241" t="s">
        <v>1312</v>
      </c>
      <c r="N241">
        <v>0</v>
      </c>
    </row>
    <row r="242" spans="1:14" x14ac:dyDescent="0.25">
      <c r="A242" t="s">
        <v>1725</v>
      </c>
      <c r="B242" t="s">
        <v>190</v>
      </c>
      <c r="C242" t="s">
        <v>96</v>
      </c>
      <c r="D242" t="s">
        <v>1282</v>
      </c>
      <c r="E242">
        <v>527000</v>
      </c>
      <c r="F242">
        <v>12.08</v>
      </c>
      <c r="G242">
        <v>18</v>
      </c>
      <c r="H242">
        <v>32157</v>
      </c>
      <c r="I242" t="s">
        <v>1380</v>
      </c>
      <c r="J242">
        <v>18</v>
      </c>
      <c r="K242">
        <v>18</v>
      </c>
      <c r="L242">
        <v>0</v>
      </c>
      <c r="M242" t="s">
        <v>1312</v>
      </c>
      <c r="N242">
        <v>0</v>
      </c>
    </row>
    <row r="243" spans="1:14" x14ac:dyDescent="0.25">
      <c r="A243" t="s">
        <v>1726</v>
      </c>
      <c r="B243" t="s">
        <v>374</v>
      </c>
      <c r="C243" t="s">
        <v>73</v>
      </c>
      <c r="D243" t="s">
        <v>1290</v>
      </c>
      <c r="E243">
        <v>411000</v>
      </c>
      <c r="F243">
        <v>9.4</v>
      </c>
      <c r="G243">
        <v>48</v>
      </c>
      <c r="H243">
        <v>10306</v>
      </c>
      <c r="I243" t="s">
        <v>1727</v>
      </c>
      <c r="J243">
        <v>36</v>
      </c>
      <c r="K243">
        <v>36</v>
      </c>
      <c r="L243">
        <v>0</v>
      </c>
      <c r="M243" t="s">
        <v>1284</v>
      </c>
      <c r="N243">
        <v>206941</v>
      </c>
    </row>
    <row r="244" spans="1:14" x14ac:dyDescent="0.25">
      <c r="A244" t="s">
        <v>1728</v>
      </c>
      <c r="B244" t="s">
        <v>1234</v>
      </c>
      <c r="C244" t="s">
        <v>146</v>
      </c>
      <c r="D244" t="s">
        <v>1282</v>
      </c>
      <c r="E244">
        <v>151000</v>
      </c>
      <c r="F244">
        <v>12.25</v>
      </c>
      <c r="G244">
        <v>48</v>
      </c>
      <c r="H244">
        <v>3995</v>
      </c>
      <c r="I244" t="s">
        <v>222</v>
      </c>
      <c r="J244">
        <v>48</v>
      </c>
      <c r="K244">
        <v>46</v>
      </c>
      <c r="L244">
        <v>2</v>
      </c>
      <c r="M244" t="s">
        <v>1284</v>
      </c>
      <c r="N244">
        <v>49926</v>
      </c>
    </row>
    <row r="245" spans="1:14" x14ac:dyDescent="0.25">
      <c r="A245" t="s">
        <v>1729</v>
      </c>
      <c r="B245" t="s">
        <v>910</v>
      </c>
      <c r="C245" t="s">
        <v>51</v>
      </c>
      <c r="D245" t="s">
        <v>1295</v>
      </c>
      <c r="E245">
        <v>847000</v>
      </c>
      <c r="F245">
        <v>15.87</v>
      </c>
      <c r="G245">
        <v>36</v>
      </c>
      <c r="H245">
        <v>29724</v>
      </c>
      <c r="I245" t="s">
        <v>1730</v>
      </c>
      <c r="J245">
        <v>36</v>
      </c>
      <c r="K245">
        <v>34</v>
      </c>
      <c r="L245">
        <v>2</v>
      </c>
      <c r="M245" t="s">
        <v>1284</v>
      </c>
      <c r="N245">
        <v>291161</v>
      </c>
    </row>
    <row r="246" spans="1:14" x14ac:dyDescent="0.25">
      <c r="A246" t="s">
        <v>1731</v>
      </c>
      <c r="B246" t="s">
        <v>828</v>
      </c>
      <c r="C246" t="s">
        <v>146</v>
      </c>
      <c r="D246" t="s">
        <v>1295</v>
      </c>
      <c r="E246">
        <v>2215000</v>
      </c>
      <c r="F246">
        <v>12.41</v>
      </c>
      <c r="G246">
        <v>66</v>
      </c>
      <c r="H246">
        <v>46474</v>
      </c>
      <c r="I246" t="s">
        <v>1629</v>
      </c>
      <c r="J246">
        <v>16</v>
      </c>
      <c r="K246">
        <v>15</v>
      </c>
      <c r="L246">
        <v>1</v>
      </c>
      <c r="M246" t="s">
        <v>1284</v>
      </c>
      <c r="N246">
        <v>1831590</v>
      </c>
    </row>
    <row r="247" spans="1:14" x14ac:dyDescent="0.25">
      <c r="A247" t="s">
        <v>1732</v>
      </c>
      <c r="B247" t="s">
        <v>1029</v>
      </c>
      <c r="C247" t="s">
        <v>87</v>
      </c>
      <c r="D247" t="s">
        <v>1282</v>
      </c>
      <c r="E247">
        <v>512000</v>
      </c>
      <c r="F247">
        <v>11.15</v>
      </c>
      <c r="G247">
        <v>12</v>
      </c>
      <c r="H247">
        <v>45287</v>
      </c>
      <c r="I247" t="s">
        <v>885</v>
      </c>
      <c r="J247">
        <v>12</v>
      </c>
      <c r="K247">
        <v>11</v>
      </c>
      <c r="L247">
        <v>1</v>
      </c>
      <c r="M247" t="s">
        <v>1312</v>
      </c>
      <c r="N247">
        <v>0</v>
      </c>
    </row>
    <row r="248" spans="1:14" x14ac:dyDescent="0.25">
      <c r="A248" t="s">
        <v>1733</v>
      </c>
      <c r="B248" t="s">
        <v>1095</v>
      </c>
      <c r="C248" t="s">
        <v>73</v>
      </c>
      <c r="D248" t="s">
        <v>1282</v>
      </c>
      <c r="E248">
        <v>363000</v>
      </c>
      <c r="F248">
        <v>14.45</v>
      </c>
      <c r="G248">
        <v>48</v>
      </c>
      <c r="H248">
        <v>10002</v>
      </c>
      <c r="I248" t="s">
        <v>1734</v>
      </c>
      <c r="J248">
        <v>48</v>
      </c>
      <c r="K248">
        <v>46</v>
      </c>
      <c r="L248">
        <v>2</v>
      </c>
      <c r="M248" t="s">
        <v>1284</v>
      </c>
      <c r="N248">
        <v>109949</v>
      </c>
    </row>
    <row r="249" spans="1:14" x14ac:dyDescent="0.25">
      <c r="A249" t="s">
        <v>1735</v>
      </c>
      <c r="B249" t="s">
        <v>434</v>
      </c>
      <c r="C249" t="s">
        <v>87</v>
      </c>
      <c r="D249" t="s">
        <v>1295</v>
      </c>
      <c r="E249">
        <v>699000</v>
      </c>
      <c r="F249">
        <v>11.8</v>
      </c>
      <c r="G249">
        <v>24</v>
      </c>
      <c r="H249">
        <v>32839</v>
      </c>
      <c r="I249" t="s">
        <v>1736</v>
      </c>
      <c r="J249">
        <v>24</v>
      </c>
      <c r="K249">
        <v>23</v>
      </c>
      <c r="L249">
        <v>1</v>
      </c>
      <c r="M249" t="s">
        <v>1312</v>
      </c>
      <c r="N249">
        <v>0</v>
      </c>
    </row>
    <row r="250" spans="1:14" x14ac:dyDescent="0.25">
      <c r="A250" t="s">
        <v>1737</v>
      </c>
      <c r="B250" t="s">
        <v>588</v>
      </c>
      <c r="C250" t="s">
        <v>146</v>
      </c>
      <c r="D250" t="s">
        <v>1282</v>
      </c>
      <c r="E250">
        <v>487000</v>
      </c>
      <c r="F250">
        <v>13.61</v>
      </c>
      <c r="G250">
        <v>36</v>
      </c>
      <c r="H250">
        <v>16552</v>
      </c>
      <c r="I250" t="s">
        <v>1738</v>
      </c>
      <c r="J250">
        <v>36</v>
      </c>
      <c r="K250">
        <v>35</v>
      </c>
      <c r="L250">
        <v>1</v>
      </c>
      <c r="M250" t="s">
        <v>1312</v>
      </c>
      <c r="N250">
        <v>0</v>
      </c>
    </row>
    <row r="251" spans="1:14" x14ac:dyDescent="0.25">
      <c r="A251" t="s">
        <v>1739</v>
      </c>
      <c r="B251" t="s">
        <v>223</v>
      </c>
      <c r="C251" t="s">
        <v>73</v>
      </c>
      <c r="D251" t="s">
        <v>1290</v>
      </c>
      <c r="E251">
        <v>1173000</v>
      </c>
      <c r="F251">
        <v>8.9</v>
      </c>
      <c r="G251">
        <v>72</v>
      </c>
      <c r="H251">
        <v>21086</v>
      </c>
      <c r="I251" t="s">
        <v>1740</v>
      </c>
      <c r="J251">
        <v>72</v>
      </c>
      <c r="K251">
        <v>66</v>
      </c>
      <c r="L251">
        <v>6</v>
      </c>
      <c r="M251" t="s">
        <v>1288</v>
      </c>
      <c r="N251">
        <v>407578</v>
      </c>
    </row>
    <row r="252" spans="1:14" x14ac:dyDescent="0.25">
      <c r="A252" t="s">
        <v>1741</v>
      </c>
      <c r="B252" t="s">
        <v>569</v>
      </c>
      <c r="C252" t="s">
        <v>146</v>
      </c>
      <c r="D252" t="s">
        <v>1286</v>
      </c>
      <c r="E252">
        <v>1275000</v>
      </c>
      <c r="F252">
        <v>7.58</v>
      </c>
      <c r="G252">
        <v>174</v>
      </c>
      <c r="H252">
        <v>12099</v>
      </c>
      <c r="I252" t="s">
        <v>1117</v>
      </c>
      <c r="J252">
        <v>70</v>
      </c>
      <c r="K252">
        <v>66</v>
      </c>
      <c r="L252">
        <v>4</v>
      </c>
      <c r="M252" t="s">
        <v>1288</v>
      </c>
      <c r="N252">
        <v>835806</v>
      </c>
    </row>
    <row r="253" spans="1:14" x14ac:dyDescent="0.25">
      <c r="A253" t="s">
        <v>1742</v>
      </c>
      <c r="B253" t="s">
        <v>752</v>
      </c>
      <c r="C253" t="s">
        <v>87</v>
      </c>
      <c r="D253" t="s">
        <v>1282</v>
      </c>
      <c r="E253">
        <v>228000</v>
      </c>
      <c r="F253">
        <v>11.19</v>
      </c>
      <c r="G253">
        <v>48</v>
      </c>
      <c r="H253">
        <v>5914</v>
      </c>
      <c r="I253" t="s">
        <v>1743</v>
      </c>
      <c r="J253">
        <v>48</v>
      </c>
      <c r="K253">
        <v>46</v>
      </c>
      <c r="L253">
        <v>2</v>
      </c>
      <c r="M253" t="s">
        <v>1284</v>
      </c>
      <c r="N253">
        <v>78376</v>
      </c>
    </row>
    <row r="254" spans="1:14" x14ac:dyDescent="0.25">
      <c r="A254" t="s">
        <v>1744</v>
      </c>
      <c r="B254" t="s">
        <v>997</v>
      </c>
      <c r="C254" t="s">
        <v>73</v>
      </c>
      <c r="D254" t="s">
        <v>1295</v>
      </c>
      <c r="E254">
        <v>1612000</v>
      </c>
      <c r="F254">
        <v>11.43</v>
      </c>
      <c r="G254">
        <v>48</v>
      </c>
      <c r="H254">
        <v>42000</v>
      </c>
      <c r="I254" t="s">
        <v>1745</v>
      </c>
      <c r="J254">
        <v>21</v>
      </c>
      <c r="K254">
        <v>21</v>
      </c>
      <c r="L254">
        <v>0</v>
      </c>
      <c r="M254" t="s">
        <v>1284</v>
      </c>
      <c r="N254">
        <v>1126900</v>
      </c>
    </row>
    <row r="255" spans="1:14" x14ac:dyDescent="0.25">
      <c r="A255" t="s">
        <v>1746</v>
      </c>
      <c r="B255" t="s">
        <v>437</v>
      </c>
      <c r="C255" t="s">
        <v>73</v>
      </c>
      <c r="D255" t="s">
        <v>1290</v>
      </c>
      <c r="E255">
        <v>627000</v>
      </c>
      <c r="F255">
        <v>9.7899999999999991</v>
      </c>
      <c r="G255">
        <v>24</v>
      </c>
      <c r="H255">
        <v>28872</v>
      </c>
      <c r="I255" t="s">
        <v>1747</v>
      </c>
      <c r="J255">
        <v>24</v>
      </c>
      <c r="K255">
        <v>24</v>
      </c>
      <c r="L255">
        <v>0</v>
      </c>
      <c r="M255" t="s">
        <v>1312</v>
      </c>
      <c r="N255">
        <v>0</v>
      </c>
    </row>
    <row r="256" spans="1:14" x14ac:dyDescent="0.25">
      <c r="A256" t="s">
        <v>1748</v>
      </c>
      <c r="B256" t="s">
        <v>184</v>
      </c>
      <c r="C256" t="s">
        <v>96</v>
      </c>
      <c r="D256" t="s">
        <v>1290</v>
      </c>
      <c r="E256">
        <v>241000</v>
      </c>
      <c r="F256">
        <v>10.23</v>
      </c>
      <c r="G256">
        <v>42</v>
      </c>
      <c r="H256">
        <v>6851</v>
      </c>
      <c r="I256" t="s">
        <v>1426</v>
      </c>
      <c r="J256">
        <v>42</v>
      </c>
      <c r="K256">
        <v>39</v>
      </c>
      <c r="L256">
        <v>3</v>
      </c>
      <c r="M256" t="s">
        <v>1288</v>
      </c>
      <c r="N256">
        <v>94046</v>
      </c>
    </row>
    <row r="257" spans="1:14" x14ac:dyDescent="0.25">
      <c r="A257" t="s">
        <v>1749</v>
      </c>
      <c r="B257" t="s">
        <v>318</v>
      </c>
      <c r="C257" t="s">
        <v>51</v>
      </c>
      <c r="D257" t="s">
        <v>1282</v>
      </c>
      <c r="E257">
        <v>595000</v>
      </c>
      <c r="F257">
        <v>12.56</v>
      </c>
      <c r="G257">
        <v>12</v>
      </c>
      <c r="H257">
        <v>53021</v>
      </c>
      <c r="I257" t="s">
        <v>1750</v>
      </c>
      <c r="J257">
        <v>12</v>
      </c>
      <c r="K257">
        <v>11</v>
      </c>
      <c r="L257">
        <v>1</v>
      </c>
      <c r="M257" t="s">
        <v>1312</v>
      </c>
      <c r="N257">
        <v>0</v>
      </c>
    </row>
    <row r="258" spans="1:14" x14ac:dyDescent="0.25">
      <c r="A258" t="s">
        <v>1751</v>
      </c>
      <c r="B258" t="s">
        <v>1017</v>
      </c>
      <c r="C258" t="s">
        <v>96</v>
      </c>
      <c r="D258" t="s">
        <v>1290</v>
      </c>
      <c r="E258">
        <v>693000</v>
      </c>
      <c r="F258">
        <v>9.44</v>
      </c>
      <c r="G258">
        <v>54</v>
      </c>
      <c r="H258">
        <v>15801</v>
      </c>
      <c r="I258" t="s">
        <v>1752</v>
      </c>
      <c r="J258">
        <v>32</v>
      </c>
      <c r="K258">
        <v>30</v>
      </c>
      <c r="L258">
        <v>2</v>
      </c>
      <c r="M258" t="s">
        <v>1284</v>
      </c>
      <c r="N258">
        <v>432284</v>
      </c>
    </row>
    <row r="259" spans="1:14" x14ac:dyDescent="0.25">
      <c r="A259" t="s">
        <v>1753</v>
      </c>
      <c r="B259" t="s">
        <v>276</v>
      </c>
      <c r="C259" t="s">
        <v>96</v>
      </c>
      <c r="D259" t="s">
        <v>1290</v>
      </c>
      <c r="E259">
        <v>1179000</v>
      </c>
      <c r="F259">
        <v>10.63</v>
      </c>
      <c r="G259">
        <v>60</v>
      </c>
      <c r="H259">
        <v>25417</v>
      </c>
      <c r="I259" t="s">
        <v>1754</v>
      </c>
      <c r="J259">
        <v>60</v>
      </c>
      <c r="K259">
        <v>55</v>
      </c>
      <c r="L259">
        <v>5</v>
      </c>
      <c r="M259" t="s">
        <v>1288</v>
      </c>
      <c r="N259">
        <v>410136</v>
      </c>
    </row>
    <row r="260" spans="1:14" x14ac:dyDescent="0.25">
      <c r="A260" t="s">
        <v>1755</v>
      </c>
      <c r="B260" t="s">
        <v>773</v>
      </c>
      <c r="C260" t="s">
        <v>87</v>
      </c>
      <c r="D260" t="s">
        <v>1290</v>
      </c>
      <c r="E260">
        <v>1167000</v>
      </c>
      <c r="F260">
        <v>9.4700000000000006</v>
      </c>
      <c r="G260">
        <v>72</v>
      </c>
      <c r="H260">
        <v>21309</v>
      </c>
      <c r="I260" t="s">
        <v>966</v>
      </c>
      <c r="J260">
        <v>23</v>
      </c>
      <c r="K260">
        <v>21</v>
      </c>
      <c r="L260">
        <v>2</v>
      </c>
      <c r="M260" t="s">
        <v>1284</v>
      </c>
      <c r="N260">
        <v>920881</v>
      </c>
    </row>
    <row r="261" spans="1:14" x14ac:dyDescent="0.25">
      <c r="A261" t="s">
        <v>1756</v>
      </c>
      <c r="B261" t="s">
        <v>642</v>
      </c>
      <c r="C261" t="s">
        <v>51</v>
      </c>
      <c r="D261" t="s">
        <v>1282</v>
      </c>
      <c r="E261">
        <v>224000</v>
      </c>
      <c r="F261">
        <v>11.06</v>
      </c>
      <c r="G261">
        <v>24</v>
      </c>
      <c r="H261">
        <v>10446</v>
      </c>
      <c r="I261" t="s">
        <v>1757</v>
      </c>
      <c r="J261">
        <v>24</v>
      </c>
      <c r="K261">
        <v>21</v>
      </c>
      <c r="L261">
        <v>3</v>
      </c>
      <c r="M261" t="s">
        <v>1288</v>
      </c>
      <c r="N261">
        <v>103349</v>
      </c>
    </row>
    <row r="262" spans="1:14" x14ac:dyDescent="0.25">
      <c r="A262" t="s">
        <v>1758</v>
      </c>
      <c r="B262" t="s">
        <v>880</v>
      </c>
      <c r="C262" t="s">
        <v>146</v>
      </c>
      <c r="D262" t="s">
        <v>1282</v>
      </c>
      <c r="E262">
        <v>92000</v>
      </c>
      <c r="F262">
        <v>14.83</v>
      </c>
      <c r="G262">
        <v>24</v>
      </c>
      <c r="H262">
        <v>4453</v>
      </c>
      <c r="I262" t="s">
        <v>1339</v>
      </c>
      <c r="J262">
        <v>24</v>
      </c>
      <c r="K262">
        <v>23</v>
      </c>
      <c r="L262">
        <v>1</v>
      </c>
      <c r="M262" t="s">
        <v>1312</v>
      </c>
      <c r="N262">
        <v>0</v>
      </c>
    </row>
    <row r="263" spans="1:14" x14ac:dyDescent="0.25">
      <c r="A263" t="s">
        <v>1759</v>
      </c>
      <c r="B263" t="s">
        <v>680</v>
      </c>
      <c r="C263" t="s">
        <v>87</v>
      </c>
      <c r="D263" t="s">
        <v>1286</v>
      </c>
      <c r="E263">
        <v>2670000</v>
      </c>
      <c r="F263">
        <v>8.17</v>
      </c>
      <c r="G263">
        <v>72</v>
      </c>
      <c r="H263">
        <v>47036</v>
      </c>
      <c r="I263" t="s">
        <v>1760</v>
      </c>
      <c r="J263">
        <v>29</v>
      </c>
      <c r="K263">
        <v>27</v>
      </c>
      <c r="L263">
        <v>2</v>
      </c>
      <c r="M263" t="s">
        <v>1284</v>
      </c>
      <c r="N263">
        <v>1971515</v>
      </c>
    </row>
    <row r="264" spans="1:14" x14ac:dyDescent="0.25">
      <c r="A264" t="s">
        <v>1761</v>
      </c>
      <c r="B264" t="s">
        <v>892</v>
      </c>
      <c r="C264" t="s">
        <v>73</v>
      </c>
      <c r="D264" t="s">
        <v>1286</v>
      </c>
      <c r="E264">
        <v>1305000</v>
      </c>
      <c r="F264">
        <v>8.91</v>
      </c>
      <c r="G264">
        <v>84</v>
      </c>
      <c r="H264">
        <v>20937</v>
      </c>
      <c r="I264" t="s">
        <v>1762</v>
      </c>
      <c r="J264">
        <v>12</v>
      </c>
      <c r="K264">
        <v>12</v>
      </c>
      <c r="L264">
        <v>0</v>
      </c>
      <c r="M264" t="s">
        <v>1284</v>
      </c>
      <c r="N264">
        <v>1166816</v>
      </c>
    </row>
    <row r="265" spans="1:14" x14ac:dyDescent="0.25">
      <c r="A265" t="s">
        <v>1763</v>
      </c>
      <c r="B265" t="s">
        <v>449</v>
      </c>
      <c r="C265" t="s">
        <v>146</v>
      </c>
      <c r="D265" t="s">
        <v>1286</v>
      </c>
      <c r="E265">
        <v>926000</v>
      </c>
      <c r="F265">
        <v>8.4700000000000006</v>
      </c>
      <c r="G265">
        <v>102</v>
      </c>
      <c r="H265">
        <v>12766</v>
      </c>
      <c r="I265" t="s">
        <v>472</v>
      </c>
      <c r="J265">
        <v>21</v>
      </c>
      <c r="K265">
        <v>21</v>
      </c>
      <c r="L265">
        <v>0</v>
      </c>
      <c r="M265" t="s">
        <v>1284</v>
      </c>
      <c r="N265">
        <v>778553</v>
      </c>
    </row>
    <row r="266" spans="1:14" x14ac:dyDescent="0.25">
      <c r="A266" t="s">
        <v>1764</v>
      </c>
      <c r="B266" t="s">
        <v>1186</v>
      </c>
      <c r="C266" t="s">
        <v>146</v>
      </c>
      <c r="D266" t="s">
        <v>1295</v>
      </c>
      <c r="E266">
        <v>1578000</v>
      </c>
      <c r="F266">
        <v>14.66</v>
      </c>
      <c r="G266">
        <v>36</v>
      </c>
      <c r="H266">
        <v>54440</v>
      </c>
      <c r="I266" t="s">
        <v>1765</v>
      </c>
      <c r="J266">
        <v>24</v>
      </c>
      <c r="K266">
        <v>24</v>
      </c>
      <c r="L266">
        <v>0</v>
      </c>
      <c r="M266" t="s">
        <v>1284</v>
      </c>
      <c r="N266">
        <v>859392</v>
      </c>
    </row>
    <row r="267" spans="1:14" x14ac:dyDescent="0.25">
      <c r="A267" t="s">
        <v>1766</v>
      </c>
      <c r="B267" t="s">
        <v>1107</v>
      </c>
      <c r="C267" t="s">
        <v>51</v>
      </c>
      <c r="D267" t="s">
        <v>1282</v>
      </c>
      <c r="E267">
        <v>459000</v>
      </c>
      <c r="F267">
        <v>13.7</v>
      </c>
      <c r="G267">
        <v>42</v>
      </c>
      <c r="H267">
        <v>13818</v>
      </c>
      <c r="I267" t="s">
        <v>1767</v>
      </c>
      <c r="J267">
        <v>18</v>
      </c>
      <c r="K267">
        <v>16</v>
      </c>
      <c r="L267">
        <v>2</v>
      </c>
      <c r="M267" t="s">
        <v>1284</v>
      </c>
      <c r="N267">
        <v>337402</v>
      </c>
    </row>
    <row r="268" spans="1:14" x14ac:dyDescent="0.25">
      <c r="A268" t="s">
        <v>1768</v>
      </c>
      <c r="B268" t="s">
        <v>560</v>
      </c>
      <c r="C268" t="s">
        <v>96</v>
      </c>
      <c r="D268" t="s">
        <v>1282</v>
      </c>
      <c r="E268">
        <v>354000</v>
      </c>
      <c r="F268">
        <v>12.73</v>
      </c>
      <c r="G268">
        <v>18</v>
      </c>
      <c r="H268">
        <v>21708</v>
      </c>
      <c r="I268" t="s">
        <v>1769</v>
      </c>
      <c r="J268">
        <v>18</v>
      </c>
      <c r="K268">
        <v>17</v>
      </c>
      <c r="L268">
        <v>1</v>
      </c>
      <c r="M268" t="s">
        <v>1312</v>
      </c>
      <c r="N268">
        <v>0</v>
      </c>
    </row>
    <row r="269" spans="1:14" x14ac:dyDescent="0.25">
      <c r="A269" t="s">
        <v>1770</v>
      </c>
      <c r="B269" t="s">
        <v>342</v>
      </c>
      <c r="C269" t="s">
        <v>87</v>
      </c>
      <c r="D269" t="s">
        <v>1295</v>
      </c>
      <c r="E269">
        <v>2044000</v>
      </c>
      <c r="F269">
        <v>11.66</v>
      </c>
      <c r="G269">
        <v>18</v>
      </c>
      <c r="H269">
        <v>124325</v>
      </c>
      <c r="I269" t="s">
        <v>1771</v>
      </c>
      <c r="J269">
        <v>18</v>
      </c>
      <c r="K269">
        <v>17</v>
      </c>
      <c r="L269">
        <v>1</v>
      </c>
      <c r="M269" t="s">
        <v>1312</v>
      </c>
      <c r="N269">
        <v>0</v>
      </c>
    </row>
    <row r="270" spans="1:14" x14ac:dyDescent="0.25">
      <c r="A270" t="s">
        <v>1772</v>
      </c>
      <c r="B270" t="s">
        <v>758</v>
      </c>
      <c r="C270" t="s">
        <v>146</v>
      </c>
      <c r="D270" t="s">
        <v>1286</v>
      </c>
      <c r="E270">
        <v>1704000</v>
      </c>
      <c r="F270">
        <v>8.67</v>
      </c>
      <c r="G270">
        <v>162</v>
      </c>
      <c r="H270">
        <v>17882</v>
      </c>
      <c r="I270" t="s">
        <v>1426</v>
      </c>
      <c r="J270">
        <v>53</v>
      </c>
      <c r="K270">
        <v>52</v>
      </c>
      <c r="L270">
        <v>1</v>
      </c>
      <c r="M270" t="s">
        <v>1284</v>
      </c>
      <c r="N270">
        <v>1192575</v>
      </c>
    </row>
    <row r="271" spans="1:14" x14ac:dyDescent="0.25">
      <c r="A271" t="s">
        <v>1773</v>
      </c>
      <c r="B271" t="s">
        <v>865</v>
      </c>
      <c r="C271" t="s">
        <v>87</v>
      </c>
      <c r="D271" t="s">
        <v>1290</v>
      </c>
      <c r="E271">
        <v>1084000</v>
      </c>
      <c r="F271">
        <v>10.16</v>
      </c>
      <c r="G271">
        <v>18</v>
      </c>
      <c r="H271">
        <v>65182</v>
      </c>
      <c r="I271" t="s">
        <v>1774</v>
      </c>
      <c r="J271">
        <v>18</v>
      </c>
      <c r="K271">
        <v>17</v>
      </c>
      <c r="L271">
        <v>1</v>
      </c>
      <c r="M271" t="s">
        <v>1312</v>
      </c>
      <c r="N271">
        <v>0</v>
      </c>
    </row>
    <row r="272" spans="1:14" x14ac:dyDescent="0.25">
      <c r="A272" t="s">
        <v>1775</v>
      </c>
      <c r="B272" t="s">
        <v>1035</v>
      </c>
      <c r="C272" t="s">
        <v>96</v>
      </c>
      <c r="D272" t="s">
        <v>1295</v>
      </c>
      <c r="E272">
        <v>315000</v>
      </c>
      <c r="F272">
        <v>15.15</v>
      </c>
      <c r="G272">
        <v>72</v>
      </c>
      <c r="H272">
        <v>6686</v>
      </c>
      <c r="I272" t="s">
        <v>1776</v>
      </c>
      <c r="J272">
        <v>72</v>
      </c>
      <c r="K272">
        <v>66</v>
      </c>
      <c r="L272">
        <v>6</v>
      </c>
      <c r="M272" t="s">
        <v>1288</v>
      </c>
      <c r="N272">
        <v>72298</v>
      </c>
    </row>
    <row r="273" spans="1:14" x14ac:dyDescent="0.25">
      <c r="A273" t="s">
        <v>1777</v>
      </c>
      <c r="B273" t="s">
        <v>315</v>
      </c>
      <c r="C273" t="s">
        <v>87</v>
      </c>
      <c r="D273" t="s">
        <v>1286</v>
      </c>
      <c r="E273">
        <v>3899000</v>
      </c>
      <c r="F273">
        <v>8.19</v>
      </c>
      <c r="G273">
        <v>78</v>
      </c>
      <c r="H273">
        <v>64634</v>
      </c>
      <c r="I273" t="s">
        <v>1778</v>
      </c>
      <c r="J273">
        <v>13</v>
      </c>
      <c r="K273">
        <v>10</v>
      </c>
      <c r="L273">
        <v>3</v>
      </c>
      <c r="M273" t="s">
        <v>1288</v>
      </c>
      <c r="N273">
        <v>3543513</v>
      </c>
    </row>
    <row r="274" spans="1:14" x14ac:dyDescent="0.25">
      <c r="A274" t="s">
        <v>1779</v>
      </c>
      <c r="B274" t="s">
        <v>1236</v>
      </c>
      <c r="C274" t="s">
        <v>87</v>
      </c>
      <c r="D274" t="s">
        <v>1295</v>
      </c>
      <c r="E274">
        <v>1098000</v>
      </c>
      <c r="F274">
        <v>12.76</v>
      </c>
      <c r="G274">
        <v>72</v>
      </c>
      <c r="H274">
        <v>21903</v>
      </c>
      <c r="I274" t="s">
        <v>1780</v>
      </c>
      <c r="J274">
        <v>70</v>
      </c>
      <c r="K274">
        <v>66</v>
      </c>
      <c r="L274">
        <v>4</v>
      </c>
      <c r="M274" t="s">
        <v>1288</v>
      </c>
      <c r="N274">
        <v>302921</v>
      </c>
    </row>
    <row r="275" spans="1:14" x14ac:dyDescent="0.25">
      <c r="A275" t="s">
        <v>1781</v>
      </c>
      <c r="B275" t="s">
        <v>1213</v>
      </c>
      <c r="C275" t="s">
        <v>51</v>
      </c>
      <c r="D275" t="s">
        <v>1290</v>
      </c>
      <c r="E275">
        <v>787000</v>
      </c>
      <c r="F275">
        <v>8.92</v>
      </c>
      <c r="G275">
        <v>60</v>
      </c>
      <c r="H275">
        <v>16306</v>
      </c>
      <c r="I275" t="s">
        <v>308</v>
      </c>
      <c r="J275">
        <v>19</v>
      </c>
      <c r="K275">
        <v>16</v>
      </c>
      <c r="L275">
        <v>3</v>
      </c>
      <c r="M275" t="s">
        <v>1288</v>
      </c>
      <c r="N275">
        <v>643507</v>
      </c>
    </row>
    <row r="276" spans="1:14" x14ac:dyDescent="0.25">
      <c r="A276" t="s">
        <v>1782</v>
      </c>
      <c r="B276" t="s">
        <v>348</v>
      </c>
      <c r="C276" t="s">
        <v>146</v>
      </c>
      <c r="D276" t="s">
        <v>1286</v>
      </c>
      <c r="E276">
        <v>1231000</v>
      </c>
      <c r="F276">
        <v>8.99</v>
      </c>
      <c r="G276">
        <v>66</v>
      </c>
      <c r="H276">
        <v>23709</v>
      </c>
      <c r="I276" t="s">
        <v>1783</v>
      </c>
      <c r="J276">
        <v>65</v>
      </c>
      <c r="K276">
        <v>60</v>
      </c>
      <c r="L276">
        <v>5</v>
      </c>
      <c r="M276" t="s">
        <v>1288</v>
      </c>
      <c r="N276">
        <v>448603</v>
      </c>
    </row>
    <row r="277" spans="1:14" x14ac:dyDescent="0.25">
      <c r="A277" t="s">
        <v>1784</v>
      </c>
      <c r="B277" t="s">
        <v>1266</v>
      </c>
      <c r="C277" t="s">
        <v>87</v>
      </c>
      <c r="D277" t="s">
        <v>1282</v>
      </c>
      <c r="E277">
        <v>326000</v>
      </c>
      <c r="F277">
        <v>13.06</v>
      </c>
      <c r="G277">
        <v>24</v>
      </c>
      <c r="H277">
        <v>15508</v>
      </c>
      <c r="I277" t="s">
        <v>1785</v>
      </c>
      <c r="J277">
        <v>24</v>
      </c>
      <c r="K277">
        <v>23</v>
      </c>
      <c r="L277">
        <v>1</v>
      </c>
      <c r="M277" t="s">
        <v>1312</v>
      </c>
      <c r="N277">
        <v>0</v>
      </c>
    </row>
    <row r="278" spans="1:14" x14ac:dyDescent="0.25">
      <c r="A278" t="s">
        <v>1786</v>
      </c>
      <c r="B278" t="s">
        <v>630</v>
      </c>
      <c r="C278" t="s">
        <v>87</v>
      </c>
      <c r="D278" t="s">
        <v>1286</v>
      </c>
      <c r="E278">
        <v>1764000</v>
      </c>
      <c r="F278">
        <v>7.57</v>
      </c>
      <c r="G278">
        <v>150</v>
      </c>
      <c r="H278">
        <v>18223</v>
      </c>
      <c r="I278" t="s">
        <v>852</v>
      </c>
      <c r="J278">
        <v>29</v>
      </c>
      <c r="K278">
        <v>28</v>
      </c>
      <c r="L278">
        <v>1</v>
      </c>
      <c r="M278" t="s">
        <v>1284</v>
      </c>
      <c r="N278">
        <v>1483366</v>
      </c>
    </row>
    <row r="279" spans="1:14" x14ac:dyDescent="0.25">
      <c r="A279" t="s">
        <v>1787</v>
      </c>
      <c r="B279" t="s">
        <v>401</v>
      </c>
      <c r="C279" t="s">
        <v>96</v>
      </c>
      <c r="D279" t="s">
        <v>1290</v>
      </c>
      <c r="E279">
        <v>218000</v>
      </c>
      <c r="F279">
        <v>8.65</v>
      </c>
      <c r="G279">
        <v>36</v>
      </c>
      <c r="H279">
        <v>6897</v>
      </c>
      <c r="I279" t="s">
        <v>1788</v>
      </c>
      <c r="J279">
        <v>15</v>
      </c>
      <c r="K279">
        <v>13</v>
      </c>
      <c r="L279">
        <v>2</v>
      </c>
      <c r="M279" t="s">
        <v>1284</v>
      </c>
      <c r="N279">
        <v>168686</v>
      </c>
    </row>
    <row r="280" spans="1:14" x14ac:dyDescent="0.25">
      <c r="A280" t="s">
        <v>1789</v>
      </c>
      <c r="B280" t="s">
        <v>235</v>
      </c>
      <c r="C280" t="s">
        <v>87</v>
      </c>
      <c r="D280" t="s">
        <v>1295</v>
      </c>
      <c r="E280">
        <v>1817000</v>
      </c>
      <c r="F280">
        <v>14.9</v>
      </c>
      <c r="G280">
        <v>30</v>
      </c>
      <c r="H280">
        <v>72917</v>
      </c>
      <c r="I280" t="s">
        <v>1360</v>
      </c>
      <c r="J280">
        <v>30</v>
      </c>
      <c r="K280">
        <v>28</v>
      </c>
      <c r="L280">
        <v>2</v>
      </c>
      <c r="M280" t="s">
        <v>1284</v>
      </c>
      <c r="N280">
        <v>694078</v>
      </c>
    </row>
    <row r="281" spans="1:14" x14ac:dyDescent="0.25">
      <c r="A281" t="s">
        <v>1790</v>
      </c>
      <c r="B281" t="s">
        <v>98</v>
      </c>
      <c r="C281" t="s">
        <v>96</v>
      </c>
      <c r="D281" t="s">
        <v>1290</v>
      </c>
      <c r="E281">
        <v>1149000</v>
      </c>
      <c r="F281">
        <v>10.95</v>
      </c>
      <c r="G281">
        <v>18</v>
      </c>
      <c r="H281">
        <v>69509</v>
      </c>
      <c r="I281" t="s">
        <v>1791</v>
      </c>
      <c r="J281">
        <v>18</v>
      </c>
      <c r="K281">
        <v>18</v>
      </c>
      <c r="L281">
        <v>0</v>
      </c>
      <c r="M281" t="s">
        <v>1312</v>
      </c>
      <c r="N281">
        <v>0</v>
      </c>
    </row>
    <row r="282" spans="1:14" x14ac:dyDescent="0.25">
      <c r="A282" t="s">
        <v>1792</v>
      </c>
      <c r="B282" t="s">
        <v>137</v>
      </c>
      <c r="C282" t="s">
        <v>87</v>
      </c>
      <c r="D282" t="s">
        <v>1295</v>
      </c>
      <c r="E282">
        <v>548000</v>
      </c>
      <c r="F282">
        <v>11.08</v>
      </c>
      <c r="G282">
        <v>84</v>
      </c>
      <c r="H282">
        <v>9406</v>
      </c>
      <c r="I282" t="s">
        <v>1793</v>
      </c>
      <c r="J282">
        <v>84</v>
      </c>
      <c r="K282">
        <v>78</v>
      </c>
      <c r="L282">
        <v>6</v>
      </c>
      <c r="M282" t="s">
        <v>1288</v>
      </c>
      <c r="N282">
        <v>144483</v>
      </c>
    </row>
    <row r="283" spans="1:14" x14ac:dyDescent="0.25">
      <c r="A283" t="s">
        <v>1794</v>
      </c>
      <c r="B283" t="s">
        <v>785</v>
      </c>
      <c r="C283" t="s">
        <v>73</v>
      </c>
      <c r="D283" t="s">
        <v>1286</v>
      </c>
      <c r="E283">
        <v>2990000</v>
      </c>
      <c r="F283">
        <v>7.94</v>
      </c>
      <c r="G283">
        <v>114</v>
      </c>
      <c r="H283">
        <v>37435</v>
      </c>
      <c r="I283" t="s">
        <v>1795</v>
      </c>
      <c r="J283">
        <v>41</v>
      </c>
      <c r="K283">
        <v>37</v>
      </c>
      <c r="L283">
        <v>4</v>
      </c>
      <c r="M283" t="s">
        <v>1288</v>
      </c>
      <c r="N283">
        <v>2228198</v>
      </c>
    </row>
    <row r="284" spans="1:14" x14ac:dyDescent="0.25">
      <c r="A284" t="s">
        <v>1796</v>
      </c>
      <c r="B284" t="s">
        <v>1032</v>
      </c>
      <c r="C284" t="s">
        <v>96</v>
      </c>
      <c r="D284" t="s">
        <v>1286</v>
      </c>
      <c r="E284">
        <v>3752000</v>
      </c>
      <c r="F284">
        <v>8.23</v>
      </c>
      <c r="G284">
        <v>138</v>
      </c>
      <c r="H284">
        <v>42141</v>
      </c>
      <c r="I284" t="s">
        <v>1797</v>
      </c>
      <c r="J284">
        <v>48</v>
      </c>
      <c r="K284">
        <v>41</v>
      </c>
      <c r="L284">
        <v>7</v>
      </c>
      <c r="M284" t="s">
        <v>1288</v>
      </c>
      <c r="N284">
        <v>2801720</v>
      </c>
    </row>
    <row r="285" spans="1:14" x14ac:dyDescent="0.25">
      <c r="A285" t="s">
        <v>1798</v>
      </c>
      <c r="B285" t="s">
        <v>404</v>
      </c>
      <c r="C285" t="s">
        <v>96</v>
      </c>
      <c r="D285" t="s">
        <v>1286</v>
      </c>
      <c r="E285">
        <v>2202000</v>
      </c>
      <c r="F285">
        <v>8.1300000000000008</v>
      </c>
      <c r="G285">
        <v>132</v>
      </c>
      <c r="H285">
        <v>25291</v>
      </c>
      <c r="I285" t="s">
        <v>1799</v>
      </c>
      <c r="J285">
        <v>92</v>
      </c>
      <c r="K285">
        <v>91</v>
      </c>
      <c r="L285">
        <v>1</v>
      </c>
      <c r="M285" t="s">
        <v>1284</v>
      </c>
      <c r="N285">
        <v>936185</v>
      </c>
    </row>
    <row r="286" spans="1:14" x14ac:dyDescent="0.25">
      <c r="A286" t="s">
        <v>1800</v>
      </c>
      <c r="B286" t="s">
        <v>488</v>
      </c>
      <c r="C286" t="s">
        <v>96</v>
      </c>
      <c r="D286" t="s">
        <v>1295</v>
      </c>
      <c r="E286">
        <v>906000</v>
      </c>
      <c r="F286">
        <v>13.82</v>
      </c>
      <c r="G286">
        <v>84</v>
      </c>
      <c r="H286">
        <v>16888</v>
      </c>
      <c r="I286" t="s">
        <v>1801</v>
      </c>
      <c r="J286">
        <v>33</v>
      </c>
      <c r="K286">
        <v>32</v>
      </c>
      <c r="L286">
        <v>1</v>
      </c>
      <c r="M286" t="s">
        <v>1284</v>
      </c>
      <c r="N286">
        <v>608771</v>
      </c>
    </row>
    <row r="287" spans="1:14" x14ac:dyDescent="0.25">
      <c r="A287" t="s">
        <v>1802</v>
      </c>
      <c r="B287" t="s">
        <v>1041</v>
      </c>
      <c r="C287" t="s">
        <v>146</v>
      </c>
      <c r="D287" t="s">
        <v>1286</v>
      </c>
      <c r="E287">
        <v>1391000</v>
      </c>
      <c r="F287">
        <v>8.9700000000000006</v>
      </c>
      <c r="G287">
        <v>66</v>
      </c>
      <c r="H287">
        <v>26777</v>
      </c>
      <c r="I287" t="s">
        <v>213</v>
      </c>
      <c r="J287">
        <v>47</v>
      </c>
      <c r="K287">
        <v>43</v>
      </c>
      <c r="L287">
        <v>4</v>
      </c>
      <c r="M287" t="s">
        <v>1288</v>
      </c>
      <c r="N287">
        <v>757724</v>
      </c>
    </row>
    <row r="288" spans="1:14" x14ac:dyDescent="0.25">
      <c r="A288" t="s">
        <v>1803</v>
      </c>
      <c r="B288" t="s">
        <v>761</v>
      </c>
      <c r="C288" t="s">
        <v>146</v>
      </c>
      <c r="D288" t="s">
        <v>1282</v>
      </c>
      <c r="E288">
        <v>494000</v>
      </c>
      <c r="F288">
        <v>14.41</v>
      </c>
      <c r="G288">
        <v>30</v>
      </c>
      <c r="H288">
        <v>19708</v>
      </c>
      <c r="I288" t="s">
        <v>1804</v>
      </c>
      <c r="J288">
        <v>30</v>
      </c>
      <c r="K288">
        <v>27</v>
      </c>
      <c r="L288">
        <v>3</v>
      </c>
      <c r="M288" t="s">
        <v>1288</v>
      </c>
      <c r="N288">
        <v>201336</v>
      </c>
    </row>
    <row r="289" spans="1:14" x14ac:dyDescent="0.25">
      <c r="A289" t="s">
        <v>1805</v>
      </c>
      <c r="B289" t="s">
        <v>725</v>
      </c>
      <c r="C289" t="s">
        <v>146</v>
      </c>
      <c r="D289" t="s">
        <v>1282</v>
      </c>
      <c r="E289">
        <v>570000</v>
      </c>
      <c r="F289">
        <v>13.73</v>
      </c>
      <c r="G289">
        <v>18</v>
      </c>
      <c r="H289">
        <v>35220</v>
      </c>
      <c r="I289" t="s">
        <v>1806</v>
      </c>
      <c r="J289">
        <v>18</v>
      </c>
      <c r="K289">
        <v>16</v>
      </c>
      <c r="L289">
        <v>2</v>
      </c>
      <c r="M289" t="s">
        <v>1284</v>
      </c>
      <c r="N289">
        <v>260064</v>
      </c>
    </row>
    <row r="290" spans="1:14" x14ac:dyDescent="0.25">
      <c r="A290" t="s">
        <v>1807</v>
      </c>
      <c r="B290" t="s">
        <v>653</v>
      </c>
      <c r="C290" t="s">
        <v>146</v>
      </c>
      <c r="D290" t="s">
        <v>1295</v>
      </c>
      <c r="E290">
        <v>2274000</v>
      </c>
      <c r="F290">
        <v>14.69</v>
      </c>
      <c r="G290">
        <v>78</v>
      </c>
      <c r="H290">
        <v>45420</v>
      </c>
      <c r="I290" t="s">
        <v>1808</v>
      </c>
      <c r="J290">
        <v>66</v>
      </c>
      <c r="K290">
        <v>65</v>
      </c>
      <c r="L290">
        <v>1</v>
      </c>
      <c r="M290" t="s">
        <v>1284</v>
      </c>
      <c r="N290">
        <v>650235</v>
      </c>
    </row>
    <row r="291" spans="1:14" x14ac:dyDescent="0.25">
      <c r="A291" t="s">
        <v>1809</v>
      </c>
      <c r="B291" t="s">
        <v>1133</v>
      </c>
      <c r="C291" t="s">
        <v>96</v>
      </c>
      <c r="D291" t="s">
        <v>1286</v>
      </c>
      <c r="E291">
        <v>2317000</v>
      </c>
      <c r="F291">
        <v>7.53</v>
      </c>
      <c r="G291">
        <v>168</v>
      </c>
      <c r="H291">
        <v>22355</v>
      </c>
      <c r="I291" t="s">
        <v>1810</v>
      </c>
      <c r="J291">
        <v>67</v>
      </c>
      <c r="K291">
        <v>63</v>
      </c>
      <c r="L291">
        <v>4</v>
      </c>
      <c r="M291" t="s">
        <v>1288</v>
      </c>
      <c r="N291">
        <v>1542399</v>
      </c>
    </row>
    <row r="292" spans="1:14" x14ac:dyDescent="0.25">
      <c r="A292" t="s">
        <v>1811</v>
      </c>
      <c r="B292" t="s">
        <v>925</v>
      </c>
      <c r="C292" t="s">
        <v>96</v>
      </c>
      <c r="D292" t="s">
        <v>1290</v>
      </c>
      <c r="E292">
        <v>691000</v>
      </c>
      <c r="F292">
        <v>9.85</v>
      </c>
      <c r="G292">
        <v>48</v>
      </c>
      <c r="H292">
        <v>17476</v>
      </c>
      <c r="I292" t="s">
        <v>1812</v>
      </c>
      <c r="J292">
        <v>48</v>
      </c>
      <c r="K292">
        <v>44</v>
      </c>
      <c r="L292">
        <v>4</v>
      </c>
      <c r="M292" t="s">
        <v>1288</v>
      </c>
      <c r="N292">
        <v>268081</v>
      </c>
    </row>
    <row r="293" spans="1:14" x14ac:dyDescent="0.25">
      <c r="A293" t="s">
        <v>1813</v>
      </c>
      <c r="B293" t="s">
        <v>175</v>
      </c>
      <c r="C293" t="s">
        <v>146</v>
      </c>
      <c r="D293" t="s">
        <v>1295</v>
      </c>
      <c r="E293">
        <v>1894000</v>
      </c>
      <c r="F293">
        <v>15.34</v>
      </c>
      <c r="G293">
        <v>60</v>
      </c>
      <c r="H293">
        <v>45397</v>
      </c>
      <c r="I293" t="s">
        <v>1814</v>
      </c>
      <c r="J293">
        <v>52</v>
      </c>
      <c r="K293">
        <v>47</v>
      </c>
      <c r="L293">
        <v>5</v>
      </c>
      <c r="M293" t="s">
        <v>1288</v>
      </c>
      <c r="N293">
        <v>720488</v>
      </c>
    </row>
    <row r="294" spans="1:14" x14ac:dyDescent="0.25">
      <c r="A294" t="s">
        <v>1815</v>
      </c>
      <c r="B294" t="s">
        <v>591</v>
      </c>
      <c r="C294" t="s">
        <v>51</v>
      </c>
      <c r="D294" t="s">
        <v>1295</v>
      </c>
      <c r="E294">
        <v>1646000</v>
      </c>
      <c r="F294">
        <v>11.44</v>
      </c>
      <c r="G294">
        <v>78</v>
      </c>
      <c r="H294">
        <v>30008</v>
      </c>
      <c r="I294" t="s">
        <v>1499</v>
      </c>
      <c r="J294">
        <v>76</v>
      </c>
      <c r="K294">
        <v>68</v>
      </c>
      <c r="L294">
        <v>8</v>
      </c>
      <c r="M294" t="s">
        <v>1288</v>
      </c>
      <c r="N294">
        <v>523701</v>
      </c>
    </row>
    <row r="295" spans="1:14" x14ac:dyDescent="0.25">
      <c r="A295" t="s">
        <v>1816</v>
      </c>
      <c r="B295" t="s">
        <v>624</v>
      </c>
      <c r="C295" t="s">
        <v>51</v>
      </c>
      <c r="D295" t="s">
        <v>1295</v>
      </c>
      <c r="E295">
        <v>411000</v>
      </c>
      <c r="F295">
        <v>15.36</v>
      </c>
      <c r="G295">
        <v>84</v>
      </c>
      <c r="H295">
        <v>8014</v>
      </c>
      <c r="I295" t="s">
        <v>1817</v>
      </c>
      <c r="J295">
        <v>62</v>
      </c>
      <c r="K295">
        <v>54</v>
      </c>
      <c r="L295">
        <v>8</v>
      </c>
      <c r="M295" t="s">
        <v>1288</v>
      </c>
      <c r="N295">
        <v>172984</v>
      </c>
    </row>
    <row r="296" spans="1:14" x14ac:dyDescent="0.25">
      <c r="A296" t="s">
        <v>1818</v>
      </c>
      <c r="B296" t="s">
        <v>386</v>
      </c>
      <c r="C296" t="s">
        <v>87</v>
      </c>
      <c r="D296" t="s">
        <v>1286</v>
      </c>
      <c r="E296">
        <v>3619000</v>
      </c>
      <c r="F296">
        <v>8.1</v>
      </c>
      <c r="G296">
        <v>114</v>
      </c>
      <c r="H296">
        <v>45613</v>
      </c>
      <c r="I296" t="s">
        <v>1819</v>
      </c>
      <c r="J296">
        <v>49</v>
      </c>
      <c r="K296">
        <v>45</v>
      </c>
      <c r="L296">
        <v>4</v>
      </c>
      <c r="M296" t="s">
        <v>1288</v>
      </c>
      <c r="N296">
        <v>2490078</v>
      </c>
    </row>
    <row r="297" spans="1:14" x14ac:dyDescent="0.25">
      <c r="A297" t="s">
        <v>1820</v>
      </c>
      <c r="B297" t="s">
        <v>674</v>
      </c>
      <c r="C297" t="s">
        <v>87</v>
      </c>
      <c r="D297" t="s">
        <v>1286</v>
      </c>
      <c r="E297">
        <v>1018000</v>
      </c>
      <c r="F297">
        <v>7.66</v>
      </c>
      <c r="G297">
        <v>126</v>
      </c>
      <c r="H297">
        <v>11784</v>
      </c>
      <c r="I297" t="s">
        <v>1727</v>
      </c>
      <c r="J297">
        <v>36</v>
      </c>
      <c r="K297">
        <v>27</v>
      </c>
      <c r="L297">
        <v>9</v>
      </c>
      <c r="M297" t="s">
        <v>1288</v>
      </c>
      <c r="N297">
        <v>843008</v>
      </c>
    </row>
    <row r="298" spans="1:14" x14ac:dyDescent="0.25">
      <c r="A298" t="s">
        <v>1821</v>
      </c>
      <c r="B298" t="s">
        <v>710</v>
      </c>
      <c r="C298" t="s">
        <v>146</v>
      </c>
      <c r="D298" t="s">
        <v>1295</v>
      </c>
      <c r="E298">
        <v>463000</v>
      </c>
      <c r="F298">
        <v>15.57</v>
      </c>
      <c r="G298">
        <v>54</v>
      </c>
      <c r="H298">
        <v>11979</v>
      </c>
      <c r="I298" t="s">
        <v>1822</v>
      </c>
      <c r="J298">
        <v>54</v>
      </c>
      <c r="K298">
        <v>52</v>
      </c>
      <c r="L298">
        <v>2</v>
      </c>
      <c r="M298" t="s">
        <v>1284</v>
      </c>
      <c r="N298">
        <v>120401</v>
      </c>
    </row>
    <row r="299" spans="1:14" x14ac:dyDescent="0.25">
      <c r="A299" t="s">
        <v>1823</v>
      </c>
      <c r="B299" t="s">
        <v>491</v>
      </c>
      <c r="C299" t="s">
        <v>146</v>
      </c>
      <c r="D299" t="s">
        <v>1290</v>
      </c>
      <c r="E299">
        <v>577000</v>
      </c>
      <c r="F299">
        <v>9.66</v>
      </c>
      <c r="G299">
        <v>36</v>
      </c>
      <c r="H299">
        <v>18526</v>
      </c>
      <c r="I299" t="s">
        <v>1824</v>
      </c>
      <c r="J299">
        <v>13</v>
      </c>
      <c r="K299">
        <v>13</v>
      </c>
      <c r="L299">
        <v>0</v>
      </c>
      <c r="M299" t="s">
        <v>1284</v>
      </c>
      <c r="N299">
        <v>444539</v>
      </c>
    </row>
    <row r="300" spans="1:14" x14ac:dyDescent="0.25">
      <c r="A300" t="s">
        <v>1825</v>
      </c>
      <c r="B300" t="s">
        <v>1201</v>
      </c>
      <c r="C300" t="s">
        <v>96</v>
      </c>
      <c r="D300" t="s">
        <v>1286</v>
      </c>
      <c r="E300">
        <v>3421000</v>
      </c>
      <c r="F300">
        <v>7.87</v>
      </c>
      <c r="G300">
        <v>72</v>
      </c>
      <c r="H300">
        <v>59764</v>
      </c>
      <c r="I300" t="s">
        <v>1826</v>
      </c>
      <c r="J300">
        <v>41</v>
      </c>
      <c r="K300">
        <v>38</v>
      </c>
      <c r="L300">
        <v>3</v>
      </c>
      <c r="M300" t="s">
        <v>1288</v>
      </c>
      <c r="N300">
        <v>2171932</v>
      </c>
    </row>
    <row r="301" spans="1:14" x14ac:dyDescent="0.25">
      <c r="A301" t="s">
        <v>1827</v>
      </c>
      <c r="B301" t="s">
        <v>1101</v>
      </c>
      <c r="C301" t="s">
        <v>96</v>
      </c>
      <c r="D301" t="s">
        <v>1295</v>
      </c>
      <c r="E301">
        <v>1425000</v>
      </c>
      <c r="F301">
        <v>13.89</v>
      </c>
      <c r="G301">
        <v>48</v>
      </c>
      <c r="H301">
        <v>38862</v>
      </c>
      <c r="I301" t="s">
        <v>1828</v>
      </c>
      <c r="J301">
        <v>26</v>
      </c>
      <c r="K301">
        <v>24</v>
      </c>
      <c r="L301">
        <v>2</v>
      </c>
      <c r="M301" t="s">
        <v>1284</v>
      </c>
      <c r="N301">
        <v>912022</v>
      </c>
    </row>
    <row r="302" spans="1:14" x14ac:dyDescent="0.25">
      <c r="A302" t="s">
        <v>1829</v>
      </c>
      <c r="B302" t="s">
        <v>677</v>
      </c>
      <c r="C302" t="s">
        <v>146</v>
      </c>
      <c r="D302" t="s">
        <v>1282</v>
      </c>
      <c r="E302">
        <v>278000</v>
      </c>
      <c r="F302">
        <v>11.48</v>
      </c>
      <c r="G302">
        <v>24</v>
      </c>
      <c r="H302">
        <v>13019</v>
      </c>
      <c r="I302" t="s">
        <v>1830</v>
      </c>
      <c r="J302">
        <v>24</v>
      </c>
      <c r="K302">
        <v>23</v>
      </c>
      <c r="L302">
        <v>1</v>
      </c>
      <c r="M302" t="s">
        <v>1312</v>
      </c>
      <c r="N302">
        <v>0</v>
      </c>
    </row>
    <row r="303" spans="1:14" x14ac:dyDescent="0.25">
      <c r="A303" t="s">
        <v>1831</v>
      </c>
      <c r="B303" t="s">
        <v>582</v>
      </c>
      <c r="C303" t="s">
        <v>146</v>
      </c>
      <c r="D303" t="s">
        <v>1295</v>
      </c>
      <c r="E303">
        <v>1175000</v>
      </c>
      <c r="F303">
        <v>11.56</v>
      </c>
      <c r="G303">
        <v>18</v>
      </c>
      <c r="H303">
        <v>71414</v>
      </c>
      <c r="I303" t="s">
        <v>1832</v>
      </c>
      <c r="J303">
        <v>18</v>
      </c>
      <c r="K303">
        <v>18</v>
      </c>
      <c r="L303">
        <v>0</v>
      </c>
      <c r="M303" t="s">
        <v>1312</v>
      </c>
      <c r="N303">
        <v>0</v>
      </c>
    </row>
    <row r="304" spans="1:14" x14ac:dyDescent="0.25">
      <c r="A304" t="s">
        <v>1833</v>
      </c>
      <c r="B304" t="s">
        <v>1020</v>
      </c>
      <c r="C304" t="s">
        <v>146</v>
      </c>
      <c r="D304" t="s">
        <v>1290</v>
      </c>
      <c r="E304">
        <v>483000</v>
      </c>
      <c r="F304">
        <v>9.5</v>
      </c>
      <c r="G304">
        <v>54</v>
      </c>
      <c r="H304">
        <v>11027</v>
      </c>
      <c r="I304" t="s">
        <v>1834</v>
      </c>
      <c r="J304">
        <v>24</v>
      </c>
      <c r="K304">
        <v>20</v>
      </c>
      <c r="L304">
        <v>4</v>
      </c>
      <c r="M304" t="s">
        <v>1288</v>
      </c>
      <c r="N304">
        <v>361703</v>
      </c>
    </row>
    <row r="305" spans="1:14" x14ac:dyDescent="0.25">
      <c r="A305" t="s">
        <v>1835</v>
      </c>
      <c r="B305" t="s">
        <v>494</v>
      </c>
      <c r="C305" t="s">
        <v>87</v>
      </c>
      <c r="D305" t="s">
        <v>1290</v>
      </c>
      <c r="E305">
        <v>350000</v>
      </c>
      <c r="F305">
        <v>10.99</v>
      </c>
      <c r="G305">
        <v>12</v>
      </c>
      <c r="H305">
        <v>30932</v>
      </c>
      <c r="I305" t="s">
        <v>1100</v>
      </c>
      <c r="J305">
        <v>12</v>
      </c>
      <c r="K305">
        <v>11</v>
      </c>
      <c r="L305">
        <v>1</v>
      </c>
      <c r="M305" t="s">
        <v>1312</v>
      </c>
      <c r="N305">
        <v>0</v>
      </c>
    </row>
    <row r="306" spans="1:14" x14ac:dyDescent="0.25">
      <c r="A306" t="s">
        <v>1836</v>
      </c>
      <c r="B306" t="s">
        <v>934</v>
      </c>
      <c r="C306" t="s">
        <v>96</v>
      </c>
      <c r="D306" t="s">
        <v>1290</v>
      </c>
      <c r="E306">
        <v>874000</v>
      </c>
      <c r="F306">
        <v>10.83</v>
      </c>
      <c r="G306">
        <v>12</v>
      </c>
      <c r="H306">
        <v>77176</v>
      </c>
      <c r="I306" t="s">
        <v>1837</v>
      </c>
      <c r="J306">
        <v>12</v>
      </c>
      <c r="K306">
        <v>10</v>
      </c>
      <c r="L306">
        <v>2</v>
      </c>
      <c r="M306" t="s">
        <v>1284</v>
      </c>
      <c r="N306">
        <v>449532</v>
      </c>
    </row>
    <row r="307" spans="1:14" x14ac:dyDescent="0.25">
      <c r="A307" t="s">
        <v>1838</v>
      </c>
      <c r="B307" t="s">
        <v>479</v>
      </c>
      <c r="C307" t="s">
        <v>87</v>
      </c>
      <c r="D307" t="s">
        <v>1290</v>
      </c>
      <c r="E307">
        <v>1129000</v>
      </c>
      <c r="F307">
        <v>9.2200000000000006</v>
      </c>
      <c r="G307">
        <v>48</v>
      </c>
      <c r="H307">
        <v>28213</v>
      </c>
      <c r="I307" t="s">
        <v>1499</v>
      </c>
      <c r="J307">
        <v>48</v>
      </c>
      <c r="K307">
        <v>46</v>
      </c>
      <c r="L307">
        <v>2</v>
      </c>
      <c r="M307" t="s">
        <v>1284</v>
      </c>
      <c r="N307">
        <v>415211</v>
      </c>
    </row>
    <row r="308" spans="1:14" x14ac:dyDescent="0.25">
      <c r="A308" t="s">
        <v>1839</v>
      </c>
      <c r="B308" t="s">
        <v>205</v>
      </c>
      <c r="C308" t="s">
        <v>96</v>
      </c>
      <c r="D308" t="s">
        <v>1286</v>
      </c>
      <c r="E308">
        <v>1264000</v>
      </c>
      <c r="F308">
        <v>8.99</v>
      </c>
      <c r="G308">
        <v>60</v>
      </c>
      <c r="H308">
        <v>26232</v>
      </c>
      <c r="I308" t="s">
        <v>1840</v>
      </c>
      <c r="J308">
        <v>60</v>
      </c>
      <c r="K308">
        <v>59</v>
      </c>
      <c r="L308">
        <v>1</v>
      </c>
      <c r="M308" t="s">
        <v>1312</v>
      </c>
      <c r="N308">
        <v>0</v>
      </c>
    </row>
    <row r="309" spans="1:14" x14ac:dyDescent="0.25">
      <c r="A309" t="s">
        <v>1841</v>
      </c>
      <c r="B309" t="s">
        <v>728</v>
      </c>
      <c r="C309" t="s">
        <v>146</v>
      </c>
      <c r="D309" t="s">
        <v>1295</v>
      </c>
      <c r="E309">
        <v>1373000</v>
      </c>
      <c r="F309">
        <v>14.38</v>
      </c>
      <c r="G309">
        <v>18</v>
      </c>
      <c r="H309">
        <v>85254</v>
      </c>
      <c r="I309" t="s">
        <v>1842</v>
      </c>
      <c r="J309">
        <v>18</v>
      </c>
      <c r="K309">
        <v>18</v>
      </c>
      <c r="L309">
        <v>0</v>
      </c>
      <c r="M309" t="s">
        <v>1312</v>
      </c>
      <c r="N309">
        <v>0</v>
      </c>
    </row>
    <row r="310" spans="1:14" x14ac:dyDescent="0.25">
      <c r="A310" t="s">
        <v>1843</v>
      </c>
      <c r="B310" t="s">
        <v>217</v>
      </c>
      <c r="C310" t="s">
        <v>51</v>
      </c>
      <c r="D310" t="s">
        <v>1295</v>
      </c>
      <c r="E310">
        <v>2193000</v>
      </c>
      <c r="F310">
        <v>12.7</v>
      </c>
      <c r="G310">
        <v>18</v>
      </c>
      <c r="H310">
        <v>134448</v>
      </c>
      <c r="I310" t="s">
        <v>1844</v>
      </c>
      <c r="J310">
        <v>18</v>
      </c>
      <c r="K310">
        <v>16</v>
      </c>
      <c r="L310">
        <v>2</v>
      </c>
      <c r="M310" t="s">
        <v>1284</v>
      </c>
      <c r="N310">
        <v>1009858</v>
      </c>
    </row>
    <row r="311" spans="1:14" x14ac:dyDescent="0.25">
      <c r="A311" t="s">
        <v>1845</v>
      </c>
      <c r="B311" t="s">
        <v>250</v>
      </c>
      <c r="C311" t="s">
        <v>96</v>
      </c>
      <c r="D311" t="s">
        <v>1290</v>
      </c>
      <c r="E311">
        <v>772000</v>
      </c>
      <c r="F311">
        <v>9.25</v>
      </c>
      <c r="G311">
        <v>48</v>
      </c>
      <c r="H311">
        <v>19303</v>
      </c>
      <c r="I311" t="s">
        <v>1846</v>
      </c>
      <c r="J311">
        <v>48</v>
      </c>
      <c r="K311">
        <v>46</v>
      </c>
      <c r="L311">
        <v>2</v>
      </c>
      <c r="M311" t="s">
        <v>1284</v>
      </c>
      <c r="N311">
        <v>283634</v>
      </c>
    </row>
    <row r="312" spans="1:14" x14ac:dyDescent="0.25">
      <c r="A312" t="s">
        <v>1847</v>
      </c>
      <c r="B312" t="s">
        <v>1210</v>
      </c>
      <c r="C312" t="s">
        <v>51</v>
      </c>
      <c r="D312" t="s">
        <v>1290</v>
      </c>
      <c r="E312">
        <v>376000</v>
      </c>
      <c r="F312">
        <v>8.59</v>
      </c>
      <c r="G312">
        <v>36</v>
      </c>
      <c r="H312">
        <v>11885</v>
      </c>
      <c r="I312" t="s">
        <v>1848</v>
      </c>
      <c r="J312">
        <v>36</v>
      </c>
      <c r="K312">
        <v>33</v>
      </c>
      <c r="L312">
        <v>3</v>
      </c>
      <c r="M312" t="s">
        <v>1288</v>
      </c>
      <c r="N312">
        <v>160287</v>
      </c>
    </row>
    <row r="313" spans="1:14" x14ac:dyDescent="0.25">
      <c r="A313" t="s">
        <v>1849</v>
      </c>
      <c r="B313" t="s">
        <v>975</v>
      </c>
      <c r="C313" t="s">
        <v>73</v>
      </c>
      <c r="D313" t="s">
        <v>1290</v>
      </c>
      <c r="E313">
        <v>397000</v>
      </c>
      <c r="F313">
        <v>9.1199999999999992</v>
      </c>
      <c r="G313">
        <v>30</v>
      </c>
      <c r="H313">
        <v>14849</v>
      </c>
      <c r="I313" t="s">
        <v>1850</v>
      </c>
      <c r="J313">
        <v>30</v>
      </c>
      <c r="K313">
        <v>29</v>
      </c>
      <c r="L313">
        <v>1</v>
      </c>
      <c r="M313" t="s">
        <v>1312</v>
      </c>
      <c r="N313">
        <v>0</v>
      </c>
    </row>
    <row r="314" spans="1:14" x14ac:dyDescent="0.25">
      <c r="A314" t="s">
        <v>1851</v>
      </c>
      <c r="B314" t="s">
        <v>1162</v>
      </c>
      <c r="C314" t="s">
        <v>87</v>
      </c>
      <c r="D314" t="s">
        <v>1295</v>
      </c>
      <c r="E314">
        <v>1919000</v>
      </c>
      <c r="F314">
        <v>13.58</v>
      </c>
      <c r="G314">
        <v>12</v>
      </c>
      <c r="H314">
        <v>171922</v>
      </c>
      <c r="I314" t="s">
        <v>1852</v>
      </c>
      <c r="J314">
        <v>12</v>
      </c>
      <c r="K314">
        <v>11</v>
      </c>
      <c r="L314">
        <v>1</v>
      </c>
      <c r="M314" t="s">
        <v>1312</v>
      </c>
      <c r="N314">
        <v>0</v>
      </c>
    </row>
    <row r="315" spans="1:14" x14ac:dyDescent="0.25">
      <c r="A315" t="s">
        <v>1853</v>
      </c>
      <c r="B315" t="s">
        <v>988</v>
      </c>
      <c r="C315" t="s">
        <v>51</v>
      </c>
      <c r="D315" t="s">
        <v>1290</v>
      </c>
      <c r="E315">
        <v>962000</v>
      </c>
      <c r="F315">
        <v>9.2200000000000006</v>
      </c>
      <c r="G315">
        <v>48</v>
      </c>
      <c r="H315">
        <v>24040</v>
      </c>
      <c r="I315" t="s">
        <v>1730</v>
      </c>
      <c r="J315">
        <v>43</v>
      </c>
      <c r="K315">
        <v>43</v>
      </c>
      <c r="L315">
        <v>0</v>
      </c>
      <c r="M315" t="s">
        <v>1284</v>
      </c>
      <c r="N315">
        <v>393454</v>
      </c>
    </row>
    <row r="316" spans="1:14" x14ac:dyDescent="0.25">
      <c r="A316" t="s">
        <v>1854</v>
      </c>
      <c r="B316" t="s">
        <v>193</v>
      </c>
      <c r="C316" t="s">
        <v>146</v>
      </c>
      <c r="D316" t="s">
        <v>1286</v>
      </c>
      <c r="E316">
        <v>1481000</v>
      </c>
      <c r="F316">
        <v>8.3699999999999992</v>
      </c>
      <c r="G316">
        <v>126</v>
      </c>
      <c r="H316">
        <v>17704</v>
      </c>
      <c r="I316" t="s">
        <v>1855</v>
      </c>
      <c r="J316">
        <v>31</v>
      </c>
      <c r="K316">
        <v>27</v>
      </c>
      <c r="L316">
        <v>4</v>
      </c>
      <c r="M316" t="s">
        <v>1288</v>
      </c>
      <c r="N316">
        <v>1218096</v>
      </c>
    </row>
    <row r="317" spans="1:14" x14ac:dyDescent="0.25">
      <c r="A317" t="s">
        <v>1856</v>
      </c>
      <c r="B317" t="s">
        <v>1003</v>
      </c>
      <c r="C317" t="s">
        <v>51</v>
      </c>
      <c r="D317" t="s">
        <v>1282</v>
      </c>
      <c r="E317">
        <v>199000</v>
      </c>
      <c r="F317">
        <v>14.02</v>
      </c>
      <c r="G317">
        <v>18</v>
      </c>
      <c r="H317">
        <v>12323</v>
      </c>
      <c r="I317" t="s">
        <v>1857</v>
      </c>
      <c r="J317">
        <v>18</v>
      </c>
      <c r="K317">
        <v>15</v>
      </c>
      <c r="L317">
        <v>3</v>
      </c>
      <c r="M317" t="s">
        <v>1288</v>
      </c>
      <c r="N317">
        <v>97335</v>
      </c>
    </row>
    <row r="318" spans="1:14" x14ac:dyDescent="0.25">
      <c r="A318" t="s">
        <v>1858</v>
      </c>
      <c r="B318" t="s">
        <v>907</v>
      </c>
      <c r="C318" t="s">
        <v>51</v>
      </c>
      <c r="D318" t="s">
        <v>1295</v>
      </c>
      <c r="E318">
        <v>1078000</v>
      </c>
      <c r="F318">
        <v>12.4</v>
      </c>
      <c r="G318">
        <v>36</v>
      </c>
      <c r="H318">
        <v>36011</v>
      </c>
      <c r="I318" t="s">
        <v>1859</v>
      </c>
      <c r="J318">
        <v>36</v>
      </c>
      <c r="K318">
        <v>33</v>
      </c>
      <c r="L318">
        <v>3</v>
      </c>
      <c r="M318" t="s">
        <v>1288</v>
      </c>
      <c r="N318">
        <v>424400</v>
      </c>
    </row>
    <row r="319" spans="1:14" x14ac:dyDescent="0.25">
      <c r="A319" t="s">
        <v>1860</v>
      </c>
      <c r="B319" t="s">
        <v>458</v>
      </c>
      <c r="C319" t="s">
        <v>51</v>
      </c>
      <c r="D319" t="s">
        <v>1282</v>
      </c>
      <c r="E319">
        <v>464000</v>
      </c>
      <c r="F319">
        <v>11.76</v>
      </c>
      <c r="G319">
        <v>30</v>
      </c>
      <c r="H319">
        <v>17927</v>
      </c>
      <c r="I319" t="s">
        <v>1861</v>
      </c>
      <c r="J319">
        <v>24</v>
      </c>
      <c r="K319">
        <v>23</v>
      </c>
      <c r="L319">
        <v>1</v>
      </c>
      <c r="M319" t="s">
        <v>1284</v>
      </c>
      <c r="N319">
        <v>237223</v>
      </c>
    </row>
    <row r="320" spans="1:14" x14ac:dyDescent="0.25">
      <c r="A320" t="s">
        <v>1862</v>
      </c>
      <c r="B320" t="s">
        <v>512</v>
      </c>
      <c r="C320" t="s">
        <v>96</v>
      </c>
      <c r="D320" t="s">
        <v>1282</v>
      </c>
      <c r="E320">
        <v>449000</v>
      </c>
      <c r="F320">
        <v>12.56</v>
      </c>
      <c r="G320">
        <v>48</v>
      </c>
      <c r="H320">
        <v>11948</v>
      </c>
      <c r="I320" t="s">
        <v>1863</v>
      </c>
      <c r="J320">
        <v>36</v>
      </c>
      <c r="K320">
        <v>34</v>
      </c>
      <c r="L320">
        <v>2</v>
      </c>
      <c r="M320" t="s">
        <v>1284</v>
      </c>
      <c r="N320">
        <v>225572</v>
      </c>
    </row>
    <row r="321" spans="1:14" x14ac:dyDescent="0.25">
      <c r="A321" t="s">
        <v>1864</v>
      </c>
      <c r="B321" t="s">
        <v>416</v>
      </c>
      <c r="C321" t="s">
        <v>87</v>
      </c>
      <c r="D321" t="s">
        <v>1282</v>
      </c>
      <c r="E321">
        <v>97000</v>
      </c>
      <c r="F321">
        <v>13.51</v>
      </c>
      <c r="G321">
        <v>12</v>
      </c>
      <c r="H321">
        <v>8687</v>
      </c>
      <c r="I321" t="s">
        <v>1837</v>
      </c>
      <c r="J321">
        <v>12</v>
      </c>
      <c r="K321">
        <v>10</v>
      </c>
      <c r="L321">
        <v>2</v>
      </c>
      <c r="M321" t="s">
        <v>1284</v>
      </c>
      <c r="N321">
        <v>49221</v>
      </c>
    </row>
  </sheetData>
  <pageMargins left="0.75" right="0.75" top="1" bottom="1" header="0.5" footer="0.5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7C8B9B"/>
  </sheetPr>
  <dimension ref="A1:F3607"/>
  <sheetViews>
    <sheetView workbookViewId="0"/>
  </sheetViews>
  <sheetFormatPr defaultRowHeight="15" x14ac:dyDescent="0.25"/>
  <cols>
    <col min="1" max="2" width="15" customWidth="1"/>
    <col min="3" max="3" width="23.42578125" bestFit="1" customWidth="1"/>
    <col min="4" max="4" width="17.7109375" bestFit="1" customWidth="1"/>
    <col min="5" max="6" width="15" customWidth="1"/>
  </cols>
  <sheetData>
    <row r="1" spans="1:6" x14ac:dyDescent="0.25">
      <c r="A1" s="2" t="s">
        <v>1865</v>
      </c>
      <c r="B1" s="2" t="s">
        <v>58</v>
      </c>
      <c r="C1" s="2" t="s">
        <v>63</v>
      </c>
      <c r="D1" s="2" t="s">
        <v>1866</v>
      </c>
      <c r="E1" s="2" t="s">
        <v>1867</v>
      </c>
      <c r="F1" s="2" t="s">
        <v>1868</v>
      </c>
    </row>
    <row r="2" spans="1:6" x14ac:dyDescent="0.25">
      <c r="A2" t="s">
        <v>1869</v>
      </c>
      <c r="B2" t="s">
        <v>69</v>
      </c>
      <c r="C2" t="s">
        <v>73</v>
      </c>
      <c r="D2" t="s">
        <v>1870</v>
      </c>
      <c r="E2" t="s">
        <v>1871</v>
      </c>
      <c r="F2">
        <v>19151</v>
      </c>
    </row>
    <row r="3" spans="1:6" x14ac:dyDescent="0.25">
      <c r="A3" t="s">
        <v>1872</v>
      </c>
      <c r="B3" t="s">
        <v>69</v>
      </c>
      <c r="C3" t="s">
        <v>73</v>
      </c>
      <c r="D3" t="s">
        <v>1873</v>
      </c>
      <c r="E3" t="s">
        <v>1871</v>
      </c>
      <c r="F3">
        <v>2591</v>
      </c>
    </row>
    <row r="4" spans="1:6" x14ac:dyDescent="0.25">
      <c r="A4" t="s">
        <v>1874</v>
      </c>
      <c r="B4" t="s">
        <v>69</v>
      </c>
      <c r="C4" t="s">
        <v>73</v>
      </c>
      <c r="D4" t="s">
        <v>1875</v>
      </c>
      <c r="E4" t="s">
        <v>1876</v>
      </c>
      <c r="F4">
        <v>20352</v>
      </c>
    </row>
    <row r="5" spans="1:6" x14ac:dyDescent="0.25">
      <c r="A5" t="s">
        <v>1877</v>
      </c>
      <c r="B5" t="s">
        <v>69</v>
      </c>
      <c r="C5" t="s">
        <v>73</v>
      </c>
      <c r="D5" t="s">
        <v>1878</v>
      </c>
      <c r="E5" t="s">
        <v>1879</v>
      </c>
      <c r="F5">
        <v>14390</v>
      </c>
    </row>
    <row r="6" spans="1:6" x14ac:dyDescent="0.25">
      <c r="A6" t="s">
        <v>1880</v>
      </c>
      <c r="B6" t="s">
        <v>69</v>
      </c>
      <c r="C6" t="s">
        <v>73</v>
      </c>
      <c r="D6" t="s">
        <v>1881</v>
      </c>
      <c r="E6" t="s">
        <v>1879</v>
      </c>
      <c r="F6">
        <v>20263</v>
      </c>
    </row>
    <row r="7" spans="1:6" x14ac:dyDescent="0.25">
      <c r="A7" t="s">
        <v>1882</v>
      </c>
      <c r="B7" t="s">
        <v>69</v>
      </c>
      <c r="C7" t="s">
        <v>73</v>
      </c>
      <c r="D7" t="s">
        <v>1883</v>
      </c>
      <c r="E7" t="s">
        <v>1879</v>
      </c>
      <c r="F7">
        <v>12281</v>
      </c>
    </row>
    <row r="8" spans="1:6" x14ac:dyDescent="0.25">
      <c r="A8" t="s">
        <v>1884</v>
      </c>
      <c r="B8" t="s">
        <v>77</v>
      </c>
      <c r="C8" t="s">
        <v>51</v>
      </c>
      <c r="D8" t="s">
        <v>1885</v>
      </c>
      <c r="E8" t="s">
        <v>1886</v>
      </c>
      <c r="F8">
        <v>34743</v>
      </c>
    </row>
    <row r="9" spans="1:6" x14ac:dyDescent="0.25">
      <c r="A9" t="s">
        <v>1887</v>
      </c>
      <c r="B9" t="s">
        <v>77</v>
      </c>
      <c r="C9" t="s">
        <v>51</v>
      </c>
      <c r="D9" t="s">
        <v>1888</v>
      </c>
      <c r="E9" t="s">
        <v>1879</v>
      </c>
      <c r="F9">
        <v>1229</v>
      </c>
    </row>
    <row r="10" spans="1:6" x14ac:dyDescent="0.25">
      <c r="A10" t="s">
        <v>1889</v>
      </c>
      <c r="B10" t="s">
        <v>77</v>
      </c>
      <c r="C10" t="s">
        <v>51</v>
      </c>
      <c r="D10" t="s">
        <v>1890</v>
      </c>
      <c r="E10" t="s">
        <v>1879</v>
      </c>
      <c r="F10">
        <v>42739</v>
      </c>
    </row>
    <row r="11" spans="1:6" x14ac:dyDescent="0.25">
      <c r="A11" t="s">
        <v>1891</v>
      </c>
      <c r="B11" t="s">
        <v>77</v>
      </c>
      <c r="C11" t="s">
        <v>51</v>
      </c>
      <c r="D11" t="s">
        <v>1892</v>
      </c>
      <c r="E11" t="s">
        <v>1871</v>
      </c>
      <c r="F11">
        <v>21007</v>
      </c>
    </row>
    <row r="12" spans="1:6" x14ac:dyDescent="0.25">
      <c r="A12" t="s">
        <v>1893</v>
      </c>
      <c r="B12" t="s">
        <v>77</v>
      </c>
      <c r="C12" t="s">
        <v>51</v>
      </c>
      <c r="D12" t="s">
        <v>1894</v>
      </c>
      <c r="E12" t="s">
        <v>1871</v>
      </c>
      <c r="F12">
        <v>29035</v>
      </c>
    </row>
    <row r="13" spans="1:6" x14ac:dyDescent="0.25">
      <c r="A13" t="s">
        <v>1895</v>
      </c>
      <c r="B13" t="s">
        <v>77</v>
      </c>
      <c r="C13" t="s">
        <v>51</v>
      </c>
      <c r="D13" t="s">
        <v>1896</v>
      </c>
      <c r="E13" t="s">
        <v>1879</v>
      </c>
      <c r="F13">
        <v>17007</v>
      </c>
    </row>
    <row r="14" spans="1:6" x14ac:dyDescent="0.25">
      <c r="A14" t="s">
        <v>1897</v>
      </c>
      <c r="B14" t="s">
        <v>77</v>
      </c>
      <c r="C14" t="s">
        <v>51</v>
      </c>
      <c r="D14" t="s">
        <v>1898</v>
      </c>
      <c r="E14" t="s">
        <v>1871</v>
      </c>
      <c r="F14">
        <v>27546</v>
      </c>
    </row>
    <row r="15" spans="1:6" x14ac:dyDescent="0.25">
      <c r="A15" t="s">
        <v>1899</v>
      </c>
      <c r="B15" t="s">
        <v>77</v>
      </c>
      <c r="C15" t="s">
        <v>51</v>
      </c>
      <c r="D15" t="s">
        <v>1900</v>
      </c>
      <c r="E15" t="s">
        <v>1879</v>
      </c>
      <c r="F15">
        <v>29649</v>
      </c>
    </row>
    <row r="16" spans="1:6" x14ac:dyDescent="0.25">
      <c r="A16" t="s">
        <v>1901</v>
      </c>
      <c r="B16" t="s">
        <v>77</v>
      </c>
      <c r="C16" t="s">
        <v>51</v>
      </c>
      <c r="D16" t="s">
        <v>1902</v>
      </c>
      <c r="E16" t="s">
        <v>1876</v>
      </c>
      <c r="F16">
        <v>54781</v>
      </c>
    </row>
    <row r="17" spans="1:6" x14ac:dyDescent="0.25">
      <c r="A17" t="s">
        <v>1903</v>
      </c>
      <c r="B17" t="s">
        <v>77</v>
      </c>
      <c r="C17" t="s">
        <v>51</v>
      </c>
      <c r="D17" t="s">
        <v>1904</v>
      </c>
      <c r="E17" t="s">
        <v>1879</v>
      </c>
      <c r="F17">
        <v>52015</v>
      </c>
    </row>
    <row r="18" spans="1:6" x14ac:dyDescent="0.25">
      <c r="A18" t="s">
        <v>1905</v>
      </c>
      <c r="B18" t="s">
        <v>77</v>
      </c>
      <c r="C18" t="s">
        <v>51</v>
      </c>
      <c r="D18" t="s">
        <v>1906</v>
      </c>
      <c r="E18" t="s">
        <v>1879</v>
      </c>
      <c r="F18">
        <v>55398</v>
      </c>
    </row>
    <row r="19" spans="1:6" x14ac:dyDescent="0.25">
      <c r="A19" t="s">
        <v>1907</v>
      </c>
      <c r="B19" t="s">
        <v>77</v>
      </c>
      <c r="C19" t="s">
        <v>51</v>
      </c>
      <c r="D19" t="s">
        <v>1908</v>
      </c>
      <c r="E19" t="s">
        <v>1871</v>
      </c>
      <c r="F19">
        <v>57614</v>
      </c>
    </row>
    <row r="20" spans="1:6" x14ac:dyDescent="0.25">
      <c r="A20" t="s">
        <v>1909</v>
      </c>
      <c r="B20" t="s">
        <v>84</v>
      </c>
      <c r="C20" t="s">
        <v>87</v>
      </c>
      <c r="D20" t="s">
        <v>1910</v>
      </c>
      <c r="E20" t="s">
        <v>1871</v>
      </c>
      <c r="F20">
        <v>4594</v>
      </c>
    </row>
    <row r="21" spans="1:6" x14ac:dyDescent="0.25">
      <c r="A21" t="s">
        <v>1911</v>
      </c>
      <c r="B21" t="s">
        <v>84</v>
      </c>
      <c r="C21" t="s">
        <v>87</v>
      </c>
      <c r="D21" t="s">
        <v>1912</v>
      </c>
      <c r="E21" t="s">
        <v>1886</v>
      </c>
      <c r="F21">
        <v>30124</v>
      </c>
    </row>
    <row r="22" spans="1:6" x14ac:dyDescent="0.25">
      <c r="A22" t="s">
        <v>1913</v>
      </c>
      <c r="B22" t="s">
        <v>84</v>
      </c>
      <c r="C22" t="s">
        <v>87</v>
      </c>
      <c r="D22" t="s">
        <v>1914</v>
      </c>
      <c r="E22" t="s">
        <v>1915</v>
      </c>
      <c r="F22">
        <v>15422</v>
      </c>
    </row>
    <row r="23" spans="1:6" x14ac:dyDescent="0.25">
      <c r="A23" t="s">
        <v>1916</v>
      </c>
      <c r="B23" t="s">
        <v>84</v>
      </c>
      <c r="C23" t="s">
        <v>87</v>
      </c>
      <c r="D23" t="s">
        <v>1917</v>
      </c>
      <c r="E23" t="s">
        <v>1915</v>
      </c>
      <c r="F23">
        <v>7149</v>
      </c>
    </row>
    <row r="24" spans="1:6" x14ac:dyDescent="0.25">
      <c r="A24" t="s">
        <v>1918</v>
      </c>
      <c r="B24" t="s">
        <v>84</v>
      </c>
      <c r="C24" t="s">
        <v>87</v>
      </c>
      <c r="D24" t="s">
        <v>1919</v>
      </c>
      <c r="E24" t="s">
        <v>1871</v>
      </c>
      <c r="F24">
        <v>3539</v>
      </c>
    </row>
    <row r="25" spans="1:6" x14ac:dyDescent="0.25">
      <c r="A25" t="s">
        <v>1920</v>
      </c>
      <c r="B25" t="s">
        <v>84</v>
      </c>
      <c r="C25" t="s">
        <v>87</v>
      </c>
      <c r="D25" t="s">
        <v>1921</v>
      </c>
      <c r="E25" t="s">
        <v>1879</v>
      </c>
      <c r="F25">
        <v>8558</v>
      </c>
    </row>
    <row r="26" spans="1:6" x14ac:dyDescent="0.25">
      <c r="A26" t="s">
        <v>1922</v>
      </c>
      <c r="B26" t="s">
        <v>84</v>
      </c>
      <c r="C26" t="s">
        <v>87</v>
      </c>
      <c r="D26" t="s">
        <v>1923</v>
      </c>
      <c r="E26" t="s">
        <v>1871</v>
      </c>
      <c r="F26">
        <v>9330</v>
      </c>
    </row>
    <row r="27" spans="1:6" x14ac:dyDescent="0.25">
      <c r="A27" t="s">
        <v>1924</v>
      </c>
      <c r="B27" t="s">
        <v>89</v>
      </c>
      <c r="C27" t="s">
        <v>87</v>
      </c>
      <c r="D27" t="s">
        <v>1925</v>
      </c>
      <c r="E27" t="s">
        <v>1879</v>
      </c>
      <c r="F27">
        <v>27960</v>
      </c>
    </row>
    <row r="28" spans="1:6" x14ac:dyDescent="0.25">
      <c r="A28" t="s">
        <v>1926</v>
      </c>
      <c r="B28" t="s">
        <v>89</v>
      </c>
      <c r="C28" t="s">
        <v>87</v>
      </c>
      <c r="D28" t="s">
        <v>1927</v>
      </c>
      <c r="E28" t="s">
        <v>1886</v>
      </c>
      <c r="F28">
        <v>23400</v>
      </c>
    </row>
    <row r="29" spans="1:6" x14ac:dyDescent="0.25">
      <c r="A29" t="s">
        <v>1928</v>
      </c>
      <c r="B29" t="s">
        <v>89</v>
      </c>
      <c r="C29" t="s">
        <v>87</v>
      </c>
      <c r="D29" t="s">
        <v>1929</v>
      </c>
      <c r="E29" t="s">
        <v>1871</v>
      </c>
      <c r="F29">
        <v>545</v>
      </c>
    </row>
    <row r="30" spans="1:6" x14ac:dyDescent="0.25">
      <c r="A30" t="s">
        <v>1930</v>
      </c>
      <c r="B30" t="s">
        <v>89</v>
      </c>
      <c r="C30" t="s">
        <v>87</v>
      </c>
      <c r="D30" t="s">
        <v>1931</v>
      </c>
      <c r="E30" t="s">
        <v>1871</v>
      </c>
      <c r="F30">
        <v>37478</v>
      </c>
    </row>
    <row r="31" spans="1:6" x14ac:dyDescent="0.25">
      <c r="A31" t="s">
        <v>1932</v>
      </c>
      <c r="B31" t="s">
        <v>89</v>
      </c>
      <c r="C31" t="s">
        <v>87</v>
      </c>
      <c r="D31" t="s">
        <v>1933</v>
      </c>
      <c r="E31" t="s">
        <v>1871</v>
      </c>
      <c r="F31">
        <v>14424</v>
      </c>
    </row>
    <row r="32" spans="1:6" x14ac:dyDescent="0.25">
      <c r="A32" t="s">
        <v>1934</v>
      </c>
      <c r="B32" t="s">
        <v>89</v>
      </c>
      <c r="C32" t="s">
        <v>87</v>
      </c>
      <c r="D32" t="s">
        <v>1935</v>
      </c>
      <c r="E32" t="s">
        <v>1876</v>
      </c>
      <c r="F32">
        <v>32543</v>
      </c>
    </row>
    <row r="33" spans="1:6" x14ac:dyDescent="0.25">
      <c r="A33" t="s">
        <v>1936</v>
      </c>
      <c r="B33" t="s">
        <v>89</v>
      </c>
      <c r="C33" t="s">
        <v>87</v>
      </c>
      <c r="D33" t="s">
        <v>1937</v>
      </c>
      <c r="E33" t="s">
        <v>1879</v>
      </c>
      <c r="F33">
        <v>6502</v>
      </c>
    </row>
    <row r="34" spans="1:6" x14ac:dyDescent="0.25">
      <c r="A34" t="s">
        <v>1938</v>
      </c>
      <c r="B34" t="s">
        <v>89</v>
      </c>
      <c r="C34" t="s">
        <v>87</v>
      </c>
      <c r="D34" t="s">
        <v>1939</v>
      </c>
      <c r="E34" t="s">
        <v>1871</v>
      </c>
      <c r="F34">
        <v>24506</v>
      </c>
    </row>
    <row r="35" spans="1:6" x14ac:dyDescent="0.25">
      <c r="A35" t="s">
        <v>1940</v>
      </c>
      <c r="B35" t="s">
        <v>89</v>
      </c>
      <c r="C35" t="s">
        <v>87</v>
      </c>
      <c r="D35" t="s">
        <v>1941</v>
      </c>
      <c r="E35" t="s">
        <v>1915</v>
      </c>
      <c r="F35">
        <v>4857</v>
      </c>
    </row>
    <row r="36" spans="1:6" x14ac:dyDescent="0.25">
      <c r="A36" t="s">
        <v>1942</v>
      </c>
      <c r="B36" t="s">
        <v>89</v>
      </c>
      <c r="C36" t="s">
        <v>87</v>
      </c>
      <c r="D36" t="s">
        <v>1943</v>
      </c>
      <c r="E36" t="s">
        <v>1886</v>
      </c>
      <c r="F36">
        <v>20155</v>
      </c>
    </row>
    <row r="37" spans="1:6" x14ac:dyDescent="0.25">
      <c r="A37" t="s">
        <v>1944</v>
      </c>
      <c r="B37" t="s">
        <v>89</v>
      </c>
      <c r="C37" t="s">
        <v>87</v>
      </c>
      <c r="D37" t="s">
        <v>1945</v>
      </c>
      <c r="E37" t="s">
        <v>1886</v>
      </c>
      <c r="F37">
        <v>23189</v>
      </c>
    </row>
    <row r="38" spans="1:6" x14ac:dyDescent="0.25">
      <c r="A38" t="s">
        <v>1946</v>
      </c>
      <c r="B38" t="s">
        <v>93</v>
      </c>
      <c r="C38" t="s">
        <v>96</v>
      </c>
      <c r="D38" t="s">
        <v>1947</v>
      </c>
      <c r="E38" t="s">
        <v>1879</v>
      </c>
      <c r="F38">
        <v>3432</v>
      </c>
    </row>
    <row r="39" spans="1:6" x14ac:dyDescent="0.25">
      <c r="A39" t="s">
        <v>1948</v>
      </c>
      <c r="B39" t="s">
        <v>93</v>
      </c>
      <c r="C39" t="s">
        <v>96</v>
      </c>
      <c r="D39" t="s">
        <v>1949</v>
      </c>
      <c r="E39" t="s">
        <v>1915</v>
      </c>
      <c r="F39">
        <v>2324</v>
      </c>
    </row>
    <row r="40" spans="1:6" x14ac:dyDescent="0.25">
      <c r="A40" t="s">
        <v>1950</v>
      </c>
      <c r="B40" t="s">
        <v>93</v>
      </c>
      <c r="C40" t="s">
        <v>96</v>
      </c>
      <c r="D40" t="s">
        <v>1951</v>
      </c>
      <c r="E40" t="s">
        <v>1871</v>
      </c>
      <c r="F40">
        <v>8186</v>
      </c>
    </row>
    <row r="41" spans="1:6" x14ac:dyDescent="0.25">
      <c r="A41" t="s">
        <v>1952</v>
      </c>
      <c r="B41" t="s">
        <v>93</v>
      </c>
      <c r="C41" t="s">
        <v>96</v>
      </c>
      <c r="D41" t="s">
        <v>1953</v>
      </c>
      <c r="E41" t="s">
        <v>1886</v>
      </c>
      <c r="F41">
        <v>5874</v>
      </c>
    </row>
    <row r="42" spans="1:6" x14ac:dyDescent="0.25">
      <c r="A42" t="s">
        <v>1954</v>
      </c>
      <c r="B42" t="s">
        <v>93</v>
      </c>
      <c r="C42" t="s">
        <v>96</v>
      </c>
      <c r="D42" t="s">
        <v>1955</v>
      </c>
      <c r="E42" t="s">
        <v>1879</v>
      </c>
      <c r="F42">
        <v>21296</v>
      </c>
    </row>
    <row r="43" spans="1:6" x14ac:dyDescent="0.25">
      <c r="A43" t="s">
        <v>1956</v>
      </c>
      <c r="B43" t="s">
        <v>93</v>
      </c>
      <c r="C43" t="s">
        <v>96</v>
      </c>
      <c r="D43" t="s">
        <v>1957</v>
      </c>
      <c r="E43" t="s">
        <v>1879</v>
      </c>
      <c r="F43">
        <v>13381</v>
      </c>
    </row>
    <row r="44" spans="1:6" x14ac:dyDescent="0.25">
      <c r="A44" t="s">
        <v>1958</v>
      </c>
      <c r="B44" t="s">
        <v>93</v>
      </c>
      <c r="C44" t="s">
        <v>96</v>
      </c>
      <c r="D44" t="s">
        <v>1949</v>
      </c>
      <c r="E44" t="s">
        <v>1886</v>
      </c>
      <c r="F44">
        <v>20652</v>
      </c>
    </row>
    <row r="45" spans="1:6" x14ac:dyDescent="0.25">
      <c r="A45" t="s">
        <v>1959</v>
      </c>
      <c r="B45" t="s">
        <v>93</v>
      </c>
      <c r="C45" t="s">
        <v>96</v>
      </c>
      <c r="D45" t="s">
        <v>1960</v>
      </c>
      <c r="E45" t="s">
        <v>1879</v>
      </c>
      <c r="F45">
        <v>12232</v>
      </c>
    </row>
    <row r="46" spans="1:6" x14ac:dyDescent="0.25">
      <c r="A46" t="s">
        <v>1961</v>
      </c>
      <c r="B46" t="s">
        <v>93</v>
      </c>
      <c r="C46" t="s">
        <v>96</v>
      </c>
      <c r="D46" t="s">
        <v>1962</v>
      </c>
      <c r="E46" t="s">
        <v>1915</v>
      </c>
      <c r="F46">
        <v>29325</v>
      </c>
    </row>
    <row r="47" spans="1:6" x14ac:dyDescent="0.25">
      <c r="A47" t="s">
        <v>1963</v>
      </c>
      <c r="B47" t="s">
        <v>93</v>
      </c>
      <c r="C47" t="s">
        <v>96</v>
      </c>
      <c r="D47" t="s">
        <v>1964</v>
      </c>
      <c r="E47" t="s">
        <v>1876</v>
      </c>
      <c r="F47">
        <v>13915</v>
      </c>
    </row>
    <row r="48" spans="1:6" x14ac:dyDescent="0.25">
      <c r="A48" t="s">
        <v>1965</v>
      </c>
      <c r="B48" t="s">
        <v>93</v>
      </c>
      <c r="C48" t="s">
        <v>96</v>
      </c>
      <c r="D48" t="s">
        <v>1966</v>
      </c>
      <c r="E48" t="s">
        <v>1915</v>
      </c>
      <c r="F48">
        <v>40988</v>
      </c>
    </row>
    <row r="49" spans="1:6" x14ac:dyDescent="0.25">
      <c r="A49" t="s">
        <v>1967</v>
      </c>
      <c r="B49" t="s">
        <v>93</v>
      </c>
      <c r="C49" t="s">
        <v>96</v>
      </c>
      <c r="D49" t="s">
        <v>1968</v>
      </c>
      <c r="E49" t="s">
        <v>1879</v>
      </c>
      <c r="F49">
        <v>22166</v>
      </c>
    </row>
    <row r="50" spans="1:6" x14ac:dyDescent="0.25">
      <c r="A50" t="s">
        <v>1969</v>
      </c>
      <c r="B50" t="s">
        <v>98</v>
      </c>
      <c r="C50" t="s">
        <v>96</v>
      </c>
      <c r="D50" t="s">
        <v>1970</v>
      </c>
      <c r="E50" t="s">
        <v>1871</v>
      </c>
      <c r="F50">
        <v>5894</v>
      </c>
    </row>
    <row r="51" spans="1:6" x14ac:dyDescent="0.25">
      <c r="A51" t="s">
        <v>1971</v>
      </c>
      <c r="B51" t="s">
        <v>98</v>
      </c>
      <c r="C51" t="s">
        <v>96</v>
      </c>
      <c r="D51" t="s">
        <v>1904</v>
      </c>
      <c r="E51" t="s">
        <v>1915</v>
      </c>
      <c r="F51">
        <v>40852</v>
      </c>
    </row>
    <row r="52" spans="1:6" x14ac:dyDescent="0.25">
      <c r="A52" t="s">
        <v>1972</v>
      </c>
      <c r="B52" t="s">
        <v>98</v>
      </c>
      <c r="C52" t="s">
        <v>96</v>
      </c>
      <c r="D52" t="s">
        <v>1973</v>
      </c>
      <c r="E52" t="s">
        <v>1879</v>
      </c>
      <c r="F52">
        <v>11892</v>
      </c>
    </row>
    <row r="53" spans="1:6" x14ac:dyDescent="0.25">
      <c r="A53" t="s">
        <v>1974</v>
      </c>
      <c r="B53" t="s">
        <v>98</v>
      </c>
      <c r="C53" t="s">
        <v>96</v>
      </c>
      <c r="D53" t="s">
        <v>1975</v>
      </c>
      <c r="E53" t="s">
        <v>1871</v>
      </c>
      <c r="F53">
        <v>26214</v>
      </c>
    </row>
    <row r="54" spans="1:6" x14ac:dyDescent="0.25">
      <c r="A54" t="s">
        <v>1976</v>
      </c>
      <c r="B54" t="s">
        <v>98</v>
      </c>
      <c r="C54" t="s">
        <v>96</v>
      </c>
      <c r="D54" t="s">
        <v>1947</v>
      </c>
      <c r="E54" t="s">
        <v>1871</v>
      </c>
      <c r="F54">
        <v>734</v>
      </c>
    </row>
    <row r="55" spans="1:6" x14ac:dyDescent="0.25">
      <c r="A55" t="s">
        <v>1977</v>
      </c>
      <c r="B55" t="s">
        <v>98</v>
      </c>
      <c r="C55" t="s">
        <v>96</v>
      </c>
      <c r="D55" t="s">
        <v>1978</v>
      </c>
      <c r="E55" t="s">
        <v>1871</v>
      </c>
      <c r="F55">
        <v>3491</v>
      </c>
    </row>
    <row r="56" spans="1:6" x14ac:dyDescent="0.25">
      <c r="A56" t="s">
        <v>1979</v>
      </c>
      <c r="B56" t="s">
        <v>98</v>
      </c>
      <c r="C56" t="s">
        <v>96</v>
      </c>
      <c r="D56" t="s">
        <v>1980</v>
      </c>
      <c r="E56" t="s">
        <v>1915</v>
      </c>
      <c r="F56">
        <v>7134</v>
      </c>
    </row>
    <row r="57" spans="1:6" x14ac:dyDescent="0.25">
      <c r="A57" t="s">
        <v>1981</v>
      </c>
      <c r="B57" t="s">
        <v>98</v>
      </c>
      <c r="C57" t="s">
        <v>96</v>
      </c>
      <c r="D57" t="s">
        <v>1982</v>
      </c>
      <c r="E57" t="s">
        <v>1915</v>
      </c>
      <c r="F57">
        <v>34243</v>
      </c>
    </row>
    <row r="58" spans="1:6" x14ac:dyDescent="0.25">
      <c r="A58" t="s">
        <v>1983</v>
      </c>
      <c r="B58" t="s">
        <v>98</v>
      </c>
      <c r="C58" t="s">
        <v>96</v>
      </c>
      <c r="D58" t="s">
        <v>1984</v>
      </c>
      <c r="E58" t="s">
        <v>1871</v>
      </c>
      <c r="F58">
        <v>3267</v>
      </c>
    </row>
    <row r="59" spans="1:6" x14ac:dyDescent="0.25">
      <c r="A59" t="s">
        <v>1985</v>
      </c>
      <c r="B59" t="s">
        <v>101</v>
      </c>
      <c r="C59" t="s">
        <v>96</v>
      </c>
      <c r="D59" t="s">
        <v>1986</v>
      </c>
      <c r="E59" t="s">
        <v>1876</v>
      </c>
      <c r="F59">
        <v>2735</v>
      </c>
    </row>
    <row r="60" spans="1:6" x14ac:dyDescent="0.25">
      <c r="A60" t="s">
        <v>1987</v>
      </c>
      <c r="B60" t="s">
        <v>101</v>
      </c>
      <c r="C60" t="s">
        <v>96</v>
      </c>
      <c r="D60" t="s">
        <v>1988</v>
      </c>
      <c r="E60" t="s">
        <v>1871</v>
      </c>
      <c r="F60">
        <v>14911</v>
      </c>
    </row>
    <row r="61" spans="1:6" x14ac:dyDescent="0.25">
      <c r="A61" t="s">
        <v>1989</v>
      </c>
      <c r="B61" t="s">
        <v>101</v>
      </c>
      <c r="C61" t="s">
        <v>96</v>
      </c>
      <c r="D61" t="s">
        <v>1990</v>
      </c>
      <c r="E61" t="s">
        <v>1915</v>
      </c>
      <c r="F61">
        <v>11403</v>
      </c>
    </row>
    <row r="62" spans="1:6" x14ac:dyDescent="0.25">
      <c r="A62" t="s">
        <v>1991</v>
      </c>
      <c r="B62" t="s">
        <v>101</v>
      </c>
      <c r="C62" t="s">
        <v>96</v>
      </c>
      <c r="D62" t="s">
        <v>1992</v>
      </c>
      <c r="E62" t="s">
        <v>1886</v>
      </c>
      <c r="F62">
        <v>3312</v>
      </c>
    </row>
    <row r="63" spans="1:6" x14ac:dyDescent="0.25">
      <c r="A63" t="s">
        <v>1993</v>
      </c>
      <c r="B63" t="s">
        <v>101</v>
      </c>
      <c r="C63" t="s">
        <v>96</v>
      </c>
      <c r="D63" t="s">
        <v>1994</v>
      </c>
      <c r="E63" t="s">
        <v>1915</v>
      </c>
      <c r="F63">
        <v>18561</v>
      </c>
    </row>
    <row r="64" spans="1:6" x14ac:dyDescent="0.25">
      <c r="A64" t="s">
        <v>1995</v>
      </c>
      <c r="B64" t="s">
        <v>101</v>
      </c>
      <c r="C64" t="s">
        <v>96</v>
      </c>
      <c r="D64" t="s">
        <v>1996</v>
      </c>
      <c r="E64" t="s">
        <v>1886</v>
      </c>
      <c r="F64">
        <v>7652</v>
      </c>
    </row>
    <row r="65" spans="1:6" x14ac:dyDescent="0.25">
      <c r="A65" t="s">
        <v>1997</v>
      </c>
      <c r="B65" t="s">
        <v>101</v>
      </c>
      <c r="C65" t="s">
        <v>96</v>
      </c>
      <c r="D65" t="s">
        <v>1998</v>
      </c>
      <c r="E65" t="s">
        <v>1876</v>
      </c>
      <c r="F65">
        <v>5667</v>
      </c>
    </row>
    <row r="66" spans="1:6" x14ac:dyDescent="0.25">
      <c r="A66" t="s">
        <v>1999</v>
      </c>
      <c r="B66" t="s">
        <v>101</v>
      </c>
      <c r="C66" t="s">
        <v>96</v>
      </c>
      <c r="D66" t="s">
        <v>2000</v>
      </c>
      <c r="E66" t="s">
        <v>1886</v>
      </c>
      <c r="F66">
        <v>19098</v>
      </c>
    </row>
    <row r="67" spans="1:6" x14ac:dyDescent="0.25">
      <c r="A67" t="s">
        <v>2001</v>
      </c>
      <c r="B67" t="s">
        <v>101</v>
      </c>
      <c r="C67" t="s">
        <v>96</v>
      </c>
      <c r="D67" t="s">
        <v>2002</v>
      </c>
      <c r="E67" t="s">
        <v>1879</v>
      </c>
      <c r="F67">
        <v>22445</v>
      </c>
    </row>
    <row r="68" spans="1:6" x14ac:dyDescent="0.25">
      <c r="A68" t="s">
        <v>2003</v>
      </c>
      <c r="B68" t="s">
        <v>101</v>
      </c>
      <c r="C68" t="s">
        <v>96</v>
      </c>
      <c r="D68" t="s">
        <v>1927</v>
      </c>
      <c r="E68" t="s">
        <v>1871</v>
      </c>
      <c r="F68">
        <v>29804</v>
      </c>
    </row>
    <row r="69" spans="1:6" x14ac:dyDescent="0.25">
      <c r="A69" t="s">
        <v>2004</v>
      </c>
      <c r="B69" t="s">
        <v>104</v>
      </c>
      <c r="C69" t="s">
        <v>96</v>
      </c>
      <c r="D69" t="s">
        <v>2005</v>
      </c>
      <c r="E69" t="s">
        <v>1876</v>
      </c>
      <c r="F69">
        <v>26585</v>
      </c>
    </row>
    <row r="70" spans="1:6" x14ac:dyDescent="0.25">
      <c r="A70" t="s">
        <v>2006</v>
      </c>
      <c r="B70" t="s">
        <v>104</v>
      </c>
      <c r="C70" t="s">
        <v>96</v>
      </c>
      <c r="D70" t="s">
        <v>2007</v>
      </c>
      <c r="E70" t="s">
        <v>1876</v>
      </c>
      <c r="F70">
        <v>2615</v>
      </c>
    </row>
    <row r="71" spans="1:6" x14ac:dyDescent="0.25">
      <c r="A71" t="s">
        <v>2008</v>
      </c>
      <c r="B71" t="s">
        <v>104</v>
      </c>
      <c r="C71" t="s">
        <v>96</v>
      </c>
      <c r="D71" t="s">
        <v>2009</v>
      </c>
      <c r="E71" t="s">
        <v>1876</v>
      </c>
      <c r="F71">
        <v>9446</v>
      </c>
    </row>
    <row r="72" spans="1:6" x14ac:dyDescent="0.25">
      <c r="A72" t="s">
        <v>2010</v>
      </c>
      <c r="B72" t="s">
        <v>104</v>
      </c>
      <c r="C72" t="s">
        <v>96</v>
      </c>
      <c r="D72" t="s">
        <v>1992</v>
      </c>
      <c r="E72" t="s">
        <v>1871</v>
      </c>
      <c r="F72">
        <v>6671</v>
      </c>
    </row>
    <row r="73" spans="1:6" x14ac:dyDescent="0.25">
      <c r="A73" t="s">
        <v>2011</v>
      </c>
      <c r="B73" t="s">
        <v>104</v>
      </c>
      <c r="C73" t="s">
        <v>96</v>
      </c>
      <c r="D73" t="s">
        <v>2012</v>
      </c>
      <c r="E73" t="s">
        <v>1871</v>
      </c>
      <c r="F73">
        <v>17117</v>
      </c>
    </row>
    <row r="74" spans="1:6" x14ac:dyDescent="0.25">
      <c r="A74" t="s">
        <v>2013</v>
      </c>
      <c r="B74" t="s">
        <v>104</v>
      </c>
      <c r="C74" t="s">
        <v>96</v>
      </c>
      <c r="D74" t="s">
        <v>2014</v>
      </c>
      <c r="E74" t="s">
        <v>1876</v>
      </c>
      <c r="F74">
        <v>12264</v>
      </c>
    </row>
    <row r="75" spans="1:6" x14ac:dyDescent="0.25">
      <c r="A75" t="s">
        <v>2015</v>
      </c>
      <c r="B75" t="s">
        <v>104</v>
      </c>
      <c r="C75" t="s">
        <v>96</v>
      </c>
      <c r="D75" t="s">
        <v>2016</v>
      </c>
      <c r="E75" t="s">
        <v>1871</v>
      </c>
      <c r="F75">
        <v>13652</v>
      </c>
    </row>
    <row r="76" spans="1:6" x14ac:dyDescent="0.25">
      <c r="A76" t="s">
        <v>2017</v>
      </c>
      <c r="B76" t="s">
        <v>104</v>
      </c>
      <c r="C76" t="s">
        <v>96</v>
      </c>
      <c r="D76" t="s">
        <v>2018</v>
      </c>
      <c r="E76" t="s">
        <v>1879</v>
      </c>
      <c r="F76">
        <v>13521</v>
      </c>
    </row>
    <row r="77" spans="1:6" x14ac:dyDescent="0.25">
      <c r="A77" t="s">
        <v>2019</v>
      </c>
      <c r="B77" t="s">
        <v>104</v>
      </c>
      <c r="C77" t="s">
        <v>96</v>
      </c>
      <c r="D77" t="s">
        <v>2020</v>
      </c>
      <c r="E77" t="s">
        <v>1876</v>
      </c>
      <c r="F77">
        <v>18364</v>
      </c>
    </row>
    <row r="78" spans="1:6" x14ac:dyDescent="0.25">
      <c r="A78" t="s">
        <v>2021</v>
      </c>
      <c r="B78" t="s">
        <v>104</v>
      </c>
      <c r="C78" t="s">
        <v>96</v>
      </c>
      <c r="D78" t="s">
        <v>2022</v>
      </c>
      <c r="E78" t="s">
        <v>1915</v>
      </c>
      <c r="F78">
        <v>13758</v>
      </c>
    </row>
    <row r="79" spans="1:6" x14ac:dyDescent="0.25">
      <c r="A79" t="s">
        <v>2023</v>
      </c>
      <c r="B79" t="s">
        <v>104</v>
      </c>
      <c r="C79" t="s">
        <v>96</v>
      </c>
      <c r="D79" t="s">
        <v>2024</v>
      </c>
      <c r="E79" t="s">
        <v>1879</v>
      </c>
      <c r="F79">
        <v>9804</v>
      </c>
    </row>
    <row r="80" spans="1:6" x14ac:dyDescent="0.25">
      <c r="A80" t="s">
        <v>2025</v>
      </c>
      <c r="B80" t="s">
        <v>104</v>
      </c>
      <c r="C80" t="s">
        <v>96</v>
      </c>
      <c r="D80" t="s">
        <v>2026</v>
      </c>
      <c r="E80" t="s">
        <v>1886</v>
      </c>
      <c r="F80">
        <v>10154</v>
      </c>
    </row>
    <row r="81" spans="1:6" x14ac:dyDescent="0.25">
      <c r="A81" t="s">
        <v>2027</v>
      </c>
      <c r="B81" t="s">
        <v>107</v>
      </c>
      <c r="C81" t="s">
        <v>96</v>
      </c>
      <c r="D81" t="s">
        <v>2028</v>
      </c>
      <c r="E81" t="s">
        <v>1871</v>
      </c>
      <c r="F81">
        <v>1267</v>
      </c>
    </row>
    <row r="82" spans="1:6" x14ac:dyDescent="0.25">
      <c r="A82" t="s">
        <v>2029</v>
      </c>
      <c r="B82" t="s">
        <v>107</v>
      </c>
      <c r="C82" t="s">
        <v>96</v>
      </c>
      <c r="D82" t="s">
        <v>2030</v>
      </c>
      <c r="E82" t="s">
        <v>1879</v>
      </c>
      <c r="F82">
        <v>9548</v>
      </c>
    </row>
    <row r="83" spans="1:6" x14ac:dyDescent="0.25">
      <c r="A83" t="s">
        <v>2031</v>
      </c>
      <c r="B83" t="s">
        <v>107</v>
      </c>
      <c r="C83" t="s">
        <v>96</v>
      </c>
      <c r="D83" t="s">
        <v>2032</v>
      </c>
      <c r="E83" t="s">
        <v>1876</v>
      </c>
      <c r="F83">
        <v>21862</v>
      </c>
    </row>
    <row r="84" spans="1:6" x14ac:dyDescent="0.25">
      <c r="A84" t="s">
        <v>2033</v>
      </c>
      <c r="B84" t="s">
        <v>107</v>
      </c>
      <c r="C84" t="s">
        <v>96</v>
      </c>
      <c r="D84" t="s">
        <v>2034</v>
      </c>
      <c r="E84" t="s">
        <v>1879</v>
      </c>
      <c r="F84">
        <v>28688</v>
      </c>
    </row>
    <row r="85" spans="1:6" x14ac:dyDescent="0.25">
      <c r="A85" t="s">
        <v>2035</v>
      </c>
      <c r="B85" t="s">
        <v>107</v>
      </c>
      <c r="C85" t="s">
        <v>96</v>
      </c>
      <c r="D85" t="s">
        <v>2036</v>
      </c>
      <c r="E85" t="s">
        <v>1871</v>
      </c>
      <c r="F85">
        <v>4701</v>
      </c>
    </row>
    <row r="86" spans="1:6" x14ac:dyDescent="0.25">
      <c r="A86" t="s">
        <v>2037</v>
      </c>
      <c r="B86" t="s">
        <v>107</v>
      </c>
      <c r="C86" t="s">
        <v>96</v>
      </c>
      <c r="D86" t="s">
        <v>2038</v>
      </c>
      <c r="E86" t="s">
        <v>1876</v>
      </c>
      <c r="F86">
        <v>26166</v>
      </c>
    </row>
    <row r="87" spans="1:6" x14ac:dyDescent="0.25">
      <c r="A87" t="s">
        <v>2039</v>
      </c>
      <c r="B87" t="s">
        <v>107</v>
      </c>
      <c r="C87" t="s">
        <v>96</v>
      </c>
      <c r="D87" t="s">
        <v>2040</v>
      </c>
      <c r="E87" t="s">
        <v>1876</v>
      </c>
      <c r="F87">
        <v>23600</v>
      </c>
    </row>
    <row r="88" spans="1:6" x14ac:dyDescent="0.25">
      <c r="A88" t="s">
        <v>2041</v>
      </c>
      <c r="B88" t="s">
        <v>107</v>
      </c>
      <c r="C88" t="s">
        <v>96</v>
      </c>
      <c r="D88" t="s">
        <v>2042</v>
      </c>
      <c r="E88" t="s">
        <v>1871</v>
      </c>
      <c r="F88">
        <v>13132</v>
      </c>
    </row>
    <row r="89" spans="1:6" x14ac:dyDescent="0.25">
      <c r="A89" t="s">
        <v>2043</v>
      </c>
      <c r="B89" t="s">
        <v>107</v>
      </c>
      <c r="C89" t="s">
        <v>96</v>
      </c>
      <c r="D89" t="s">
        <v>2044</v>
      </c>
      <c r="E89" t="s">
        <v>1915</v>
      </c>
      <c r="F89">
        <v>47339</v>
      </c>
    </row>
    <row r="90" spans="1:6" x14ac:dyDescent="0.25">
      <c r="A90" t="s">
        <v>2045</v>
      </c>
      <c r="B90" t="s">
        <v>110</v>
      </c>
      <c r="C90" t="s">
        <v>51</v>
      </c>
      <c r="D90" t="s">
        <v>2046</v>
      </c>
      <c r="E90" t="s">
        <v>1871</v>
      </c>
      <c r="F90">
        <v>13241</v>
      </c>
    </row>
    <row r="91" spans="1:6" x14ac:dyDescent="0.25">
      <c r="A91" t="s">
        <v>2047</v>
      </c>
      <c r="B91" t="s">
        <v>110</v>
      </c>
      <c r="C91" t="s">
        <v>51</v>
      </c>
      <c r="D91" t="s">
        <v>2048</v>
      </c>
      <c r="E91" t="s">
        <v>1871</v>
      </c>
      <c r="F91">
        <v>26950</v>
      </c>
    </row>
    <row r="92" spans="1:6" x14ac:dyDescent="0.25">
      <c r="A92" t="s">
        <v>2049</v>
      </c>
      <c r="B92" t="s">
        <v>110</v>
      </c>
      <c r="C92" t="s">
        <v>51</v>
      </c>
      <c r="D92" t="s">
        <v>1914</v>
      </c>
      <c r="E92" t="s">
        <v>1879</v>
      </c>
      <c r="F92">
        <v>12814</v>
      </c>
    </row>
    <row r="93" spans="1:6" x14ac:dyDescent="0.25">
      <c r="A93" t="s">
        <v>2050</v>
      </c>
      <c r="B93" t="s">
        <v>110</v>
      </c>
      <c r="C93" t="s">
        <v>51</v>
      </c>
      <c r="D93" t="s">
        <v>2051</v>
      </c>
      <c r="E93" t="s">
        <v>1876</v>
      </c>
      <c r="F93">
        <v>14912</v>
      </c>
    </row>
    <row r="94" spans="1:6" x14ac:dyDescent="0.25">
      <c r="A94" t="s">
        <v>2052</v>
      </c>
      <c r="B94" t="s">
        <v>110</v>
      </c>
      <c r="C94" t="s">
        <v>51</v>
      </c>
      <c r="D94" t="s">
        <v>2053</v>
      </c>
      <c r="E94" t="s">
        <v>1915</v>
      </c>
      <c r="F94">
        <v>16049</v>
      </c>
    </row>
    <row r="95" spans="1:6" x14ac:dyDescent="0.25">
      <c r="A95" t="s">
        <v>2054</v>
      </c>
      <c r="B95" t="s">
        <v>110</v>
      </c>
      <c r="C95" t="s">
        <v>51</v>
      </c>
      <c r="D95" t="s">
        <v>2055</v>
      </c>
      <c r="E95" t="s">
        <v>1871</v>
      </c>
      <c r="F95">
        <v>22402</v>
      </c>
    </row>
    <row r="96" spans="1:6" x14ac:dyDescent="0.25">
      <c r="A96" t="s">
        <v>2056</v>
      </c>
      <c r="B96" t="s">
        <v>110</v>
      </c>
      <c r="C96" t="s">
        <v>51</v>
      </c>
      <c r="D96" t="s">
        <v>2057</v>
      </c>
      <c r="E96" t="s">
        <v>1876</v>
      </c>
      <c r="F96">
        <v>15522</v>
      </c>
    </row>
    <row r="97" spans="1:6" x14ac:dyDescent="0.25">
      <c r="A97" t="s">
        <v>2058</v>
      </c>
      <c r="B97" t="s">
        <v>113</v>
      </c>
      <c r="C97" t="s">
        <v>73</v>
      </c>
      <c r="D97" t="s">
        <v>2059</v>
      </c>
      <c r="E97" t="s">
        <v>1886</v>
      </c>
      <c r="F97">
        <v>32349</v>
      </c>
    </row>
    <row r="98" spans="1:6" x14ac:dyDescent="0.25">
      <c r="A98" t="s">
        <v>2060</v>
      </c>
      <c r="B98" t="s">
        <v>113</v>
      </c>
      <c r="C98" t="s">
        <v>73</v>
      </c>
      <c r="D98" t="s">
        <v>2061</v>
      </c>
      <c r="E98" t="s">
        <v>1886</v>
      </c>
      <c r="F98">
        <v>25833</v>
      </c>
    </row>
    <row r="99" spans="1:6" x14ac:dyDescent="0.25">
      <c r="A99" t="s">
        <v>2062</v>
      </c>
      <c r="B99" t="s">
        <v>113</v>
      </c>
      <c r="C99" t="s">
        <v>73</v>
      </c>
      <c r="D99" t="s">
        <v>2007</v>
      </c>
      <c r="E99" t="s">
        <v>1871</v>
      </c>
      <c r="F99">
        <v>1456</v>
      </c>
    </row>
    <row r="100" spans="1:6" x14ac:dyDescent="0.25">
      <c r="A100" t="s">
        <v>2063</v>
      </c>
      <c r="B100" t="s">
        <v>113</v>
      </c>
      <c r="C100" t="s">
        <v>73</v>
      </c>
      <c r="D100" t="s">
        <v>2064</v>
      </c>
      <c r="E100" t="s">
        <v>1879</v>
      </c>
      <c r="F100">
        <v>5706</v>
      </c>
    </row>
    <row r="101" spans="1:6" x14ac:dyDescent="0.25">
      <c r="A101" t="s">
        <v>2065</v>
      </c>
      <c r="B101" t="s">
        <v>113</v>
      </c>
      <c r="C101" t="s">
        <v>73</v>
      </c>
      <c r="D101" t="s">
        <v>2066</v>
      </c>
      <c r="E101" t="s">
        <v>1879</v>
      </c>
      <c r="F101">
        <v>6516</v>
      </c>
    </row>
    <row r="102" spans="1:6" x14ac:dyDescent="0.25">
      <c r="A102" t="s">
        <v>2067</v>
      </c>
      <c r="B102" t="s">
        <v>113</v>
      </c>
      <c r="C102" t="s">
        <v>73</v>
      </c>
      <c r="D102" t="s">
        <v>2068</v>
      </c>
      <c r="E102" t="s">
        <v>1879</v>
      </c>
      <c r="F102">
        <v>2140</v>
      </c>
    </row>
    <row r="103" spans="1:6" x14ac:dyDescent="0.25">
      <c r="A103" t="s">
        <v>2069</v>
      </c>
      <c r="B103" t="s">
        <v>113</v>
      </c>
      <c r="C103" t="s">
        <v>73</v>
      </c>
      <c r="D103" t="s">
        <v>2070</v>
      </c>
      <c r="E103" t="s">
        <v>1886</v>
      </c>
      <c r="F103">
        <v>19537</v>
      </c>
    </row>
    <row r="104" spans="1:6" x14ac:dyDescent="0.25">
      <c r="A104" t="s">
        <v>2071</v>
      </c>
      <c r="B104" t="s">
        <v>113</v>
      </c>
      <c r="C104" t="s">
        <v>73</v>
      </c>
      <c r="D104" t="s">
        <v>2072</v>
      </c>
      <c r="E104" t="s">
        <v>1879</v>
      </c>
      <c r="F104">
        <v>6405</v>
      </c>
    </row>
    <row r="105" spans="1:6" x14ac:dyDescent="0.25">
      <c r="A105" t="s">
        <v>2073</v>
      </c>
      <c r="B105" t="s">
        <v>113</v>
      </c>
      <c r="C105" t="s">
        <v>73</v>
      </c>
      <c r="D105" t="s">
        <v>2074</v>
      </c>
      <c r="E105" t="s">
        <v>1871</v>
      </c>
      <c r="F105">
        <v>2478</v>
      </c>
    </row>
    <row r="106" spans="1:6" x14ac:dyDescent="0.25">
      <c r="A106" t="s">
        <v>2075</v>
      </c>
      <c r="B106" t="s">
        <v>113</v>
      </c>
      <c r="C106" t="s">
        <v>73</v>
      </c>
      <c r="D106" t="s">
        <v>1931</v>
      </c>
      <c r="E106" t="s">
        <v>1879</v>
      </c>
      <c r="F106">
        <v>2676</v>
      </c>
    </row>
    <row r="107" spans="1:6" x14ac:dyDescent="0.25">
      <c r="A107" t="s">
        <v>2076</v>
      </c>
      <c r="B107" t="s">
        <v>113</v>
      </c>
      <c r="C107" t="s">
        <v>73</v>
      </c>
      <c r="D107" t="s">
        <v>2077</v>
      </c>
      <c r="E107" t="s">
        <v>1879</v>
      </c>
      <c r="F107">
        <v>1511</v>
      </c>
    </row>
    <row r="108" spans="1:6" x14ac:dyDescent="0.25">
      <c r="A108" t="s">
        <v>2078</v>
      </c>
      <c r="B108" t="s">
        <v>117</v>
      </c>
      <c r="C108" t="s">
        <v>96</v>
      </c>
      <c r="D108" t="s">
        <v>2079</v>
      </c>
      <c r="E108" t="s">
        <v>1886</v>
      </c>
      <c r="F108">
        <v>19140</v>
      </c>
    </row>
    <row r="109" spans="1:6" x14ac:dyDescent="0.25">
      <c r="A109" t="s">
        <v>2080</v>
      </c>
      <c r="B109" t="s">
        <v>117</v>
      </c>
      <c r="C109" t="s">
        <v>96</v>
      </c>
      <c r="D109" t="s">
        <v>1957</v>
      </c>
      <c r="E109" t="s">
        <v>1886</v>
      </c>
      <c r="F109">
        <v>2199</v>
      </c>
    </row>
    <row r="110" spans="1:6" x14ac:dyDescent="0.25">
      <c r="A110" t="s">
        <v>2081</v>
      </c>
      <c r="B110" t="s">
        <v>117</v>
      </c>
      <c r="C110" t="s">
        <v>96</v>
      </c>
      <c r="D110" t="s">
        <v>1943</v>
      </c>
      <c r="E110" t="s">
        <v>1876</v>
      </c>
      <c r="F110">
        <v>12314</v>
      </c>
    </row>
    <row r="111" spans="1:6" x14ac:dyDescent="0.25">
      <c r="A111" t="s">
        <v>2082</v>
      </c>
      <c r="B111" t="s">
        <v>117</v>
      </c>
      <c r="C111" t="s">
        <v>96</v>
      </c>
      <c r="D111" t="s">
        <v>2034</v>
      </c>
      <c r="E111" t="s">
        <v>1879</v>
      </c>
      <c r="F111">
        <v>15556</v>
      </c>
    </row>
    <row r="112" spans="1:6" x14ac:dyDescent="0.25">
      <c r="A112" t="s">
        <v>2083</v>
      </c>
      <c r="B112" t="s">
        <v>117</v>
      </c>
      <c r="C112" t="s">
        <v>96</v>
      </c>
      <c r="D112" t="s">
        <v>2044</v>
      </c>
      <c r="E112" t="s">
        <v>1879</v>
      </c>
      <c r="F112">
        <v>2956</v>
      </c>
    </row>
    <row r="113" spans="1:6" x14ac:dyDescent="0.25">
      <c r="A113" t="s">
        <v>2084</v>
      </c>
      <c r="B113" t="s">
        <v>117</v>
      </c>
      <c r="C113" t="s">
        <v>96</v>
      </c>
      <c r="D113" t="s">
        <v>2085</v>
      </c>
      <c r="E113" t="s">
        <v>1879</v>
      </c>
      <c r="F113">
        <v>30687</v>
      </c>
    </row>
    <row r="114" spans="1:6" x14ac:dyDescent="0.25">
      <c r="A114" t="s">
        <v>2086</v>
      </c>
      <c r="B114" t="s">
        <v>117</v>
      </c>
      <c r="C114" t="s">
        <v>96</v>
      </c>
      <c r="D114" t="s">
        <v>2032</v>
      </c>
      <c r="E114" t="s">
        <v>1886</v>
      </c>
      <c r="F114">
        <v>14362</v>
      </c>
    </row>
    <row r="115" spans="1:6" x14ac:dyDescent="0.25">
      <c r="A115" t="s">
        <v>2087</v>
      </c>
      <c r="B115" t="s">
        <v>117</v>
      </c>
      <c r="C115" t="s">
        <v>96</v>
      </c>
      <c r="D115" t="s">
        <v>2088</v>
      </c>
      <c r="E115" t="s">
        <v>1879</v>
      </c>
      <c r="F115">
        <v>20417</v>
      </c>
    </row>
    <row r="116" spans="1:6" x14ac:dyDescent="0.25">
      <c r="A116" t="s">
        <v>2089</v>
      </c>
      <c r="B116" t="s">
        <v>117</v>
      </c>
      <c r="C116" t="s">
        <v>96</v>
      </c>
      <c r="D116" t="s">
        <v>1945</v>
      </c>
      <c r="E116" t="s">
        <v>1876</v>
      </c>
      <c r="F116">
        <v>4158</v>
      </c>
    </row>
    <row r="117" spans="1:6" x14ac:dyDescent="0.25">
      <c r="A117" t="s">
        <v>2090</v>
      </c>
      <c r="B117" t="s">
        <v>120</v>
      </c>
      <c r="C117" t="s">
        <v>51</v>
      </c>
      <c r="D117" t="s">
        <v>2091</v>
      </c>
      <c r="E117" t="s">
        <v>1879</v>
      </c>
      <c r="F117">
        <v>17819</v>
      </c>
    </row>
    <row r="118" spans="1:6" x14ac:dyDescent="0.25">
      <c r="A118" t="s">
        <v>2092</v>
      </c>
      <c r="B118" t="s">
        <v>120</v>
      </c>
      <c r="C118" t="s">
        <v>51</v>
      </c>
      <c r="D118" t="s">
        <v>2093</v>
      </c>
      <c r="E118" t="s">
        <v>1879</v>
      </c>
      <c r="F118">
        <v>51564</v>
      </c>
    </row>
    <row r="119" spans="1:6" x14ac:dyDescent="0.25">
      <c r="A119" t="s">
        <v>2094</v>
      </c>
      <c r="B119" t="s">
        <v>120</v>
      </c>
      <c r="C119" t="s">
        <v>51</v>
      </c>
      <c r="D119" t="s">
        <v>2095</v>
      </c>
      <c r="E119" t="s">
        <v>1915</v>
      </c>
      <c r="F119">
        <v>24981</v>
      </c>
    </row>
    <row r="120" spans="1:6" x14ac:dyDescent="0.25">
      <c r="A120" t="s">
        <v>2096</v>
      </c>
      <c r="B120" t="s">
        <v>120</v>
      </c>
      <c r="C120" t="s">
        <v>51</v>
      </c>
      <c r="D120" t="s">
        <v>2097</v>
      </c>
      <c r="E120" t="s">
        <v>1886</v>
      </c>
      <c r="F120">
        <v>16937</v>
      </c>
    </row>
    <row r="121" spans="1:6" x14ac:dyDescent="0.25">
      <c r="A121" t="s">
        <v>2098</v>
      </c>
      <c r="B121" t="s">
        <v>120</v>
      </c>
      <c r="C121" t="s">
        <v>51</v>
      </c>
      <c r="D121" t="s">
        <v>2099</v>
      </c>
      <c r="E121" t="s">
        <v>1876</v>
      </c>
      <c r="F121">
        <v>43691</v>
      </c>
    </row>
    <row r="122" spans="1:6" x14ac:dyDescent="0.25">
      <c r="A122" t="s">
        <v>2100</v>
      </c>
      <c r="B122" t="s">
        <v>120</v>
      </c>
      <c r="C122" t="s">
        <v>51</v>
      </c>
      <c r="D122" t="s">
        <v>2101</v>
      </c>
      <c r="E122" t="s">
        <v>1886</v>
      </c>
      <c r="F122">
        <v>34977</v>
      </c>
    </row>
    <row r="123" spans="1:6" x14ac:dyDescent="0.25">
      <c r="A123" t="s">
        <v>2102</v>
      </c>
      <c r="B123" t="s">
        <v>120</v>
      </c>
      <c r="C123" t="s">
        <v>51</v>
      </c>
      <c r="D123" t="s">
        <v>1921</v>
      </c>
      <c r="E123" t="s">
        <v>1879</v>
      </c>
      <c r="F123">
        <v>22221</v>
      </c>
    </row>
    <row r="124" spans="1:6" x14ac:dyDescent="0.25">
      <c r="A124" t="s">
        <v>2103</v>
      </c>
      <c r="B124" t="s">
        <v>120</v>
      </c>
      <c r="C124" t="s">
        <v>51</v>
      </c>
      <c r="D124" t="s">
        <v>2104</v>
      </c>
      <c r="E124" t="s">
        <v>1871</v>
      </c>
      <c r="F124">
        <v>20369</v>
      </c>
    </row>
    <row r="125" spans="1:6" x14ac:dyDescent="0.25">
      <c r="A125" t="s">
        <v>2105</v>
      </c>
      <c r="B125" t="s">
        <v>120</v>
      </c>
      <c r="C125" t="s">
        <v>51</v>
      </c>
      <c r="D125" t="s">
        <v>1955</v>
      </c>
      <c r="E125" t="s">
        <v>1871</v>
      </c>
      <c r="F125">
        <v>32487</v>
      </c>
    </row>
    <row r="126" spans="1:6" x14ac:dyDescent="0.25">
      <c r="A126" t="s">
        <v>2106</v>
      </c>
      <c r="B126" t="s">
        <v>124</v>
      </c>
      <c r="C126" t="s">
        <v>73</v>
      </c>
      <c r="D126" t="s">
        <v>2107</v>
      </c>
      <c r="E126" t="s">
        <v>1879</v>
      </c>
      <c r="F126">
        <v>3448</v>
      </c>
    </row>
    <row r="127" spans="1:6" x14ac:dyDescent="0.25">
      <c r="A127" t="s">
        <v>2108</v>
      </c>
      <c r="B127" t="s">
        <v>124</v>
      </c>
      <c r="C127" t="s">
        <v>73</v>
      </c>
      <c r="D127" t="s">
        <v>2109</v>
      </c>
      <c r="E127" t="s">
        <v>1879</v>
      </c>
      <c r="F127">
        <v>12966</v>
      </c>
    </row>
    <row r="128" spans="1:6" x14ac:dyDescent="0.25">
      <c r="A128" t="s">
        <v>2110</v>
      </c>
      <c r="B128" t="s">
        <v>124</v>
      </c>
      <c r="C128" t="s">
        <v>73</v>
      </c>
      <c r="D128" t="s">
        <v>2111</v>
      </c>
      <c r="E128" t="s">
        <v>1879</v>
      </c>
      <c r="F128">
        <v>1555</v>
      </c>
    </row>
    <row r="129" spans="1:6" x14ac:dyDescent="0.25">
      <c r="A129" t="s">
        <v>2112</v>
      </c>
      <c r="B129" t="s">
        <v>124</v>
      </c>
      <c r="C129" t="s">
        <v>73</v>
      </c>
      <c r="D129" t="s">
        <v>1951</v>
      </c>
      <c r="E129" t="s">
        <v>1915</v>
      </c>
      <c r="F129">
        <v>16521</v>
      </c>
    </row>
    <row r="130" spans="1:6" x14ac:dyDescent="0.25">
      <c r="A130" t="s">
        <v>2113</v>
      </c>
      <c r="B130" t="s">
        <v>124</v>
      </c>
      <c r="C130" t="s">
        <v>73</v>
      </c>
      <c r="D130" t="s">
        <v>2114</v>
      </c>
      <c r="E130" t="s">
        <v>1876</v>
      </c>
      <c r="F130">
        <v>13665</v>
      </c>
    </row>
    <row r="131" spans="1:6" x14ac:dyDescent="0.25">
      <c r="A131" t="s">
        <v>2115</v>
      </c>
      <c r="B131" t="s">
        <v>124</v>
      </c>
      <c r="C131" t="s">
        <v>73</v>
      </c>
      <c r="D131" t="s">
        <v>2000</v>
      </c>
      <c r="E131" t="s">
        <v>1915</v>
      </c>
      <c r="F131">
        <v>17581</v>
      </c>
    </row>
    <row r="132" spans="1:6" x14ac:dyDescent="0.25">
      <c r="A132" t="s">
        <v>2116</v>
      </c>
      <c r="B132" t="s">
        <v>124</v>
      </c>
      <c r="C132" t="s">
        <v>73</v>
      </c>
      <c r="D132" t="s">
        <v>2117</v>
      </c>
      <c r="E132" t="s">
        <v>1871</v>
      </c>
      <c r="F132">
        <v>373</v>
      </c>
    </row>
    <row r="133" spans="1:6" x14ac:dyDescent="0.25">
      <c r="A133" t="s">
        <v>2118</v>
      </c>
      <c r="B133" t="s">
        <v>124</v>
      </c>
      <c r="C133" t="s">
        <v>73</v>
      </c>
      <c r="D133" t="s">
        <v>2119</v>
      </c>
      <c r="E133" t="s">
        <v>1871</v>
      </c>
      <c r="F133">
        <v>1537</v>
      </c>
    </row>
    <row r="134" spans="1:6" x14ac:dyDescent="0.25">
      <c r="A134" t="s">
        <v>2120</v>
      </c>
      <c r="B134" t="s">
        <v>124</v>
      </c>
      <c r="C134" t="s">
        <v>73</v>
      </c>
      <c r="D134" t="s">
        <v>1923</v>
      </c>
      <c r="E134" t="s">
        <v>1879</v>
      </c>
      <c r="F134">
        <v>1059</v>
      </c>
    </row>
    <row r="135" spans="1:6" x14ac:dyDescent="0.25">
      <c r="A135" t="s">
        <v>2121</v>
      </c>
      <c r="B135" t="s">
        <v>124</v>
      </c>
      <c r="C135" t="s">
        <v>73</v>
      </c>
      <c r="D135" t="s">
        <v>2122</v>
      </c>
      <c r="E135" t="s">
        <v>1871</v>
      </c>
      <c r="F135">
        <v>2431</v>
      </c>
    </row>
    <row r="136" spans="1:6" x14ac:dyDescent="0.25">
      <c r="A136" t="s">
        <v>2123</v>
      </c>
      <c r="B136" t="s">
        <v>124</v>
      </c>
      <c r="C136" t="s">
        <v>73</v>
      </c>
      <c r="D136" t="s">
        <v>2095</v>
      </c>
      <c r="E136" t="s">
        <v>1871</v>
      </c>
      <c r="F136">
        <v>8983</v>
      </c>
    </row>
    <row r="137" spans="1:6" x14ac:dyDescent="0.25">
      <c r="A137" t="s">
        <v>2124</v>
      </c>
      <c r="B137" t="s">
        <v>127</v>
      </c>
      <c r="C137" t="s">
        <v>87</v>
      </c>
      <c r="D137" t="s">
        <v>2109</v>
      </c>
      <c r="E137" t="s">
        <v>1876</v>
      </c>
      <c r="F137">
        <v>9906</v>
      </c>
    </row>
    <row r="138" spans="1:6" x14ac:dyDescent="0.25">
      <c r="A138" t="s">
        <v>2125</v>
      </c>
      <c r="B138" t="s">
        <v>127</v>
      </c>
      <c r="C138" t="s">
        <v>87</v>
      </c>
      <c r="D138" t="s">
        <v>2126</v>
      </c>
      <c r="E138" t="s">
        <v>1871</v>
      </c>
      <c r="F138">
        <v>6843</v>
      </c>
    </row>
    <row r="139" spans="1:6" x14ac:dyDescent="0.25">
      <c r="A139" t="s">
        <v>2127</v>
      </c>
      <c r="B139" t="s">
        <v>127</v>
      </c>
      <c r="C139" t="s">
        <v>87</v>
      </c>
      <c r="D139" t="s">
        <v>1883</v>
      </c>
      <c r="E139" t="s">
        <v>1879</v>
      </c>
      <c r="F139">
        <v>6064</v>
      </c>
    </row>
    <row r="140" spans="1:6" x14ac:dyDescent="0.25">
      <c r="A140" t="s">
        <v>2128</v>
      </c>
      <c r="B140" t="s">
        <v>127</v>
      </c>
      <c r="C140" t="s">
        <v>87</v>
      </c>
      <c r="D140" t="s">
        <v>2064</v>
      </c>
      <c r="E140" t="s">
        <v>1915</v>
      </c>
      <c r="F140">
        <v>4842</v>
      </c>
    </row>
    <row r="141" spans="1:6" x14ac:dyDescent="0.25">
      <c r="A141" t="s">
        <v>2129</v>
      </c>
      <c r="B141" t="s">
        <v>127</v>
      </c>
      <c r="C141" t="s">
        <v>87</v>
      </c>
      <c r="D141" t="s">
        <v>2130</v>
      </c>
      <c r="E141" t="s">
        <v>1879</v>
      </c>
      <c r="F141">
        <v>12272</v>
      </c>
    </row>
    <row r="142" spans="1:6" x14ac:dyDescent="0.25">
      <c r="A142" t="s">
        <v>2131</v>
      </c>
      <c r="B142" t="s">
        <v>127</v>
      </c>
      <c r="C142" t="s">
        <v>87</v>
      </c>
      <c r="D142" t="s">
        <v>2132</v>
      </c>
      <c r="E142" t="s">
        <v>1915</v>
      </c>
      <c r="F142">
        <v>22562</v>
      </c>
    </row>
    <row r="143" spans="1:6" x14ac:dyDescent="0.25">
      <c r="A143" t="s">
        <v>2133</v>
      </c>
      <c r="B143" t="s">
        <v>127</v>
      </c>
      <c r="C143" t="s">
        <v>87</v>
      </c>
      <c r="D143" t="s">
        <v>2134</v>
      </c>
      <c r="E143" t="s">
        <v>1915</v>
      </c>
      <c r="F143">
        <v>2819</v>
      </c>
    </row>
    <row r="144" spans="1:6" x14ac:dyDescent="0.25">
      <c r="A144" t="s">
        <v>2135</v>
      </c>
      <c r="B144" t="s">
        <v>127</v>
      </c>
      <c r="C144" t="s">
        <v>87</v>
      </c>
      <c r="D144" t="s">
        <v>2074</v>
      </c>
      <c r="E144" t="s">
        <v>1915</v>
      </c>
      <c r="F144">
        <v>20486</v>
      </c>
    </row>
    <row r="145" spans="1:6" x14ac:dyDescent="0.25">
      <c r="A145" t="s">
        <v>2136</v>
      </c>
      <c r="B145" t="s">
        <v>127</v>
      </c>
      <c r="C145" t="s">
        <v>87</v>
      </c>
      <c r="D145" t="s">
        <v>2137</v>
      </c>
      <c r="E145" t="s">
        <v>1879</v>
      </c>
      <c r="F145">
        <v>1327</v>
      </c>
    </row>
    <row r="146" spans="1:6" x14ac:dyDescent="0.25">
      <c r="A146" t="s">
        <v>2138</v>
      </c>
      <c r="B146" t="s">
        <v>131</v>
      </c>
      <c r="C146" t="s">
        <v>51</v>
      </c>
      <c r="D146" t="s">
        <v>2139</v>
      </c>
      <c r="E146" t="s">
        <v>1871</v>
      </c>
      <c r="F146">
        <v>73468</v>
      </c>
    </row>
    <row r="147" spans="1:6" x14ac:dyDescent="0.25">
      <c r="A147" t="s">
        <v>2140</v>
      </c>
      <c r="B147" t="s">
        <v>131</v>
      </c>
      <c r="C147" t="s">
        <v>51</v>
      </c>
      <c r="D147" t="s">
        <v>2141</v>
      </c>
      <c r="E147" t="s">
        <v>1886</v>
      </c>
      <c r="F147">
        <v>25728</v>
      </c>
    </row>
    <row r="148" spans="1:6" x14ac:dyDescent="0.25">
      <c r="A148" t="s">
        <v>2142</v>
      </c>
      <c r="B148" t="s">
        <v>131</v>
      </c>
      <c r="C148" t="s">
        <v>51</v>
      </c>
      <c r="D148" t="s">
        <v>2143</v>
      </c>
      <c r="E148" t="s">
        <v>1871</v>
      </c>
      <c r="F148">
        <v>11793</v>
      </c>
    </row>
    <row r="149" spans="1:6" x14ac:dyDescent="0.25">
      <c r="A149" t="s">
        <v>2144</v>
      </c>
      <c r="B149" t="s">
        <v>131</v>
      </c>
      <c r="C149" t="s">
        <v>51</v>
      </c>
      <c r="D149" t="s">
        <v>2145</v>
      </c>
      <c r="E149" t="s">
        <v>1886</v>
      </c>
      <c r="F149">
        <v>21670</v>
      </c>
    </row>
    <row r="150" spans="1:6" x14ac:dyDescent="0.25">
      <c r="A150" t="s">
        <v>2146</v>
      </c>
      <c r="B150" t="s">
        <v>131</v>
      </c>
      <c r="C150" t="s">
        <v>51</v>
      </c>
      <c r="D150" t="s">
        <v>1990</v>
      </c>
      <c r="E150" t="s">
        <v>1879</v>
      </c>
      <c r="F150">
        <v>36936</v>
      </c>
    </row>
    <row r="151" spans="1:6" x14ac:dyDescent="0.25">
      <c r="A151" t="s">
        <v>2147</v>
      </c>
      <c r="B151" t="s">
        <v>131</v>
      </c>
      <c r="C151" t="s">
        <v>51</v>
      </c>
      <c r="D151" t="s">
        <v>2148</v>
      </c>
      <c r="E151" t="s">
        <v>1871</v>
      </c>
      <c r="F151">
        <v>5994</v>
      </c>
    </row>
    <row r="152" spans="1:6" x14ac:dyDescent="0.25">
      <c r="A152" t="s">
        <v>2149</v>
      </c>
      <c r="B152" t="s">
        <v>131</v>
      </c>
      <c r="C152" t="s">
        <v>51</v>
      </c>
      <c r="D152" t="s">
        <v>2130</v>
      </c>
      <c r="E152" t="s">
        <v>1879</v>
      </c>
      <c r="F152">
        <v>78293</v>
      </c>
    </row>
    <row r="153" spans="1:6" x14ac:dyDescent="0.25">
      <c r="A153" t="s">
        <v>2150</v>
      </c>
      <c r="B153" t="s">
        <v>131</v>
      </c>
      <c r="C153" t="s">
        <v>51</v>
      </c>
      <c r="D153" t="s">
        <v>2151</v>
      </c>
      <c r="E153" t="s">
        <v>1876</v>
      </c>
      <c r="F153">
        <v>18986</v>
      </c>
    </row>
    <row r="154" spans="1:6" x14ac:dyDescent="0.25">
      <c r="A154" t="s">
        <v>2152</v>
      </c>
      <c r="B154" t="s">
        <v>131</v>
      </c>
      <c r="C154" t="s">
        <v>51</v>
      </c>
      <c r="D154" t="s">
        <v>2030</v>
      </c>
      <c r="E154" t="s">
        <v>1876</v>
      </c>
      <c r="F154">
        <v>45569</v>
      </c>
    </row>
    <row r="155" spans="1:6" x14ac:dyDescent="0.25">
      <c r="A155" t="s">
        <v>2153</v>
      </c>
      <c r="B155" t="s">
        <v>134</v>
      </c>
      <c r="C155" t="s">
        <v>87</v>
      </c>
      <c r="D155" t="s">
        <v>2134</v>
      </c>
      <c r="E155" t="s">
        <v>1915</v>
      </c>
      <c r="F155">
        <v>7349</v>
      </c>
    </row>
    <row r="156" spans="1:6" x14ac:dyDescent="0.25">
      <c r="A156" t="s">
        <v>2154</v>
      </c>
      <c r="B156" t="s">
        <v>134</v>
      </c>
      <c r="C156" t="s">
        <v>87</v>
      </c>
      <c r="D156" t="s">
        <v>2155</v>
      </c>
      <c r="E156" t="s">
        <v>1879</v>
      </c>
      <c r="F156">
        <v>2758</v>
      </c>
    </row>
    <row r="157" spans="1:6" x14ac:dyDescent="0.25">
      <c r="A157" t="s">
        <v>2156</v>
      </c>
      <c r="B157" t="s">
        <v>134</v>
      </c>
      <c r="C157" t="s">
        <v>87</v>
      </c>
      <c r="D157" t="s">
        <v>2064</v>
      </c>
      <c r="E157" t="s">
        <v>1915</v>
      </c>
      <c r="F157">
        <v>83249</v>
      </c>
    </row>
    <row r="158" spans="1:6" x14ac:dyDescent="0.25">
      <c r="A158" t="s">
        <v>2157</v>
      </c>
      <c r="B158" t="s">
        <v>134</v>
      </c>
      <c r="C158" t="s">
        <v>87</v>
      </c>
      <c r="D158" t="s">
        <v>1996</v>
      </c>
      <c r="E158" t="s">
        <v>1886</v>
      </c>
      <c r="F158">
        <v>21654</v>
      </c>
    </row>
    <row r="159" spans="1:6" x14ac:dyDescent="0.25">
      <c r="A159" t="s">
        <v>2158</v>
      </c>
      <c r="B159" t="s">
        <v>134</v>
      </c>
      <c r="C159" t="s">
        <v>87</v>
      </c>
      <c r="D159" t="s">
        <v>2159</v>
      </c>
      <c r="E159" t="s">
        <v>1879</v>
      </c>
      <c r="F159">
        <v>8326</v>
      </c>
    </row>
    <row r="160" spans="1:6" x14ac:dyDescent="0.25">
      <c r="A160" t="s">
        <v>2160</v>
      </c>
      <c r="B160" t="s">
        <v>134</v>
      </c>
      <c r="C160" t="s">
        <v>87</v>
      </c>
      <c r="D160" t="s">
        <v>2143</v>
      </c>
      <c r="E160" t="s">
        <v>1871</v>
      </c>
      <c r="F160">
        <v>16560</v>
      </c>
    </row>
    <row r="161" spans="1:6" x14ac:dyDescent="0.25">
      <c r="A161" t="s">
        <v>2161</v>
      </c>
      <c r="B161" t="s">
        <v>134</v>
      </c>
      <c r="C161" t="s">
        <v>87</v>
      </c>
      <c r="D161" t="s">
        <v>2057</v>
      </c>
      <c r="E161" t="s">
        <v>1915</v>
      </c>
      <c r="F161">
        <v>77385</v>
      </c>
    </row>
    <row r="162" spans="1:6" x14ac:dyDescent="0.25">
      <c r="A162" t="s">
        <v>2162</v>
      </c>
      <c r="B162" t="s">
        <v>134</v>
      </c>
      <c r="C162" t="s">
        <v>87</v>
      </c>
      <c r="D162" t="s">
        <v>2163</v>
      </c>
      <c r="E162" t="s">
        <v>1871</v>
      </c>
      <c r="F162">
        <v>13157</v>
      </c>
    </row>
    <row r="163" spans="1:6" x14ac:dyDescent="0.25">
      <c r="A163" t="s">
        <v>2164</v>
      </c>
      <c r="B163" t="s">
        <v>134</v>
      </c>
      <c r="C163" t="s">
        <v>87</v>
      </c>
      <c r="D163" t="s">
        <v>2165</v>
      </c>
      <c r="E163" t="s">
        <v>1886</v>
      </c>
      <c r="F163">
        <v>27957</v>
      </c>
    </row>
    <row r="164" spans="1:6" x14ac:dyDescent="0.25">
      <c r="A164" t="s">
        <v>2166</v>
      </c>
      <c r="B164" t="s">
        <v>134</v>
      </c>
      <c r="C164" t="s">
        <v>87</v>
      </c>
      <c r="D164" t="s">
        <v>1984</v>
      </c>
      <c r="E164" t="s">
        <v>1871</v>
      </c>
      <c r="F164">
        <v>34031</v>
      </c>
    </row>
    <row r="165" spans="1:6" x14ac:dyDescent="0.25">
      <c r="A165" t="s">
        <v>2167</v>
      </c>
      <c r="B165" t="s">
        <v>134</v>
      </c>
      <c r="C165" t="s">
        <v>87</v>
      </c>
      <c r="D165" t="s">
        <v>1885</v>
      </c>
      <c r="E165" t="s">
        <v>1871</v>
      </c>
      <c r="F165">
        <v>5795</v>
      </c>
    </row>
    <row r="166" spans="1:6" x14ac:dyDescent="0.25">
      <c r="A166" t="s">
        <v>2168</v>
      </c>
      <c r="B166" t="s">
        <v>134</v>
      </c>
      <c r="C166" t="s">
        <v>87</v>
      </c>
      <c r="D166" t="s">
        <v>2169</v>
      </c>
      <c r="E166" t="s">
        <v>1879</v>
      </c>
      <c r="F166">
        <v>428</v>
      </c>
    </row>
    <row r="167" spans="1:6" x14ac:dyDescent="0.25">
      <c r="A167" t="s">
        <v>2170</v>
      </c>
      <c r="B167" t="s">
        <v>137</v>
      </c>
      <c r="C167" t="s">
        <v>87</v>
      </c>
      <c r="D167" t="s">
        <v>2171</v>
      </c>
      <c r="E167" t="s">
        <v>1886</v>
      </c>
      <c r="F167">
        <v>30407</v>
      </c>
    </row>
    <row r="168" spans="1:6" x14ac:dyDescent="0.25">
      <c r="A168" t="s">
        <v>2172</v>
      </c>
      <c r="B168" t="s">
        <v>137</v>
      </c>
      <c r="C168" t="s">
        <v>87</v>
      </c>
      <c r="D168" t="s">
        <v>2173</v>
      </c>
      <c r="E168" t="s">
        <v>1879</v>
      </c>
      <c r="F168">
        <v>14514</v>
      </c>
    </row>
    <row r="169" spans="1:6" x14ac:dyDescent="0.25">
      <c r="A169" t="s">
        <v>2174</v>
      </c>
      <c r="B169" t="s">
        <v>137</v>
      </c>
      <c r="C169" t="s">
        <v>87</v>
      </c>
      <c r="D169" t="s">
        <v>2175</v>
      </c>
      <c r="E169" t="s">
        <v>1879</v>
      </c>
      <c r="F169">
        <v>59756</v>
      </c>
    </row>
    <row r="170" spans="1:6" x14ac:dyDescent="0.25">
      <c r="A170" t="s">
        <v>2176</v>
      </c>
      <c r="B170" t="s">
        <v>137</v>
      </c>
      <c r="C170" t="s">
        <v>87</v>
      </c>
      <c r="D170" t="s">
        <v>1925</v>
      </c>
      <c r="E170" t="s">
        <v>1871</v>
      </c>
      <c r="F170">
        <v>73218</v>
      </c>
    </row>
    <row r="171" spans="1:6" x14ac:dyDescent="0.25">
      <c r="A171" t="s">
        <v>2177</v>
      </c>
      <c r="B171" t="s">
        <v>137</v>
      </c>
      <c r="C171" t="s">
        <v>87</v>
      </c>
      <c r="D171" t="s">
        <v>1914</v>
      </c>
      <c r="E171" t="s">
        <v>1915</v>
      </c>
      <c r="F171">
        <v>102349</v>
      </c>
    </row>
    <row r="172" spans="1:6" x14ac:dyDescent="0.25">
      <c r="A172" t="s">
        <v>2178</v>
      </c>
      <c r="B172" t="s">
        <v>137</v>
      </c>
      <c r="C172" t="s">
        <v>87</v>
      </c>
      <c r="D172" t="s">
        <v>2179</v>
      </c>
      <c r="E172" t="s">
        <v>1876</v>
      </c>
      <c r="F172">
        <v>80026</v>
      </c>
    </row>
    <row r="173" spans="1:6" x14ac:dyDescent="0.25">
      <c r="A173" t="s">
        <v>2180</v>
      </c>
      <c r="B173" t="s">
        <v>137</v>
      </c>
      <c r="C173" t="s">
        <v>87</v>
      </c>
      <c r="D173" t="s">
        <v>2181</v>
      </c>
      <c r="E173" t="s">
        <v>1886</v>
      </c>
      <c r="F173">
        <v>10564</v>
      </c>
    </row>
    <row r="174" spans="1:6" x14ac:dyDescent="0.25">
      <c r="A174" t="s">
        <v>2182</v>
      </c>
      <c r="B174" t="s">
        <v>137</v>
      </c>
      <c r="C174" t="s">
        <v>87</v>
      </c>
      <c r="D174" t="s">
        <v>2183</v>
      </c>
      <c r="E174" t="s">
        <v>1879</v>
      </c>
      <c r="F174">
        <v>31607</v>
      </c>
    </row>
    <row r="175" spans="1:6" x14ac:dyDescent="0.25">
      <c r="A175" t="s">
        <v>2184</v>
      </c>
      <c r="B175" t="s">
        <v>140</v>
      </c>
      <c r="C175" t="s">
        <v>51</v>
      </c>
      <c r="D175" t="s">
        <v>2185</v>
      </c>
      <c r="E175" t="s">
        <v>1879</v>
      </c>
      <c r="F175">
        <v>45861</v>
      </c>
    </row>
    <row r="176" spans="1:6" x14ac:dyDescent="0.25">
      <c r="A176" t="s">
        <v>2186</v>
      </c>
      <c r="B176" t="s">
        <v>140</v>
      </c>
      <c r="C176" t="s">
        <v>51</v>
      </c>
      <c r="D176" t="s">
        <v>1762</v>
      </c>
      <c r="E176" t="s">
        <v>1915</v>
      </c>
      <c r="F176">
        <v>92413</v>
      </c>
    </row>
    <row r="177" spans="1:6" x14ac:dyDescent="0.25">
      <c r="A177" t="s">
        <v>2187</v>
      </c>
      <c r="B177" t="s">
        <v>140</v>
      </c>
      <c r="C177" t="s">
        <v>51</v>
      </c>
      <c r="D177" t="s">
        <v>2188</v>
      </c>
      <c r="E177" t="s">
        <v>1915</v>
      </c>
      <c r="F177">
        <v>15894</v>
      </c>
    </row>
    <row r="178" spans="1:6" x14ac:dyDescent="0.25">
      <c r="A178" t="s">
        <v>2189</v>
      </c>
      <c r="B178" t="s">
        <v>140</v>
      </c>
      <c r="C178" t="s">
        <v>51</v>
      </c>
      <c r="D178" t="s">
        <v>2190</v>
      </c>
      <c r="E178" t="s">
        <v>1886</v>
      </c>
      <c r="F178">
        <v>5002</v>
      </c>
    </row>
    <row r="179" spans="1:6" x14ac:dyDescent="0.25">
      <c r="A179" t="s">
        <v>2191</v>
      </c>
      <c r="B179" t="s">
        <v>140</v>
      </c>
      <c r="C179" t="s">
        <v>51</v>
      </c>
      <c r="D179" t="s">
        <v>2030</v>
      </c>
      <c r="E179" t="s">
        <v>1871</v>
      </c>
      <c r="F179">
        <v>37062</v>
      </c>
    </row>
    <row r="180" spans="1:6" x14ac:dyDescent="0.25">
      <c r="A180" t="s">
        <v>2192</v>
      </c>
      <c r="B180" t="s">
        <v>140</v>
      </c>
      <c r="C180" t="s">
        <v>51</v>
      </c>
      <c r="D180" t="s">
        <v>2193</v>
      </c>
      <c r="E180" t="s">
        <v>1886</v>
      </c>
      <c r="F180">
        <v>10302</v>
      </c>
    </row>
    <row r="181" spans="1:6" x14ac:dyDescent="0.25">
      <c r="A181" t="s">
        <v>2194</v>
      </c>
      <c r="B181" t="s">
        <v>140</v>
      </c>
      <c r="C181" t="s">
        <v>51</v>
      </c>
      <c r="D181" t="s">
        <v>2195</v>
      </c>
      <c r="E181" t="s">
        <v>1879</v>
      </c>
      <c r="F181">
        <v>44708</v>
      </c>
    </row>
    <row r="182" spans="1:6" x14ac:dyDescent="0.25">
      <c r="A182" t="s">
        <v>2196</v>
      </c>
      <c r="B182" t="s">
        <v>143</v>
      </c>
      <c r="C182" t="s">
        <v>146</v>
      </c>
      <c r="D182" t="s">
        <v>1881</v>
      </c>
      <c r="E182" t="s">
        <v>1871</v>
      </c>
      <c r="F182">
        <v>1623</v>
      </c>
    </row>
    <row r="183" spans="1:6" x14ac:dyDescent="0.25">
      <c r="A183" t="s">
        <v>2197</v>
      </c>
      <c r="B183" t="s">
        <v>143</v>
      </c>
      <c r="C183" t="s">
        <v>146</v>
      </c>
      <c r="D183" t="s">
        <v>2198</v>
      </c>
      <c r="E183" t="s">
        <v>1915</v>
      </c>
      <c r="F183">
        <v>6191</v>
      </c>
    </row>
    <row r="184" spans="1:6" x14ac:dyDescent="0.25">
      <c r="A184" t="s">
        <v>2199</v>
      </c>
      <c r="B184" t="s">
        <v>143</v>
      </c>
      <c r="C184" t="s">
        <v>146</v>
      </c>
      <c r="D184" t="s">
        <v>2163</v>
      </c>
      <c r="E184" t="s">
        <v>1871</v>
      </c>
      <c r="F184">
        <v>654</v>
      </c>
    </row>
    <row r="185" spans="1:6" x14ac:dyDescent="0.25">
      <c r="A185" t="s">
        <v>2200</v>
      </c>
      <c r="B185" t="s">
        <v>143</v>
      </c>
      <c r="C185" t="s">
        <v>146</v>
      </c>
      <c r="D185" t="s">
        <v>2201</v>
      </c>
      <c r="E185" t="s">
        <v>1876</v>
      </c>
      <c r="F185">
        <v>8119</v>
      </c>
    </row>
    <row r="186" spans="1:6" x14ac:dyDescent="0.25">
      <c r="A186" t="s">
        <v>2202</v>
      </c>
      <c r="B186" t="s">
        <v>143</v>
      </c>
      <c r="C186" t="s">
        <v>146</v>
      </c>
      <c r="D186" t="s">
        <v>2203</v>
      </c>
      <c r="E186" t="s">
        <v>1871</v>
      </c>
      <c r="F186">
        <v>2566</v>
      </c>
    </row>
    <row r="187" spans="1:6" x14ac:dyDescent="0.25">
      <c r="A187" t="s">
        <v>2204</v>
      </c>
      <c r="B187" t="s">
        <v>143</v>
      </c>
      <c r="C187" t="s">
        <v>146</v>
      </c>
      <c r="D187" t="s">
        <v>2099</v>
      </c>
      <c r="E187" t="s">
        <v>1876</v>
      </c>
      <c r="F187">
        <v>11851</v>
      </c>
    </row>
    <row r="188" spans="1:6" x14ac:dyDescent="0.25">
      <c r="A188" t="s">
        <v>2205</v>
      </c>
      <c r="B188" t="s">
        <v>143</v>
      </c>
      <c r="C188" t="s">
        <v>146</v>
      </c>
      <c r="D188" t="s">
        <v>2175</v>
      </c>
      <c r="E188" t="s">
        <v>1876</v>
      </c>
      <c r="F188">
        <v>1672</v>
      </c>
    </row>
    <row r="189" spans="1:6" x14ac:dyDescent="0.25">
      <c r="A189" t="s">
        <v>2206</v>
      </c>
      <c r="B189" t="s">
        <v>143</v>
      </c>
      <c r="C189" t="s">
        <v>146</v>
      </c>
      <c r="D189" t="s">
        <v>2022</v>
      </c>
      <c r="E189" t="s">
        <v>1879</v>
      </c>
      <c r="F189">
        <v>4314</v>
      </c>
    </row>
    <row r="190" spans="1:6" x14ac:dyDescent="0.25">
      <c r="A190" t="s">
        <v>2207</v>
      </c>
      <c r="B190" t="s">
        <v>143</v>
      </c>
      <c r="C190" t="s">
        <v>146</v>
      </c>
      <c r="D190" t="s">
        <v>2208</v>
      </c>
      <c r="E190" t="s">
        <v>1871</v>
      </c>
      <c r="F190">
        <v>11074</v>
      </c>
    </row>
    <row r="191" spans="1:6" x14ac:dyDescent="0.25">
      <c r="A191" t="s">
        <v>2209</v>
      </c>
      <c r="B191" t="s">
        <v>143</v>
      </c>
      <c r="C191" t="s">
        <v>146</v>
      </c>
      <c r="D191" t="s">
        <v>2210</v>
      </c>
      <c r="E191" t="s">
        <v>1915</v>
      </c>
      <c r="F191">
        <v>13678</v>
      </c>
    </row>
    <row r="192" spans="1:6" x14ac:dyDescent="0.25">
      <c r="A192" t="s">
        <v>2211</v>
      </c>
      <c r="B192" t="s">
        <v>143</v>
      </c>
      <c r="C192" t="s">
        <v>146</v>
      </c>
      <c r="D192" t="s">
        <v>2212</v>
      </c>
      <c r="E192" t="s">
        <v>1871</v>
      </c>
      <c r="F192">
        <v>5492</v>
      </c>
    </row>
    <row r="193" spans="1:6" x14ac:dyDescent="0.25">
      <c r="A193" t="s">
        <v>2213</v>
      </c>
      <c r="B193" t="s">
        <v>148</v>
      </c>
      <c r="C193" t="s">
        <v>73</v>
      </c>
      <c r="D193" t="s">
        <v>2195</v>
      </c>
      <c r="E193" t="s">
        <v>1879</v>
      </c>
      <c r="F193">
        <v>1028</v>
      </c>
    </row>
    <row r="194" spans="1:6" x14ac:dyDescent="0.25">
      <c r="A194" t="s">
        <v>2214</v>
      </c>
      <c r="B194" t="s">
        <v>148</v>
      </c>
      <c r="C194" t="s">
        <v>73</v>
      </c>
      <c r="D194" t="s">
        <v>1973</v>
      </c>
      <c r="E194" t="s">
        <v>1876</v>
      </c>
      <c r="F194">
        <v>20639</v>
      </c>
    </row>
    <row r="195" spans="1:6" x14ac:dyDescent="0.25">
      <c r="A195" t="s">
        <v>2215</v>
      </c>
      <c r="B195" t="s">
        <v>148</v>
      </c>
      <c r="C195" t="s">
        <v>73</v>
      </c>
      <c r="D195" t="s">
        <v>2126</v>
      </c>
      <c r="E195" t="s">
        <v>1915</v>
      </c>
      <c r="F195">
        <v>1069</v>
      </c>
    </row>
    <row r="196" spans="1:6" x14ac:dyDescent="0.25">
      <c r="A196" t="s">
        <v>2216</v>
      </c>
      <c r="B196" t="s">
        <v>148</v>
      </c>
      <c r="C196" t="s">
        <v>73</v>
      </c>
      <c r="D196" t="s">
        <v>1986</v>
      </c>
      <c r="E196" t="s">
        <v>1879</v>
      </c>
      <c r="F196">
        <v>27723</v>
      </c>
    </row>
    <row r="197" spans="1:6" x14ac:dyDescent="0.25">
      <c r="A197" t="s">
        <v>2217</v>
      </c>
      <c r="B197" t="s">
        <v>148</v>
      </c>
      <c r="C197" t="s">
        <v>73</v>
      </c>
      <c r="D197" t="s">
        <v>2218</v>
      </c>
      <c r="E197" t="s">
        <v>1915</v>
      </c>
      <c r="F197">
        <v>34595</v>
      </c>
    </row>
    <row r="198" spans="1:6" x14ac:dyDescent="0.25">
      <c r="A198" t="s">
        <v>2219</v>
      </c>
      <c r="B198" t="s">
        <v>148</v>
      </c>
      <c r="C198" t="s">
        <v>73</v>
      </c>
      <c r="D198" t="s">
        <v>2072</v>
      </c>
      <c r="E198" t="s">
        <v>1886</v>
      </c>
      <c r="F198">
        <v>6747</v>
      </c>
    </row>
    <row r="199" spans="1:6" x14ac:dyDescent="0.25">
      <c r="A199" t="s">
        <v>2220</v>
      </c>
      <c r="B199" t="s">
        <v>151</v>
      </c>
      <c r="C199" t="s">
        <v>146</v>
      </c>
      <c r="D199" t="s">
        <v>2221</v>
      </c>
      <c r="E199" t="s">
        <v>1876</v>
      </c>
      <c r="F199">
        <v>11039</v>
      </c>
    </row>
    <row r="200" spans="1:6" x14ac:dyDescent="0.25">
      <c r="A200" t="s">
        <v>2222</v>
      </c>
      <c r="B200" t="s">
        <v>151</v>
      </c>
      <c r="C200" t="s">
        <v>146</v>
      </c>
      <c r="D200" t="s">
        <v>2066</v>
      </c>
      <c r="E200" t="s">
        <v>1871</v>
      </c>
      <c r="F200">
        <v>2160</v>
      </c>
    </row>
    <row r="201" spans="1:6" x14ac:dyDescent="0.25">
      <c r="A201" t="s">
        <v>2223</v>
      </c>
      <c r="B201" t="s">
        <v>151</v>
      </c>
      <c r="C201" t="s">
        <v>146</v>
      </c>
      <c r="D201" t="s">
        <v>2224</v>
      </c>
      <c r="E201" t="s">
        <v>1915</v>
      </c>
      <c r="F201">
        <v>2328</v>
      </c>
    </row>
    <row r="202" spans="1:6" x14ac:dyDescent="0.25">
      <c r="A202" t="s">
        <v>2225</v>
      </c>
      <c r="B202" t="s">
        <v>151</v>
      </c>
      <c r="C202" t="s">
        <v>146</v>
      </c>
      <c r="D202" t="s">
        <v>2226</v>
      </c>
      <c r="E202" t="s">
        <v>1879</v>
      </c>
      <c r="F202">
        <v>20337</v>
      </c>
    </row>
    <row r="203" spans="1:6" x14ac:dyDescent="0.25">
      <c r="A203" t="s">
        <v>2227</v>
      </c>
      <c r="B203" t="s">
        <v>151</v>
      </c>
      <c r="C203" t="s">
        <v>146</v>
      </c>
      <c r="D203" t="s">
        <v>2228</v>
      </c>
      <c r="E203" t="s">
        <v>1915</v>
      </c>
      <c r="F203">
        <v>15545</v>
      </c>
    </row>
    <row r="204" spans="1:6" x14ac:dyDescent="0.25">
      <c r="A204" t="s">
        <v>2229</v>
      </c>
      <c r="B204" t="s">
        <v>151</v>
      </c>
      <c r="C204" t="s">
        <v>146</v>
      </c>
      <c r="D204" t="s">
        <v>2230</v>
      </c>
      <c r="E204" t="s">
        <v>1879</v>
      </c>
      <c r="F204">
        <v>4928</v>
      </c>
    </row>
    <row r="205" spans="1:6" x14ac:dyDescent="0.25">
      <c r="A205" t="s">
        <v>2231</v>
      </c>
      <c r="B205" t="s">
        <v>151</v>
      </c>
      <c r="C205" t="s">
        <v>146</v>
      </c>
      <c r="D205" t="s">
        <v>2232</v>
      </c>
      <c r="E205" t="s">
        <v>1871</v>
      </c>
      <c r="F205">
        <v>17008</v>
      </c>
    </row>
    <row r="206" spans="1:6" x14ac:dyDescent="0.25">
      <c r="A206" t="s">
        <v>2233</v>
      </c>
      <c r="B206" t="s">
        <v>151</v>
      </c>
      <c r="C206" t="s">
        <v>146</v>
      </c>
      <c r="D206" t="s">
        <v>2234</v>
      </c>
      <c r="E206" t="s">
        <v>1915</v>
      </c>
      <c r="F206">
        <v>19303</v>
      </c>
    </row>
    <row r="207" spans="1:6" x14ac:dyDescent="0.25">
      <c r="A207" t="s">
        <v>2235</v>
      </c>
      <c r="B207" t="s">
        <v>151</v>
      </c>
      <c r="C207" t="s">
        <v>146</v>
      </c>
      <c r="D207" t="s">
        <v>2236</v>
      </c>
      <c r="E207" t="s">
        <v>1876</v>
      </c>
      <c r="F207">
        <v>14312</v>
      </c>
    </row>
    <row r="208" spans="1:6" x14ac:dyDescent="0.25">
      <c r="A208" t="s">
        <v>2237</v>
      </c>
      <c r="B208" t="s">
        <v>151</v>
      </c>
      <c r="C208" t="s">
        <v>146</v>
      </c>
      <c r="D208" t="s">
        <v>2238</v>
      </c>
      <c r="E208" t="s">
        <v>1876</v>
      </c>
      <c r="F208">
        <v>2593</v>
      </c>
    </row>
    <row r="209" spans="1:6" x14ac:dyDescent="0.25">
      <c r="A209" t="s">
        <v>2239</v>
      </c>
      <c r="B209" t="s">
        <v>151</v>
      </c>
      <c r="C209" t="s">
        <v>146</v>
      </c>
      <c r="D209" t="s">
        <v>2061</v>
      </c>
      <c r="E209" t="s">
        <v>1876</v>
      </c>
      <c r="F209">
        <v>9737</v>
      </c>
    </row>
    <row r="210" spans="1:6" x14ac:dyDescent="0.25">
      <c r="A210" t="s">
        <v>2240</v>
      </c>
      <c r="B210" t="s">
        <v>154</v>
      </c>
      <c r="C210" t="s">
        <v>146</v>
      </c>
      <c r="D210" t="s">
        <v>2055</v>
      </c>
      <c r="E210" t="s">
        <v>1871</v>
      </c>
      <c r="F210">
        <v>32809</v>
      </c>
    </row>
    <row r="211" spans="1:6" x14ac:dyDescent="0.25">
      <c r="A211" t="s">
        <v>2241</v>
      </c>
      <c r="B211" t="s">
        <v>154</v>
      </c>
      <c r="C211" t="s">
        <v>146</v>
      </c>
      <c r="D211" t="s">
        <v>2242</v>
      </c>
      <c r="E211" t="s">
        <v>1879</v>
      </c>
      <c r="F211">
        <v>40619</v>
      </c>
    </row>
    <row r="212" spans="1:6" x14ac:dyDescent="0.25">
      <c r="A212" t="s">
        <v>2243</v>
      </c>
      <c r="B212" t="s">
        <v>154</v>
      </c>
      <c r="C212" t="s">
        <v>146</v>
      </c>
      <c r="D212" t="s">
        <v>1480</v>
      </c>
      <c r="E212" t="s">
        <v>1876</v>
      </c>
      <c r="F212">
        <v>34513</v>
      </c>
    </row>
    <row r="213" spans="1:6" x14ac:dyDescent="0.25">
      <c r="A213" t="s">
        <v>2244</v>
      </c>
      <c r="B213" t="s">
        <v>154</v>
      </c>
      <c r="C213" t="s">
        <v>146</v>
      </c>
      <c r="D213" t="s">
        <v>2130</v>
      </c>
      <c r="E213" t="s">
        <v>1915</v>
      </c>
      <c r="F213">
        <v>21375</v>
      </c>
    </row>
    <row r="214" spans="1:6" x14ac:dyDescent="0.25">
      <c r="A214" t="s">
        <v>2245</v>
      </c>
      <c r="B214" t="s">
        <v>154</v>
      </c>
      <c r="C214" t="s">
        <v>146</v>
      </c>
      <c r="D214" t="s">
        <v>1890</v>
      </c>
      <c r="E214" t="s">
        <v>1915</v>
      </c>
      <c r="F214">
        <v>34596</v>
      </c>
    </row>
    <row r="215" spans="1:6" x14ac:dyDescent="0.25">
      <c r="A215" t="s">
        <v>2246</v>
      </c>
      <c r="B215" t="s">
        <v>154</v>
      </c>
      <c r="C215" t="s">
        <v>146</v>
      </c>
      <c r="D215" t="s">
        <v>2024</v>
      </c>
      <c r="E215" t="s">
        <v>1876</v>
      </c>
      <c r="F215">
        <v>33189</v>
      </c>
    </row>
    <row r="216" spans="1:6" x14ac:dyDescent="0.25">
      <c r="A216" t="s">
        <v>2247</v>
      </c>
      <c r="B216" t="s">
        <v>154</v>
      </c>
      <c r="C216" t="s">
        <v>146</v>
      </c>
      <c r="D216" t="s">
        <v>1988</v>
      </c>
      <c r="E216" t="s">
        <v>1886</v>
      </c>
      <c r="F216">
        <v>7424</v>
      </c>
    </row>
    <row r="217" spans="1:6" x14ac:dyDescent="0.25">
      <c r="A217" t="s">
        <v>2248</v>
      </c>
      <c r="B217" t="s">
        <v>154</v>
      </c>
      <c r="C217" t="s">
        <v>146</v>
      </c>
      <c r="D217" t="s">
        <v>2014</v>
      </c>
      <c r="E217" t="s">
        <v>1879</v>
      </c>
      <c r="F217">
        <v>34463</v>
      </c>
    </row>
    <row r="218" spans="1:6" x14ac:dyDescent="0.25">
      <c r="A218" t="s">
        <v>2249</v>
      </c>
      <c r="B218" t="s">
        <v>154</v>
      </c>
      <c r="C218" t="s">
        <v>146</v>
      </c>
      <c r="D218" t="s">
        <v>1917</v>
      </c>
      <c r="E218" t="s">
        <v>1879</v>
      </c>
      <c r="F218">
        <v>27799</v>
      </c>
    </row>
    <row r="219" spans="1:6" x14ac:dyDescent="0.25">
      <c r="A219" t="s">
        <v>2250</v>
      </c>
      <c r="B219" t="s">
        <v>154</v>
      </c>
      <c r="C219" t="s">
        <v>146</v>
      </c>
      <c r="D219" t="s">
        <v>1480</v>
      </c>
      <c r="E219" t="s">
        <v>1886</v>
      </c>
      <c r="F219">
        <v>13600</v>
      </c>
    </row>
    <row r="220" spans="1:6" x14ac:dyDescent="0.25">
      <c r="A220" t="s">
        <v>2251</v>
      </c>
      <c r="B220" t="s">
        <v>154</v>
      </c>
      <c r="C220" t="s">
        <v>146</v>
      </c>
      <c r="D220" t="s">
        <v>2252</v>
      </c>
      <c r="E220" t="s">
        <v>1915</v>
      </c>
      <c r="F220">
        <v>30102</v>
      </c>
    </row>
    <row r="221" spans="1:6" x14ac:dyDescent="0.25">
      <c r="A221" t="s">
        <v>2253</v>
      </c>
      <c r="B221" t="s">
        <v>157</v>
      </c>
      <c r="C221" t="s">
        <v>146</v>
      </c>
      <c r="D221" t="s">
        <v>2254</v>
      </c>
      <c r="E221" t="s">
        <v>1879</v>
      </c>
      <c r="F221">
        <v>11502</v>
      </c>
    </row>
    <row r="222" spans="1:6" x14ac:dyDescent="0.25">
      <c r="A222" t="s">
        <v>2255</v>
      </c>
      <c r="B222" t="s">
        <v>157</v>
      </c>
      <c r="C222" t="s">
        <v>146</v>
      </c>
      <c r="D222" t="s">
        <v>1906</v>
      </c>
      <c r="E222" t="s">
        <v>1879</v>
      </c>
      <c r="F222">
        <v>9915</v>
      </c>
    </row>
    <row r="223" spans="1:6" x14ac:dyDescent="0.25">
      <c r="A223" t="s">
        <v>2256</v>
      </c>
      <c r="B223" t="s">
        <v>157</v>
      </c>
      <c r="C223" t="s">
        <v>146</v>
      </c>
      <c r="D223" t="s">
        <v>1939</v>
      </c>
      <c r="E223" t="s">
        <v>1915</v>
      </c>
      <c r="F223">
        <v>2489</v>
      </c>
    </row>
    <row r="224" spans="1:6" x14ac:dyDescent="0.25">
      <c r="A224" t="s">
        <v>2257</v>
      </c>
      <c r="B224" t="s">
        <v>157</v>
      </c>
      <c r="C224" t="s">
        <v>146</v>
      </c>
      <c r="D224" t="s">
        <v>1923</v>
      </c>
      <c r="E224" t="s">
        <v>1876</v>
      </c>
      <c r="F224">
        <v>3986</v>
      </c>
    </row>
    <row r="225" spans="1:6" x14ac:dyDescent="0.25">
      <c r="A225" t="s">
        <v>2258</v>
      </c>
      <c r="B225" t="s">
        <v>157</v>
      </c>
      <c r="C225" t="s">
        <v>146</v>
      </c>
      <c r="D225" t="s">
        <v>2132</v>
      </c>
      <c r="E225" t="s">
        <v>1915</v>
      </c>
      <c r="F225">
        <v>1827</v>
      </c>
    </row>
    <row r="226" spans="1:6" x14ac:dyDescent="0.25">
      <c r="A226" t="s">
        <v>2259</v>
      </c>
      <c r="B226" t="s">
        <v>157</v>
      </c>
      <c r="C226" t="s">
        <v>146</v>
      </c>
      <c r="D226" t="s">
        <v>1900</v>
      </c>
      <c r="E226" t="s">
        <v>1879</v>
      </c>
      <c r="F226">
        <v>1093</v>
      </c>
    </row>
    <row r="227" spans="1:6" x14ac:dyDescent="0.25">
      <c r="A227" t="s">
        <v>2260</v>
      </c>
      <c r="B227" t="s">
        <v>157</v>
      </c>
      <c r="C227" t="s">
        <v>146</v>
      </c>
      <c r="D227" t="s">
        <v>2236</v>
      </c>
      <c r="E227" t="s">
        <v>1915</v>
      </c>
      <c r="F227">
        <v>9790</v>
      </c>
    </row>
    <row r="228" spans="1:6" x14ac:dyDescent="0.25">
      <c r="A228" t="s">
        <v>2261</v>
      </c>
      <c r="B228" t="s">
        <v>157</v>
      </c>
      <c r="C228" t="s">
        <v>146</v>
      </c>
      <c r="D228" t="s">
        <v>2145</v>
      </c>
      <c r="E228" t="s">
        <v>1886</v>
      </c>
      <c r="F228">
        <v>8498</v>
      </c>
    </row>
    <row r="229" spans="1:6" x14ac:dyDescent="0.25">
      <c r="A229" t="s">
        <v>2262</v>
      </c>
      <c r="B229" t="s">
        <v>157</v>
      </c>
      <c r="C229" t="s">
        <v>146</v>
      </c>
      <c r="D229" t="s">
        <v>2263</v>
      </c>
      <c r="E229" t="s">
        <v>1871</v>
      </c>
      <c r="F229">
        <v>1007</v>
      </c>
    </row>
    <row r="230" spans="1:6" x14ac:dyDescent="0.25">
      <c r="A230" t="s">
        <v>2264</v>
      </c>
      <c r="B230" t="s">
        <v>157</v>
      </c>
      <c r="C230" t="s">
        <v>146</v>
      </c>
      <c r="D230" t="s">
        <v>2265</v>
      </c>
      <c r="E230" t="s">
        <v>1915</v>
      </c>
      <c r="F230">
        <v>12855</v>
      </c>
    </row>
    <row r="231" spans="1:6" x14ac:dyDescent="0.25">
      <c r="A231" t="s">
        <v>2266</v>
      </c>
      <c r="B231" t="s">
        <v>157</v>
      </c>
      <c r="C231" t="s">
        <v>146</v>
      </c>
      <c r="D231" t="s">
        <v>2267</v>
      </c>
      <c r="E231" t="s">
        <v>1879</v>
      </c>
      <c r="F231">
        <v>11026</v>
      </c>
    </row>
    <row r="232" spans="1:6" x14ac:dyDescent="0.25">
      <c r="A232" t="s">
        <v>2268</v>
      </c>
      <c r="B232" t="s">
        <v>160</v>
      </c>
      <c r="C232" t="s">
        <v>73</v>
      </c>
      <c r="D232" t="s">
        <v>2269</v>
      </c>
      <c r="E232" t="s">
        <v>1871</v>
      </c>
      <c r="F232">
        <v>14208</v>
      </c>
    </row>
    <row r="233" spans="1:6" x14ac:dyDescent="0.25">
      <c r="A233" t="s">
        <v>2270</v>
      </c>
      <c r="B233" t="s">
        <v>160</v>
      </c>
      <c r="C233" t="s">
        <v>73</v>
      </c>
      <c r="D233" t="s">
        <v>2271</v>
      </c>
      <c r="E233" t="s">
        <v>1915</v>
      </c>
      <c r="F233">
        <v>27069</v>
      </c>
    </row>
    <row r="234" spans="1:6" x14ac:dyDescent="0.25">
      <c r="A234" t="s">
        <v>2272</v>
      </c>
      <c r="B234" t="s">
        <v>160</v>
      </c>
      <c r="C234" t="s">
        <v>73</v>
      </c>
      <c r="D234" t="s">
        <v>2273</v>
      </c>
      <c r="E234" t="s">
        <v>1871</v>
      </c>
      <c r="F234">
        <v>5085</v>
      </c>
    </row>
    <row r="235" spans="1:6" x14ac:dyDescent="0.25">
      <c r="A235" t="s">
        <v>2274</v>
      </c>
      <c r="B235" t="s">
        <v>160</v>
      </c>
      <c r="C235" t="s">
        <v>73</v>
      </c>
      <c r="D235" t="s">
        <v>1937</v>
      </c>
      <c r="E235" t="s">
        <v>1915</v>
      </c>
      <c r="F235">
        <v>17436</v>
      </c>
    </row>
    <row r="236" spans="1:6" x14ac:dyDescent="0.25">
      <c r="A236" t="s">
        <v>2275</v>
      </c>
      <c r="B236" t="s">
        <v>160</v>
      </c>
      <c r="C236" t="s">
        <v>73</v>
      </c>
      <c r="D236" t="s">
        <v>2221</v>
      </c>
      <c r="E236" t="s">
        <v>1871</v>
      </c>
      <c r="F236">
        <v>13807</v>
      </c>
    </row>
    <row r="237" spans="1:6" x14ac:dyDescent="0.25">
      <c r="A237" t="s">
        <v>2276</v>
      </c>
      <c r="B237" t="s">
        <v>160</v>
      </c>
      <c r="C237" t="s">
        <v>73</v>
      </c>
      <c r="D237" t="s">
        <v>1917</v>
      </c>
      <c r="E237" t="s">
        <v>1879</v>
      </c>
      <c r="F237">
        <v>3420</v>
      </c>
    </row>
    <row r="238" spans="1:6" x14ac:dyDescent="0.25">
      <c r="A238" t="s">
        <v>2277</v>
      </c>
      <c r="B238" t="s">
        <v>160</v>
      </c>
      <c r="C238" t="s">
        <v>73</v>
      </c>
      <c r="D238" t="s">
        <v>2278</v>
      </c>
      <c r="E238" t="s">
        <v>1879</v>
      </c>
      <c r="F238">
        <v>3205</v>
      </c>
    </row>
    <row r="239" spans="1:6" x14ac:dyDescent="0.25">
      <c r="A239" t="s">
        <v>2279</v>
      </c>
      <c r="B239" t="s">
        <v>160</v>
      </c>
      <c r="C239" t="s">
        <v>73</v>
      </c>
      <c r="D239" t="s">
        <v>2280</v>
      </c>
      <c r="E239" t="s">
        <v>1879</v>
      </c>
      <c r="F239">
        <v>4157</v>
      </c>
    </row>
    <row r="240" spans="1:6" x14ac:dyDescent="0.25">
      <c r="A240" t="s">
        <v>2281</v>
      </c>
      <c r="B240" t="s">
        <v>160</v>
      </c>
      <c r="C240" t="s">
        <v>73</v>
      </c>
      <c r="D240" t="s">
        <v>2064</v>
      </c>
      <c r="E240" t="s">
        <v>1876</v>
      </c>
      <c r="F240">
        <v>16465</v>
      </c>
    </row>
    <row r="241" spans="1:6" x14ac:dyDescent="0.25">
      <c r="A241" t="s">
        <v>2282</v>
      </c>
      <c r="B241" t="s">
        <v>160</v>
      </c>
      <c r="C241" t="s">
        <v>73</v>
      </c>
      <c r="D241" t="s">
        <v>1873</v>
      </c>
      <c r="E241" t="s">
        <v>1876</v>
      </c>
      <c r="F241">
        <v>15011</v>
      </c>
    </row>
    <row r="242" spans="1:6" x14ac:dyDescent="0.25">
      <c r="A242" t="s">
        <v>2283</v>
      </c>
      <c r="B242" t="s">
        <v>163</v>
      </c>
      <c r="C242" t="s">
        <v>87</v>
      </c>
      <c r="D242" t="s">
        <v>2284</v>
      </c>
      <c r="E242" t="s">
        <v>1915</v>
      </c>
      <c r="F242">
        <v>18730</v>
      </c>
    </row>
    <row r="243" spans="1:6" x14ac:dyDescent="0.25">
      <c r="A243" t="s">
        <v>2285</v>
      </c>
      <c r="B243" t="s">
        <v>163</v>
      </c>
      <c r="C243" t="s">
        <v>87</v>
      </c>
      <c r="D243" t="s">
        <v>2286</v>
      </c>
      <c r="E243" t="s">
        <v>1871</v>
      </c>
      <c r="F243">
        <v>11514</v>
      </c>
    </row>
    <row r="244" spans="1:6" x14ac:dyDescent="0.25">
      <c r="A244" t="s">
        <v>2287</v>
      </c>
      <c r="B244" t="s">
        <v>163</v>
      </c>
      <c r="C244" t="s">
        <v>87</v>
      </c>
      <c r="D244" t="s">
        <v>2130</v>
      </c>
      <c r="E244" t="s">
        <v>1876</v>
      </c>
      <c r="F244">
        <v>25759</v>
      </c>
    </row>
    <row r="245" spans="1:6" x14ac:dyDescent="0.25">
      <c r="A245" t="s">
        <v>2288</v>
      </c>
      <c r="B245" t="s">
        <v>163</v>
      </c>
      <c r="C245" t="s">
        <v>87</v>
      </c>
      <c r="D245" t="s">
        <v>2051</v>
      </c>
      <c r="E245" t="s">
        <v>1871</v>
      </c>
      <c r="F245">
        <v>5144</v>
      </c>
    </row>
    <row r="246" spans="1:6" x14ac:dyDescent="0.25">
      <c r="A246" t="s">
        <v>2289</v>
      </c>
      <c r="B246" t="s">
        <v>163</v>
      </c>
      <c r="C246" t="s">
        <v>87</v>
      </c>
      <c r="D246" t="s">
        <v>2267</v>
      </c>
      <c r="E246" t="s">
        <v>1886</v>
      </c>
      <c r="F246">
        <v>5087</v>
      </c>
    </row>
    <row r="247" spans="1:6" x14ac:dyDescent="0.25">
      <c r="A247" t="s">
        <v>2290</v>
      </c>
      <c r="B247" t="s">
        <v>163</v>
      </c>
      <c r="C247" t="s">
        <v>87</v>
      </c>
      <c r="D247" t="s">
        <v>2291</v>
      </c>
      <c r="E247" t="s">
        <v>1871</v>
      </c>
      <c r="F247">
        <v>14450</v>
      </c>
    </row>
    <row r="248" spans="1:6" x14ac:dyDescent="0.25">
      <c r="A248" t="s">
        <v>2292</v>
      </c>
      <c r="B248" t="s">
        <v>163</v>
      </c>
      <c r="C248" t="s">
        <v>87</v>
      </c>
      <c r="D248" t="s">
        <v>2293</v>
      </c>
      <c r="E248" t="s">
        <v>1876</v>
      </c>
      <c r="F248">
        <v>13889</v>
      </c>
    </row>
    <row r="249" spans="1:6" x14ac:dyDescent="0.25">
      <c r="A249" t="s">
        <v>2294</v>
      </c>
      <c r="B249" t="s">
        <v>163</v>
      </c>
      <c r="C249" t="s">
        <v>87</v>
      </c>
      <c r="D249" t="s">
        <v>2295</v>
      </c>
      <c r="E249" t="s">
        <v>1871</v>
      </c>
      <c r="F249">
        <v>10731</v>
      </c>
    </row>
    <row r="250" spans="1:6" x14ac:dyDescent="0.25">
      <c r="A250" t="s">
        <v>2296</v>
      </c>
      <c r="B250" t="s">
        <v>163</v>
      </c>
      <c r="C250" t="s">
        <v>87</v>
      </c>
      <c r="D250" t="s">
        <v>2297</v>
      </c>
      <c r="E250" t="s">
        <v>1871</v>
      </c>
      <c r="F250">
        <v>9057</v>
      </c>
    </row>
    <row r="251" spans="1:6" x14ac:dyDescent="0.25">
      <c r="A251" t="s">
        <v>2298</v>
      </c>
      <c r="B251" t="s">
        <v>163</v>
      </c>
      <c r="C251" t="s">
        <v>87</v>
      </c>
      <c r="D251" t="s">
        <v>2114</v>
      </c>
      <c r="E251" t="s">
        <v>1879</v>
      </c>
      <c r="F251">
        <v>30674</v>
      </c>
    </row>
    <row r="252" spans="1:6" x14ac:dyDescent="0.25">
      <c r="A252" t="s">
        <v>2299</v>
      </c>
      <c r="B252" t="s">
        <v>163</v>
      </c>
      <c r="C252" t="s">
        <v>87</v>
      </c>
      <c r="D252" t="s">
        <v>2300</v>
      </c>
      <c r="E252" t="s">
        <v>1871</v>
      </c>
      <c r="F252">
        <v>14435</v>
      </c>
    </row>
    <row r="253" spans="1:6" x14ac:dyDescent="0.25">
      <c r="A253" t="s">
        <v>2301</v>
      </c>
      <c r="B253" t="s">
        <v>166</v>
      </c>
      <c r="C253" t="s">
        <v>87</v>
      </c>
      <c r="D253" t="s">
        <v>2302</v>
      </c>
      <c r="E253" t="s">
        <v>1886</v>
      </c>
      <c r="F253">
        <v>23461</v>
      </c>
    </row>
    <row r="254" spans="1:6" x14ac:dyDescent="0.25">
      <c r="A254" t="s">
        <v>2303</v>
      </c>
      <c r="B254" t="s">
        <v>166</v>
      </c>
      <c r="C254" t="s">
        <v>87</v>
      </c>
      <c r="D254" t="s">
        <v>1933</v>
      </c>
      <c r="E254" t="s">
        <v>1879</v>
      </c>
      <c r="F254">
        <v>8751</v>
      </c>
    </row>
    <row r="255" spans="1:6" x14ac:dyDescent="0.25">
      <c r="A255" t="s">
        <v>2304</v>
      </c>
      <c r="B255" t="s">
        <v>166</v>
      </c>
      <c r="C255" t="s">
        <v>87</v>
      </c>
      <c r="D255" t="s">
        <v>2305</v>
      </c>
      <c r="E255" t="s">
        <v>1876</v>
      </c>
      <c r="F255">
        <v>22737</v>
      </c>
    </row>
    <row r="256" spans="1:6" x14ac:dyDescent="0.25">
      <c r="A256" t="s">
        <v>2306</v>
      </c>
      <c r="B256" t="s">
        <v>166</v>
      </c>
      <c r="C256" t="s">
        <v>87</v>
      </c>
      <c r="D256" t="s">
        <v>2307</v>
      </c>
      <c r="E256" t="s">
        <v>1915</v>
      </c>
      <c r="F256">
        <v>35564</v>
      </c>
    </row>
    <row r="257" spans="1:6" x14ac:dyDescent="0.25">
      <c r="A257" t="s">
        <v>2308</v>
      </c>
      <c r="B257" t="s">
        <v>166</v>
      </c>
      <c r="C257" t="s">
        <v>87</v>
      </c>
      <c r="D257" t="s">
        <v>1885</v>
      </c>
      <c r="E257" t="s">
        <v>1871</v>
      </c>
      <c r="F257">
        <v>24734</v>
      </c>
    </row>
    <row r="258" spans="1:6" x14ac:dyDescent="0.25">
      <c r="A258" t="s">
        <v>2309</v>
      </c>
      <c r="B258" t="s">
        <v>166</v>
      </c>
      <c r="C258" t="s">
        <v>87</v>
      </c>
      <c r="D258" t="s">
        <v>2310</v>
      </c>
      <c r="E258" t="s">
        <v>1879</v>
      </c>
      <c r="F258">
        <v>6082</v>
      </c>
    </row>
    <row r="259" spans="1:6" x14ac:dyDescent="0.25">
      <c r="A259" t="s">
        <v>2311</v>
      </c>
      <c r="B259" t="s">
        <v>166</v>
      </c>
      <c r="C259" t="s">
        <v>87</v>
      </c>
      <c r="D259" t="s">
        <v>2312</v>
      </c>
      <c r="E259" t="s">
        <v>1879</v>
      </c>
      <c r="F259">
        <v>12393</v>
      </c>
    </row>
    <row r="260" spans="1:6" x14ac:dyDescent="0.25">
      <c r="A260" t="s">
        <v>2313</v>
      </c>
      <c r="B260" t="s">
        <v>166</v>
      </c>
      <c r="C260" t="s">
        <v>87</v>
      </c>
      <c r="D260" t="s">
        <v>2314</v>
      </c>
      <c r="E260" t="s">
        <v>1879</v>
      </c>
      <c r="F260">
        <v>1635</v>
      </c>
    </row>
    <row r="261" spans="1:6" x14ac:dyDescent="0.25">
      <c r="A261" t="s">
        <v>2315</v>
      </c>
      <c r="B261" t="s">
        <v>169</v>
      </c>
      <c r="C261" t="s">
        <v>73</v>
      </c>
      <c r="D261" t="s">
        <v>2316</v>
      </c>
      <c r="E261" t="s">
        <v>1871</v>
      </c>
      <c r="F261">
        <v>12508</v>
      </c>
    </row>
    <row r="262" spans="1:6" x14ac:dyDescent="0.25">
      <c r="A262" t="s">
        <v>2317</v>
      </c>
      <c r="B262" t="s">
        <v>169</v>
      </c>
      <c r="C262" t="s">
        <v>73</v>
      </c>
      <c r="D262" t="s">
        <v>2318</v>
      </c>
      <c r="E262" t="s">
        <v>1915</v>
      </c>
      <c r="F262">
        <v>77008</v>
      </c>
    </row>
    <row r="263" spans="1:6" x14ac:dyDescent="0.25">
      <c r="A263" t="s">
        <v>2319</v>
      </c>
      <c r="B263" t="s">
        <v>169</v>
      </c>
      <c r="C263" t="s">
        <v>73</v>
      </c>
      <c r="D263" t="s">
        <v>2320</v>
      </c>
      <c r="E263" t="s">
        <v>1886</v>
      </c>
      <c r="F263">
        <v>8581</v>
      </c>
    </row>
    <row r="264" spans="1:6" x14ac:dyDescent="0.25">
      <c r="A264" t="s">
        <v>2321</v>
      </c>
      <c r="B264" t="s">
        <v>169</v>
      </c>
      <c r="C264" t="s">
        <v>73</v>
      </c>
      <c r="D264" t="s">
        <v>2322</v>
      </c>
      <c r="E264" t="s">
        <v>1915</v>
      </c>
      <c r="F264">
        <v>41635</v>
      </c>
    </row>
    <row r="265" spans="1:6" x14ac:dyDescent="0.25">
      <c r="A265" t="s">
        <v>2323</v>
      </c>
      <c r="B265" t="s">
        <v>169</v>
      </c>
      <c r="C265" t="s">
        <v>73</v>
      </c>
      <c r="D265" t="s">
        <v>1994</v>
      </c>
      <c r="E265" t="s">
        <v>1879</v>
      </c>
      <c r="F265">
        <v>46581</v>
      </c>
    </row>
    <row r="266" spans="1:6" x14ac:dyDescent="0.25">
      <c r="A266" t="s">
        <v>2324</v>
      </c>
      <c r="B266" t="s">
        <v>169</v>
      </c>
      <c r="C266" t="s">
        <v>73</v>
      </c>
      <c r="D266" t="s">
        <v>2068</v>
      </c>
      <c r="E266" t="s">
        <v>1876</v>
      </c>
      <c r="F266">
        <v>47757</v>
      </c>
    </row>
    <row r="267" spans="1:6" x14ac:dyDescent="0.25">
      <c r="A267" t="s">
        <v>2325</v>
      </c>
      <c r="B267" t="s">
        <v>169</v>
      </c>
      <c r="C267" t="s">
        <v>73</v>
      </c>
      <c r="D267" t="s">
        <v>2326</v>
      </c>
      <c r="E267" t="s">
        <v>1879</v>
      </c>
      <c r="F267">
        <v>3834</v>
      </c>
    </row>
    <row r="268" spans="1:6" x14ac:dyDescent="0.25">
      <c r="A268" t="s">
        <v>2327</v>
      </c>
      <c r="B268" t="s">
        <v>169</v>
      </c>
      <c r="C268" t="s">
        <v>73</v>
      </c>
      <c r="D268" t="s">
        <v>2328</v>
      </c>
      <c r="E268" t="s">
        <v>1876</v>
      </c>
      <c r="F268">
        <v>16041</v>
      </c>
    </row>
    <row r="269" spans="1:6" x14ac:dyDescent="0.25">
      <c r="A269" t="s">
        <v>2329</v>
      </c>
      <c r="B269" t="s">
        <v>169</v>
      </c>
      <c r="C269" t="s">
        <v>73</v>
      </c>
      <c r="D269" t="s">
        <v>1921</v>
      </c>
      <c r="E269" t="s">
        <v>1886</v>
      </c>
      <c r="F269">
        <v>33763</v>
      </c>
    </row>
    <row r="270" spans="1:6" x14ac:dyDescent="0.25">
      <c r="A270" t="s">
        <v>2330</v>
      </c>
      <c r="B270" t="s">
        <v>169</v>
      </c>
      <c r="C270" t="s">
        <v>73</v>
      </c>
      <c r="D270" t="s">
        <v>2331</v>
      </c>
      <c r="E270" t="s">
        <v>1879</v>
      </c>
      <c r="F270">
        <v>35348</v>
      </c>
    </row>
    <row r="271" spans="1:6" x14ac:dyDescent="0.25">
      <c r="A271" t="s">
        <v>2332</v>
      </c>
      <c r="B271" t="s">
        <v>169</v>
      </c>
      <c r="C271" t="s">
        <v>73</v>
      </c>
      <c r="D271" t="s">
        <v>2333</v>
      </c>
      <c r="E271" t="s">
        <v>1879</v>
      </c>
      <c r="F271">
        <v>35937</v>
      </c>
    </row>
    <row r="272" spans="1:6" x14ac:dyDescent="0.25">
      <c r="A272" t="s">
        <v>2334</v>
      </c>
      <c r="B272" t="s">
        <v>172</v>
      </c>
      <c r="C272" t="s">
        <v>146</v>
      </c>
      <c r="D272" t="s">
        <v>1914</v>
      </c>
      <c r="E272" t="s">
        <v>1915</v>
      </c>
      <c r="F272">
        <v>16343</v>
      </c>
    </row>
    <row r="273" spans="1:6" x14ac:dyDescent="0.25">
      <c r="A273" t="s">
        <v>2335</v>
      </c>
      <c r="B273" t="s">
        <v>172</v>
      </c>
      <c r="C273" t="s">
        <v>146</v>
      </c>
      <c r="D273" t="s">
        <v>2336</v>
      </c>
      <c r="E273" t="s">
        <v>1886</v>
      </c>
      <c r="F273">
        <v>25773</v>
      </c>
    </row>
    <row r="274" spans="1:6" x14ac:dyDescent="0.25">
      <c r="A274" t="s">
        <v>2337</v>
      </c>
      <c r="B274" t="s">
        <v>172</v>
      </c>
      <c r="C274" t="s">
        <v>146</v>
      </c>
      <c r="D274" t="s">
        <v>2338</v>
      </c>
      <c r="E274" t="s">
        <v>1879</v>
      </c>
      <c r="F274">
        <v>7665</v>
      </c>
    </row>
    <row r="275" spans="1:6" x14ac:dyDescent="0.25">
      <c r="A275" t="s">
        <v>2339</v>
      </c>
      <c r="B275" t="s">
        <v>172</v>
      </c>
      <c r="C275" t="s">
        <v>146</v>
      </c>
      <c r="D275" t="s">
        <v>1998</v>
      </c>
      <c r="E275" t="s">
        <v>1915</v>
      </c>
      <c r="F275">
        <v>14154</v>
      </c>
    </row>
    <row r="276" spans="1:6" x14ac:dyDescent="0.25">
      <c r="A276" t="s">
        <v>2340</v>
      </c>
      <c r="B276" t="s">
        <v>172</v>
      </c>
      <c r="C276" t="s">
        <v>146</v>
      </c>
      <c r="D276" t="s">
        <v>2341</v>
      </c>
      <c r="E276" t="s">
        <v>1871</v>
      </c>
      <c r="F276">
        <v>9047</v>
      </c>
    </row>
    <row r="277" spans="1:6" x14ac:dyDescent="0.25">
      <c r="A277" t="s">
        <v>2342</v>
      </c>
      <c r="B277" t="s">
        <v>172</v>
      </c>
      <c r="C277" t="s">
        <v>146</v>
      </c>
      <c r="D277" t="s">
        <v>2343</v>
      </c>
      <c r="E277" t="s">
        <v>1886</v>
      </c>
      <c r="F277">
        <v>7225</v>
      </c>
    </row>
    <row r="278" spans="1:6" x14ac:dyDescent="0.25">
      <c r="A278" t="s">
        <v>2344</v>
      </c>
      <c r="B278" t="s">
        <v>175</v>
      </c>
      <c r="C278" t="s">
        <v>146</v>
      </c>
      <c r="D278" t="s">
        <v>2185</v>
      </c>
      <c r="E278" t="s">
        <v>1915</v>
      </c>
      <c r="F278">
        <v>29480</v>
      </c>
    </row>
    <row r="279" spans="1:6" x14ac:dyDescent="0.25">
      <c r="A279" t="s">
        <v>2345</v>
      </c>
      <c r="B279" t="s">
        <v>175</v>
      </c>
      <c r="C279" t="s">
        <v>146</v>
      </c>
      <c r="D279" t="s">
        <v>2346</v>
      </c>
      <c r="E279" t="s">
        <v>1915</v>
      </c>
      <c r="F279">
        <v>19679</v>
      </c>
    </row>
    <row r="280" spans="1:6" x14ac:dyDescent="0.25">
      <c r="A280" t="s">
        <v>2347</v>
      </c>
      <c r="B280" t="s">
        <v>175</v>
      </c>
      <c r="C280" t="s">
        <v>146</v>
      </c>
      <c r="D280" t="s">
        <v>2263</v>
      </c>
      <c r="E280" t="s">
        <v>1871</v>
      </c>
      <c r="F280">
        <v>14637</v>
      </c>
    </row>
    <row r="281" spans="1:6" x14ac:dyDescent="0.25">
      <c r="A281" t="s">
        <v>2348</v>
      </c>
      <c r="B281" t="s">
        <v>175</v>
      </c>
      <c r="C281" t="s">
        <v>146</v>
      </c>
      <c r="D281" t="s">
        <v>1904</v>
      </c>
      <c r="E281" t="s">
        <v>1915</v>
      </c>
      <c r="F281">
        <v>48442</v>
      </c>
    </row>
    <row r="282" spans="1:6" x14ac:dyDescent="0.25">
      <c r="A282" t="s">
        <v>2349</v>
      </c>
      <c r="B282" t="s">
        <v>175</v>
      </c>
      <c r="C282" t="s">
        <v>146</v>
      </c>
      <c r="D282" t="s">
        <v>2350</v>
      </c>
      <c r="E282" t="s">
        <v>1886</v>
      </c>
      <c r="F282">
        <v>32319</v>
      </c>
    </row>
    <row r="283" spans="1:6" x14ac:dyDescent="0.25">
      <c r="A283" t="s">
        <v>2351</v>
      </c>
      <c r="B283" t="s">
        <v>175</v>
      </c>
      <c r="C283" t="s">
        <v>146</v>
      </c>
      <c r="D283" t="s">
        <v>2352</v>
      </c>
      <c r="E283" t="s">
        <v>1915</v>
      </c>
      <c r="F283">
        <v>49731</v>
      </c>
    </row>
    <row r="284" spans="1:6" x14ac:dyDescent="0.25">
      <c r="A284" t="s">
        <v>2353</v>
      </c>
      <c r="B284" t="s">
        <v>175</v>
      </c>
      <c r="C284" t="s">
        <v>146</v>
      </c>
      <c r="D284" t="s">
        <v>2163</v>
      </c>
      <c r="E284" t="s">
        <v>1876</v>
      </c>
      <c r="F284">
        <v>8029</v>
      </c>
    </row>
    <row r="285" spans="1:6" x14ac:dyDescent="0.25">
      <c r="A285" t="s">
        <v>2354</v>
      </c>
      <c r="B285" t="s">
        <v>175</v>
      </c>
      <c r="C285" t="s">
        <v>146</v>
      </c>
      <c r="D285" t="s">
        <v>2355</v>
      </c>
      <c r="E285" t="s">
        <v>1879</v>
      </c>
      <c r="F285">
        <v>21171</v>
      </c>
    </row>
    <row r="286" spans="1:6" x14ac:dyDescent="0.25">
      <c r="A286" t="s">
        <v>2356</v>
      </c>
      <c r="B286" t="s">
        <v>175</v>
      </c>
      <c r="C286" t="s">
        <v>146</v>
      </c>
      <c r="D286" t="s">
        <v>2357</v>
      </c>
      <c r="E286" t="s">
        <v>1879</v>
      </c>
      <c r="F286">
        <v>25543</v>
      </c>
    </row>
    <row r="287" spans="1:6" x14ac:dyDescent="0.25">
      <c r="A287" t="s">
        <v>2358</v>
      </c>
      <c r="B287" t="s">
        <v>175</v>
      </c>
      <c r="C287" t="s">
        <v>146</v>
      </c>
      <c r="D287" t="s">
        <v>2359</v>
      </c>
      <c r="E287" t="s">
        <v>1871</v>
      </c>
      <c r="F287">
        <v>11072</v>
      </c>
    </row>
    <row r="288" spans="1:6" x14ac:dyDescent="0.25">
      <c r="A288" t="s">
        <v>2360</v>
      </c>
      <c r="B288" t="s">
        <v>175</v>
      </c>
      <c r="C288" t="s">
        <v>146</v>
      </c>
      <c r="D288" t="s">
        <v>1951</v>
      </c>
      <c r="E288" t="s">
        <v>1915</v>
      </c>
      <c r="F288">
        <v>26906</v>
      </c>
    </row>
    <row r="289" spans="1:6" x14ac:dyDescent="0.25">
      <c r="A289" t="s">
        <v>2361</v>
      </c>
      <c r="B289" t="s">
        <v>178</v>
      </c>
      <c r="C289" t="s">
        <v>87</v>
      </c>
      <c r="D289" t="s">
        <v>2362</v>
      </c>
      <c r="E289" t="s">
        <v>1876</v>
      </c>
      <c r="F289">
        <v>2755</v>
      </c>
    </row>
    <row r="290" spans="1:6" x14ac:dyDescent="0.25">
      <c r="A290" t="s">
        <v>2363</v>
      </c>
      <c r="B290" t="s">
        <v>178</v>
      </c>
      <c r="C290" t="s">
        <v>87</v>
      </c>
      <c r="D290" t="s">
        <v>2364</v>
      </c>
      <c r="E290" t="s">
        <v>1876</v>
      </c>
      <c r="F290">
        <v>22718</v>
      </c>
    </row>
    <row r="291" spans="1:6" x14ac:dyDescent="0.25">
      <c r="A291" t="s">
        <v>2365</v>
      </c>
      <c r="B291" t="s">
        <v>178</v>
      </c>
      <c r="C291" t="s">
        <v>87</v>
      </c>
      <c r="D291" t="s">
        <v>2366</v>
      </c>
      <c r="E291" t="s">
        <v>1915</v>
      </c>
      <c r="F291">
        <v>26614</v>
      </c>
    </row>
    <row r="292" spans="1:6" x14ac:dyDescent="0.25">
      <c r="A292" t="s">
        <v>2367</v>
      </c>
      <c r="B292" t="s">
        <v>178</v>
      </c>
      <c r="C292" t="s">
        <v>87</v>
      </c>
      <c r="D292" t="s">
        <v>2224</v>
      </c>
      <c r="E292" t="s">
        <v>1871</v>
      </c>
      <c r="F292">
        <v>12853</v>
      </c>
    </row>
    <row r="293" spans="1:6" x14ac:dyDescent="0.25">
      <c r="A293" t="s">
        <v>2368</v>
      </c>
      <c r="B293" t="s">
        <v>178</v>
      </c>
      <c r="C293" t="s">
        <v>87</v>
      </c>
      <c r="D293" t="s">
        <v>2181</v>
      </c>
      <c r="E293" t="s">
        <v>1871</v>
      </c>
      <c r="F293">
        <v>7117</v>
      </c>
    </row>
    <row r="294" spans="1:6" x14ac:dyDescent="0.25">
      <c r="A294" t="s">
        <v>2369</v>
      </c>
      <c r="B294" t="s">
        <v>178</v>
      </c>
      <c r="C294" t="s">
        <v>87</v>
      </c>
      <c r="D294" t="s">
        <v>1917</v>
      </c>
      <c r="E294" t="s">
        <v>1871</v>
      </c>
      <c r="F294">
        <v>13551</v>
      </c>
    </row>
    <row r="295" spans="1:6" x14ac:dyDescent="0.25">
      <c r="A295" t="s">
        <v>2370</v>
      </c>
      <c r="B295" t="s">
        <v>178</v>
      </c>
      <c r="C295" t="s">
        <v>87</v>
      </c>
      <c r="D295" t="s">
        <v>1919</v>
      </c>
      <c r="E295" t="s">
        <v>1871</v>
      </c>
      <c r="F295">
        <v>14170</v>
      </c>
    </row>
    <row r="296" spans="1:6" x14ac:dyDescent="0.25">
      <c r="A296" t="s">
        <v>2371</v>
      </c>
      <c r="B296" t="s">
        <v>178</v>
      </c>
      <c r="C296" t="s">
        <v>87</v>
      </c>
      <c r="D296" t="s">
        <v>1988</v>
      </c>
      <c r="E296" t="s">
        <v>1879</v>
      </c>
      <c r="F296">
        <v>5701</v>
      </c>
    </row>
    <row r="297" spans="1:6" x14ac:dyDescent="0.25">
      <c r="A297" t="s">
        <v>2372</v>
      </c>
      <c r="B297" t="s">
        <v>178</v>
      </c>
      <c r="C297" t="s">
        <v>87</v>
      </c>
      <c r="D297" t="s">
        <v>2221</v>
      </c>
      <c r="E297" t="s">
        <v>1886</v>
      </c>
      <c r="F297">
        <v>2202</v>
      </c>
    </row>
    <row r="298" spans="1:6" x14ac:dyDescent="0.25">
      <c r="A298" t="s">
        <v>2373</v>
      </c>
      <c r="B298" t="s">
        <v>178</v>
      </c>
      <c r="C298" t="s">
        <v>87</v>
      </c>
      <c r="D298" t="s">
        <v>2117</v>
      </c>
      <c r="E298" t="s">
        <v>1886</v>
      </c>
      <c r="F298">
        <v>2967</v>
      </c>
    </row>
    <row r="299" spans="1:6" x14ac:dyDescent="0.25">
      <c r="A299" t="s">
        <v>2374</v>
      </c>
      <c r="B299" t="s">
        <v>178</v>
      </c>
      <c r="C299" t="s">
        <v>87</v>
      </c>
      <c r="D299" t="s">
        <v>1933</v>
      </c>
      <c r="E299" t="s">
        <v>1871</v>
      </c>
      <c r="F299">
        <v>5295</v>
      </c>
    </row>
    <row r="300" spans="1:6" x14ac:dyDescent="0.25">
      <c r="A300" t="s">
        <v>2375</v>
      </c>
      <c r="B300" t="s">
        <v>181</v>
      </c>
      <c r="C300" t="s">
        <v>87</v>
      </c>
      <c r="D300" t="s">
        <v>2364</v>
      </c>
      <c r="E300" t="s">
        <v>1876</v>
      </c>
      <c r="F300">
        <v>10174</v>
      </c>
    </row>
    <row r="301" spans="1:6" x14ac:dyDescent="0.25">
      <c r="A301" t="s">
        <v>2376</v>
      </c>
      <c r="B301" t="s">
        <v>181</v>
      </c>
      <c r="C301" t="s">
        <v>87</v>
      </c>
      <c r="D301" t="s">
        <v>1908</v>
      </c>
      <c r="E301" t="s">
        <v>1915</v>
      </c>
      <c r="F301">
        <v>4798</v>
      </c>
    </row>
    <row r="302" spans="1:6" x14ac:dyDescent="0.25">
      <c r="A302" t="s">
        <v>2377</v>
      </c>
      <c r="B302" t="s">
        <v>181</v>
      </c>
      <c r="C302" t="s">
        <v>87</v>
      </c>
      <c r="D302" t="s">
        <v>2378</v>
      </c>
      <c r="E302" t="s">
        <v>1915</v>
      </c>
      <c r="F302">
        <v>17082</v>
      </c>
    </row>
    <row r="303" spans="1:6" x14ac:dyDescent="0.25">
      <c r="A303" t="s">
        <v>2379</v>
      </c>
      <c r="B303" t="s">
        <v>181</v>
      </c>
      <c r="C303" t="s">
        <v>87</v>
      </c>
      <c r="D303" t="s">
        <v>2380</v>
      </c>
      <c r="E303" t="s">
        <v>1879</v>
      </c>
      <c r="F303">
        <v>1995</v>
      </c>
    </row>
    <row r="304" spans="1:6" x14ac:dyDescent="0.25">
      <c r="A304" t="s">
        <v>2381</v>
      </c>
      <c r="B304" t="s">
        <v>181</v>
      </c>
      <c r="C304" t="s">
        <v>87</v>
      </c>
      <c r="D304" t="s">
        <v>2382</v>
      </c>
      <c r="E304" t="s">
        <v>1915</v>
      </c>
      <c r="F304">
        <v>23214</v>
      </c>
    </row>
    <row r="305" spans="1:6" x14ac:dyDescent="0.25">
      <c r="A305" t="s">
        <v>2383</v>
      </c>
      <c r="B305" t="s">
        <v>181</v>
      </c>
      <c r="C305" t="s">
        <v>87</v>
      </c>
      <c r="D305" t="s">
        <v>2026</v>
      </c>
      <c r="E305" t="s">
        <v>1915</v>
      </c>
      <c r="F305">
        <v>7354</v>
      </c>
    </row>
    <row r="306" spans="1:6" x14ac:dyDescent="0.25">
      <c r="A306" t="s">
        <v>2384</v>
      </c>
      <c r="B306" t="s">
        <v>184</v>
      </c>
      <c r="C306" t="s">
        <v>96</v>
      </c>
      <c r="D306" t="s">
        <v>2221</v>
      </c>
      <c r="E306" t="s">
        <v>1886</v>
      </c>
      <c r="F306">
        <v>25888</v>
      </c>
    </row>
    <row r="307" spans="1:6" x14ac:dyDescent="0.25">
      <c r="A307" t="s">
        <v>2385</v>
      </c>
      <c r="B307" t="s">
        <v>184</v>
      </c>
      <c r="C307" t="s">
        <v>96</v>
      </c>
      <c r="D307" t="s">
        <v>1975</v>
      </c>
      <c r="E307" t="s">
        <v>1876</v>
      </c>
      <c r="F307">
        <v>33609</v>
      </c>
    </row>
    <row r="308" spans="1:6" x14ac:dyDescent="0.25">
      <c r="A308" t="s">
        <v>2386</v>
      </c>
      <c r="B308" t="s">
        <v>184</v>
      </c>
      <c r="C308" t="s">
        <v>96</v>
      </c>
      <c r="D308" t="s">
        <v>2387</v>
      </c>
      <c r="E308" t="s">
        <v>1871</v>
      </c>
      <c r="F308">
        <v>4545</v>
      </c>
    </row>
    <row r="309" spans="1:6" x14ac:dyDescent="0.25">
      <c r="A309" t="s">
        <v>2388</v>
      </c>
      <c r="B309" t="s">
        <v>184</v>
      </c>
      <c r="C309" t="s">
        <v>96</v>
      </c>
      <c r="D309" t="s">
        <v>1910</v>
      </c>
      <c r="E309" t="s">
        <v>1871</v>
      </c>
      <c r="F309">
        <v>21536</v>
      </c>
    </row>
    <row r="310" spans="1:6" x14ac:dyDescent="0.25">
      <c r="A310" t="s">
        <v>2389</v>
      </c>
      <c r="B310" t="s">
        <v>184</v>
      </c>
      <c r="C310" t="s">
        <v>96</v>
      </c>
      <c r="D310" t="s">
        <v>1912</v>
      </c>
      <c r="E310" t="s">
        <v>1879</v>
      </c>
      <c r="F310">
        <v>5938</v>
      </c>
    </row>
    <row r="311" spans="1:6" x14ac:dyDescent="0.25">
      <c r="A311" t="s">
        <v>2390</v>
      </c>
      <c r="B311" t="s">
        <v>184</v>
      </c>
      <c r="C311" t="s">
        <v>96</v>
      </c>
      <c r="D311" t="s">
        <v>1990</v>
      </c>
      <c r="E311" t="s">
        <v>1879</v>
      </c>
      <c r="F311">
        <v>26977</v>
      </c>
    </row>
    <row r="312" spans="1:6" x14ac:dyDescent="0.25">
      <c r="A312" t="s">
        <v>2391</v>
      </c>
      <c r="B312" t="s">
        <v>184</v>
      </c>
      <c r="C312" t="s">
        <v>96</v>
      </c>
      <c r="D312" t="s">
        <v>1964</v>
      </c>
      <c r="E312" t="s">
        <v>1915</v>
      </c>
      <c r="F312">
        <v>17352</v>
      </c>
    </row>
    <row r="313" spans="1:6" x14ac:dyDescent="0.25">
      <c r="A313" t="s">
        <v>2392</v>
      </c>
      <c r="B313" t="s">
        <v>184</v>
      </c>
      <c r="C313" t="s">
        <v>96</v>
      </c>
      <c r="D313" t="s">
        <v>2148</v>
      </c>
      <c r="E313" t="s">
        <v>1886</v>
      </c>
      <c r="F313">
        <v>28297</v>
      </c>
    </row>
    <row r="314" spans="1:6" x14ac:dyDescent="0.25">
      <c r="A314" t="s">
        <v>2393</v>
      </c>
      <c r="B314" t="s">
        <v>184</v>
      </c>
      <c r="C314" t="s">
        <v>96</v>
      </c>
      <c r="D314" t="s">
        <v>1933</v>
      </c>
      <c r="E314" t="s">
        <v>1886</v>
      </c>
      <c r="F314">
        <v>9981</v>
      </c>
    </row>
    <row r="315" spans="1:6" x14ac:dyDescent="0.25">
      <c r="A315" t="s">
        <v>2394</v>
      </c>
      <c r="B315" t="s">
        <v>184</v>
      </c>
      <c r="C315" t="s">
        <v>96</v>
      </c>
      <c r="D315" t="s">
        <v>2395</v>
      </c>
      <c r="E315" t="s">
        <v>1876</v>
      </c>
      <c r="F315">
        <v>3870</v>
      </c>
    </row>
    <row r="316" spans="1:6" x14ac:dyDescent="0.25">
      <c r="A316" t="s">
        <v>2396</v>
      </c>
      <c r="B316" t="s">
        <v>184</v>
      </c>
      <c r="C316" t="s">
        <v>96</v>
      </c>
      <c r="D316" t="s">
        <v>1955</v>
      </c>
      <c r="E316" t="s">
        <v>1886</v>
      </c>
      <c r="F316">
        <v>2364</v>
      </c>
    </row>
    <row r="317" spans="1:6" x14ac:dyDescent="0.25">
      <c r="A317" t="s">
        <v>2397</v>
      </c>
      <c r="B317" t="s">
        <v>187</v>
      </c>
      <c r="C317" t="s">
        <v>73</v>
      </c>
      <c r="D317" t="s">
        <v>2088</v>
      </c>
      <c r="E317" t="s">
        <v>1915</v>
      </c>
      <c r="F317">
        <v>8332</v>
      </c>
    </row>
    <row r="318" spans="1:6" x14ac:dyDescent="0.25">
      <c r="A318" t="s">
        <v>2398</v>
      </c>
      <c r="B318" t="s">
        <v>187</v>
      </c>
      <c r="C318" t="s">
        <v>73</v>
      </c>
      <c r="D318" t="s">
        <v>2399</v>
      </c>
      <c r="E318" t="s">
        <v>1915</v>
      </c>
      <c r="F318">
        <v>11961</v>
      </c>
    </row>
    <row r="319" spans="1:6" x14ac:dyDescent="0.25">
      <c r="A319" t="s">
        <v>2400</v>
      </c>
      <c r="B319" t="s">
        <v>187</v>
      </c>
      <c r="C319" t="s">
        <v>73</v>
      </c>
      <c r="D319" t="s">
        <v>2401</v>
      </c>
      <c r="E319" t="s">
        <v>1915</v>
      </c>
      <c r="F319">
        <v>9730</v>
      </c>
    </row>
    <row r="320" spans="1:6" x14ac:dyDescent="0.25">
      <c r="A320" t="s">
        <v>2402</v>
      </c>
      <c r="B320" t="s">
        <v>187</v>
      </c>
      <c r="C320" t="s">
        <v>73</v>
      </c>
      <c r="D320" t="s">
        <v>1906</v>
      </c>
      <c r="E320" t="s">
        <v>1915</v>
      </c>
      <c r="F320">
        <v>1960</v>
      </c>
    </row>
    <row r="321" spans="1:6" x14ac:dyDescent="0.25">
      <c r="A321" t="s">
        <v>2403</v>
      </c>
      <c r="B321" t="s">
        <v>187</v>
      </c>
      <c r="C321" t="s">
        <v>73</v>
      </c>
      <c r="D321" t="s">
        <v>2404</v>
      </c>
      <c r="E321" t="s">
        <v>1871</v>
      </c>
      <c r="F321">
        <v>3079</v>
      </c>
    </row>
    <row r="322" spans="1:6" x14ac:dyDescent="0.25">
      <c r="A322" t="s">
        <v>2405</v>
      </c>
      <c r="B322" t="s">
        <v>187</v>
      </c>
      <c r="C322" t="s">
        <v>73</v>
      </c>
      <c r="D322" t="s">
        <v>1953</v>
      </c>
      <c r="E322" t="s">
        <v>1886</v>
      </c>
      <c r="F322">
        <v>26934</v>
      </c>
    </row>
    <row r="323" spans="1:6" x14ac:dyDescent="0.25">
      <c r="A323" t="s">
        <v>2406</v>
      </c>
      <c r="B323" t="s">
        <v>187</v>
      </c>
      <c r="C323" t="s">
        <v>73</v>
      </c>
      <c r="D323" t="s">
        <v>2101</v>
      </c>
      <c r="E323" t="s">
        <v>1876</v>
      </c>
      <c r="F323">
        <v>5773</v>
      </c>
    </row>
    <row r="324" spans="1:6" x14ac:dyDescent="0.25">
      <c r="A324" t="s">
        <v>2407</v>
      </c>
      <c r="B324" t="s">
        <v>190</v>
      </c>
      <c r="C324" t="s">
        <v>96</v>
      </c>
      <c r="D324" t="s">
        <v>1890</v>
      </c>
      <c r="E324" t="s">
        <v>1871</v>
      </c>
      <c r="F324">
        <v>5890</v>
      </c>
    </row>
    <row r="325" spans="1:6" x14ac:dyDescent="0.25">
      <c r="A325" t="s">
        <v>2408</v>
      </c>
      <c r="B325" t="s">
        <v>190</v>
      </c>
      <c r="C325" t="s">
        <v>96</v>
      </c>
      <c r="D325" t="s">
        <v>2409</v>
      </c>
      <c r="E325" t="s">
        <v>1886</v>
      </c>
      <c r="F325">
        <v>24685</v>
      </c>
    </row>
    <row r="326" spans="1:6" x14ac:dyDescent="0.25">
      <c r="A326" t="s">
        <v>2410</v>
      </c>
      <c r="B326" t="s">
        <v>190</v>
      </c>
      <c r="C326" t="s">
        <v>96</v>
      </c>
      <c r="D326" t="s">
        <v>1883</v>
      </c>
      <c r="E326" t="s">
        <v>1915</v>
      </c>
      <c r="F326">
        <v>46141</v>
      </c>
    </row>
    <row r="327" spans="1:6" x14ac:dyDescent="0.25">
      <c r="A327" t="s">
        <v>2411</v>
      </c>
      <c r="B327" t="s">
        <v>190</v>
      </c>
      <c r="C327" t="s">
        <v>96</v>
      </c>
      <c r="D327" t="s">
        <v>2412</v>
      </c>
      <c r="E327" t="s">
        <v>1915</v>
      </c>
      <c r="F327">
        <v>39283</v>
      </c>
    </row>
    <row r="328" spans="1:6" x14ac:dyDescent="0.25">
      <c r="A328" t="s">
        <v>2413</v>
      </c>
      <c r="B328" t="s">
        <v>190</v>
      </c>
      <c r="C328" t="s">
        <v>96</v>
      </c>
      <c r="D328" t="s">
        <v>2409</v>
      </c>
      <c r="E328" t="s">
        <v>1879</v>
      </c>
      <c r="F328">
        <v>26697</v>
      </c>
    </row>
    <row r="329" spans="1:6" x14ac:dyDescent="0.25">
      <c r="A329" t="s">
        <v>2414</v>
      </c>
      <c r="B329" t="s">
        <v>190</v>
      </c>
      <c r="C329" t="s">
        <v>96</v>
      </c>
      <c r="D329" t="s">
        <v>1933</v>
      </c>
      <c r="E329" t="s">
        <v>1886</v>
      </c>
      <c r="F329">
        <v>31690</v>
      </c>
    </row>
    <row r="330" spans="1:6" x14ac:dyDescent="0.25">
      <c r="A330" t="s">
        <v>2415</v>
      </c>
      <c r="B330" t="s">
        <v>190</v>
      </c>
      <c r="C330" t="s">
        <v>96</v>
      </c>
      <c r="D330" t="s">
        <v>2416</v>
      </c>
      <c r="E330" t="s">
        <v>1915</v>
      </c>
      <c r="F330">
        <v>8157</v>
      </c>
    </row>
    <row r="331" spans="1:6" x14ac:dyDescent="0.25">
      <c r="A331" t="s">
        <v>2417</v>
      </c>
      <c r="B331" t="s">
        <v>190</v>
      </c>
      <c r="C331" t="s">
        <v>96</v>
      </c>
      <c r="D331" t="s">
        <v>2085</v>
      </c>
      <c r="E331" t="s">
        <v>1871</v>
      </c>
      <c r="F331">
        <v>10108</v>
      </c>
    </row>
    <row r="332" spans="1:6" x14ac:dyDescent="0.25">
      <c r="A332" t="s">
        <v>2418</v>
      </c>
      <c r="B332" t="s">
        <v>190</v>
      </c>
      <c r="C332" t="s">
        <v>96</v>
      </c>
      <c r="D332" t="s">
        <v>2221</v>
      </c>
      <c r="E332" t="s">
        <v>1879</v>
      </c>
      <c r="F332">
        <v>7440</v>
      </c>
    </row>
    <row r="333" spans="1:6" x14ac:dyDescent="0.25">
      <c r="A333" t="s">
        <v>2419</v>
      </c>
      <c r="B333" t="s">
        <v>190</v>
      </c>
      <c r="C333" t="s">
        <v>96</v>
      </c>
      <c r="D333" t="s">
        <v>2165</v>
      </c>
      <c r="E333" t="s">
        <v>1879</v>
      </c>
      <c r="F333">
        <v>19628</v>
      </c>
    </row>
    <row r="334" spans="1:6" x14ac:dyDescent="0.25">
      <c r="A334" t="s">
        <v>2420</v>
      </c>
      <c r="B334" t="s">
        <v>190</v>
      </c>
      <c r="C334" t="s">
        <v>96</v>
      </c>
      <c r="D334" t="s">
        <v>2421</v>
      </c>
      <c r="E334" t="s">
        <v>1879</v>
      </c>
      <c r="F334">
        <v>20054</v>
      </c>
    </row>
    <row r="335" spans="1:6" x14ac:dyDescent="0.25">
      <c r="A335" t="s">
        <v>2422</v>
      </c>
      <c r="B335" t="s">
        <v>190</v>
      </c>
      <c r="C335" t="s">
        <v>96</v>
      </c>
      <c r="D335" t="s">
        <v>2423</v>
      </c>
      <c r="E335" t="s">
        <v>1871</v>
      </c>
      <c r="F335">
        <v>29901</v>
      </c>
    </row>
    <row r="336" spans="1:6" x14ac:dyDescent="0.25">
      <c r="A336" t="s">
        <v>2424</v>
      </c>
      <c r="B336" t="s">
        <v>193</v>
      </c>
      <c r="C336" t="s">
        <v>146</v>
      </c>
      <c r="D336" t="s">
        <v>2425</v>
      </c>
      <c r="E336" t="s">
        <v>1915</v>
      </c>
      <c r="F336">
        <v>3269</v>
      </c>
    </row>
    <row r="337" spans="1:6" x14ac:dyDescent="0.25">
      <c r="A337" t="s">
        <v>2426</v>
      </c>
      <c r="B337" t="s">
        <v>193</v>
      </c>
      <c r="C337" t="s">
        <v>146</v>
      </c>
      <c r="D337" t="s">
        <v>2427</v>
      </c>
      <c r="E337" t="s">
        <v>1886</v>
      </c>
      <c r="F337">
        <v>14313</v>
      </c>
    </row>
    <row r="338" spans="1:6" x14ac:dyDescent="0.25">
      <c r="A338" t="s">
        <v>2428</v>
      </c>
      <c r="B338" t="s">
        <v>193</v>
      </c>
      <c r="C338" t="s">
        <v>146</v>
      </c>
      <c r="D338" t="s">
        <v>2252</v>
      </c>
      <c r="E338" t="s">
        <v>1915</v>
      </c>
      <c r="F338">
        <v>3796</v>
      </c>
    </row>
    <row r="339" spans="1:6" x14ac:dyDescent="0.25">
      <c r="A339" t="s">
        <v>2429</v>
      </c>
      <c r="B339" t="s">
        <v>193</v>
      </c>
      <c r="C339" t="s">
        <v>146</v>
      </c>
      <c r="D339" t="s">
        <v>2430</v>
      </c>
      <c r="E339" t="s">
        <v>1879</v>
      </c>
      <c r="F339">
        <v>5846</v>
      </c>
    </row>
    <row r="340" spans="1:6" x14ac:dyDescent="0.25">
      <c r="A340" t="s">
        <v>2431</v>
      </c>
      <c r="B340" t="s">
        <v>193</v>
      </c>
      <c r="C340" t="s">
        <v>146</v>
      </c>
      <c r="D340" t="s">
        <v>2432</v>
      </c>
      <c r="E340" t="s">
        <v>1915</v>
      </c>
      <c r="F340">
        <v>8957</v>
      </c>
    </row>
    <row r="341" spans="1:6" x14ac:dyDescent="0.25">
      <c r="A341" t="s">
        <v>2433</v>
      </c>
      <c r="B341" t="s">
        <v>193</v>
      </c>
      <c r="C341" t="s">
        <v>146</v>
      </c>
      <c r="D341" t="s">
        <v>2434</v>
      </c>
      <c r="E341" t="s">
        <v>1879</v>
      </c>
      <c r="F341">
        <v>13364</v>
      </c>
    </row>
    <row r="342" spans="1:6" x14ac:dyDescent="0.25">
      <c r="A342" t="s">
        <v>2435</v>
      </c>
      <c r="B342" t="s">
        <v>193</v>
      </c>
      <c r="C342" t="s">
        <v>146</v>
      </c>
      <c r="D342" t="s">
        <v>2295</v>
      </c>
      <c r="E342" t="s">
        <v>1886</v>
      </c>
      <c r="F342">
        <v>29381</v>
      </c>
    </row>
    <row r="343" spans="1:6" x14ac:dyDescent="0.25">
      <c r="A343" t="s">
        <v>2436</v>
      </c>
      <c r="B343" t="s">
        <v>193</v>
      </c>
      <c r="C343" t="s">
        <v>146</v>
      </c>
      <c r="D343" t="s">
        <v>2437</v>
      </c>
      <c r="E343" t="s">
        <v>1886</v>
      </c>
      <c r="F343">
        <v>12687</v>
      </c>
    </row>
    <row r="344" spans="1:6" x14ac:dyDescent="0.25">
      <c r="A344" t="s">
        <v>2438</v>
      </c>
      <c r="B344" t="s">
        <v>193</v>
      </c>
      <c r="C344" t="s">
        <v>146</v>
      </c>
      <c r="D344" t="s">
        <v>2439</v>
      </c>
      <c r="E344" t="s">
        <v>1879</v>
      </c>
      <c r="F344">
        <v>6120</v>
      </c>
    </row>
    <row r="345" spans="1:6" x14ac:dyDescent="0.25">
      <c r="A345" t="s">
        <v>2440</v>
      </c>
      <c r="B345" t="s">
        <v>193</v>
      </c>
      <c r="C345" t="s">
        <v>146</v>
      </c>
      <c r="D345" t="s">
        <v>2441</v>
      </c>
      <c r="E345" t="s">
        <v>1871</v>
      </c>
      <c r="F345">
        <v>16854</v>
      </c>
    </row>
    <row r="346" spans="1:6" x14ac:dyDescent="0.25">
      <c r="A346" t="s">
        <v>2442</v>
      </c>
      <c r="B346" t="s">
        <v>193</v>
      </c>
      <c r="C346" t="s">
        <v>146</v>
      </c>
      <c r="D346" t="s">
        <v>2443</v>
      </c>
      <c r="E346" t="s">
        <v>1879</v>
      </c>
      <c r="F346">
        <v>3087</v>
      </c>
    </row>
    <row r="347" spans="1:6" x14ac:dyDescent="0.25">
      <c r="A347" t="s">
        <v>2444</v>
      </c>
      <c r="B347" t="s">
        <v>196</v>
      </c>
      <c r="C347" t="s">
        <v>51</v>
      </c>
      <c r="D347" t="s">
        <v>2445</v>
      </c>
      <c r="E347" t="s">
        <v>1876</v>
      </c>
      <c r="F347">
        <v>8966</v>
      </c>
    </row>
    <row r="348" spans="1:6" x14ac:dyDescent="0.25">
      <c r="A348" t="s">
        <v>2446</v>
      </c>
      <c r="B348" t="s">
        <v>196</v>
      </c>
      <c r="C348" t="s">
        <v>51</v>
      </c>
      <c r="D348" t="s">
        <v>2016</v>
      </c>
      <c r="E348" t="s">
        <v>1879</v>
      </c>
      <c r="F348">
        <v>9931</v>
      </c>
    </row>
    <row r="349" spans="1:6" x14ac:dyDescent="0.25">
      <c r="A349" t="s">
        <v>2447</v>
      </c>
      <c r="B349" t="s">
        <v>196</v>
      </c>
      <c r="C349" t="s">
        <v>51</v>
      </c>
      <c r="D349" t="s">
        <v>1908</v>
      </c>
      <c r="E349" t="s">
        <v>1915</v>
      </c>
      <c r="F349">
        <v>4669</v>
      </c>
    </row>
    <row r="350" spans="1:6" x14ac:dyDescent="0.25">
      <c r="A350" t="s">
        <v>2448</v>
      </c>
      <c r="B350" t="s">
        <v>196</v>
      </c>
      <c r="C350" t="s">
        <v>51</v>
      </c>
      <c r="D350" t="s">
        <v>2097</v>
      </c>
      <c r="E350" t="s">
        <v>1879</v>
      </c>
      <c r="F350">
        <v>4942</v>
      </c>
    </row>
    <row r="351" spans="1:6" x14ac:dyDescent="0.25">
      <c r="A351" t="s">
        <v>2449</v>
      </c>
      <c r="B351" t="s">
        <v>196</v>
      </c>
      <c r="C351" t="s">
        <v>51</v>
      </c>
      <c r="D351" t="s">
        <v>2450</v>
      </c>
      <c r="E351" t="s">
        <v>1871</v>
      </c>
      <c r="F351">
        <v>2471</v>
      </c>
    </row>
    <row r="352" spans="1:6" x14ac:dyDescent="0.25">
      <c r="A352" t="s">
        <v>2451</v>
      </c>
      <c r="B352" t="s">
        <v>196</v>
      </c>
      <c r="C352" t="s">
        <v>51</v>
      </c>
      <c r="D352" t="s">
        <v>2040</v>
      </c>
      <c r="E352" t="s">
        <v>1871</v>
      </c>
      <c r="F352">
        <v>11382</v>
      </c>
    </row>
    <row r="353" spans="1:6" x14ac:dyDescent="0.25">
      <c r="A353" t="s">
        <v>2452</v>
      </c>
      <c r="B353" t="s">
        <v>196</v>
      </c>
      <c r="C353" t="s">
        <v>51</v>
      </c>
      <c r="D353" t="s">
        <v>2395</v>
      </c>
      <c r="E353" t="s">
        <v>1876</v>
      </c>
      <c r="F353">
        <v>10951</v>
      </c>
    </row>
    <row r="354" spans="1:6" x14ac:dyDescent="0.25">
      <c r="A354" t="s">
        <v>2453</v>
      </c>
      <c r="B354" t="s">
        <v>196</v>
      </c>
      <c r="C354" t="s">
        <v>51</v>
      </c>
      <c r="D354" t="s">
        <v>2338</v>
      </c>
      <c r="E354" t="s">
        <v>1915</v>
      </c>
      <c r="F354">
        <v>20642</v>
      </c>
    </row>
    <row r="355" spans="1:6" x14ac:dyDescent="0.25">
      <c r="A355" t="s">
        <v>2454</v>
      </c>
      <c r="B355" t="s">
        <v>199</v>
      </c>
      <c r="C355" t="s">
        <v>73</v>
      </c>
      <c r="D355" t="s">
        <v>2333</v>
      </c>
      <c r="E355" t="s">
        <v>1915</v>
      </c>
      <c r="F355">
        <v>3009</v>
      </c>
    </row>
    <row r="356" spans="1:6" x14ac:dyDescent="0.25">
      <c r="A356" t="s">
        <v>2455</v>
      </c>
      <c r="B356" t="s">
        <v>199</v>
      </c>
      <c r="C356" t="s">
        <v>73</v>
      </c>
      <c r="D356" t="s">
        <v>2401</v>
      </c>
      <c r="E356" t="s">
        <v>1879</v>
      </c>
      <c r="F356">
        <v>14468</v>
      </c>
    </row>
    <row r="357" spans="1:6" x14ac:dyDescent="0.25">
      <c r="A357" t="s">
        <v>2456</v>
      </c>
      <c r="B357" t="s">
        <v>199</v>
      </c>
      <c r="C357" t="s">
        <v>73</v>
      </c>
      <c r="D357" t="s">
        <v>2457</v>
      </c>
      <c r="E357" t="s">
        <v>1871</v>
      </c>
      <c r="F357">
        <v>2005</v>
      </c>
    </row>
    <row r="358" spans="1:6" x14ac:dyDescent="0.25">
      <c r="A358" t="s">
        <v>2458</v>
      </c>
      <c r="B358" t="s">
        <v>199</v>
      </c>
      <c r="C358" t="s">
        <v>73</v>
      </c>
      <c r="D358" t="s">
        <v>2350</v>
      </c>
      <c r="E358" t="s">
        <v>1871</v>
      </c>
      <c r="F358">
        <v>17712</v>
      </c>
    </row>
    <row r="359" spans="1:6" x14ac:dyDescent="0.25">
      <c r="A359" t="s">
        <v>2459</v>
      </c>
      <c r="B359" t="s">
        <v>199</v>
      </c>
      <c r="C359" t="s">
        <v>73</v>
      </c>
      <c r="D359" t="s">
        <v>1941</v>
      </c>
      <c r="E359" t="s">
        <v>1871</v>
      </c>
      <c r="F359">
        <v>15111</v>
      </c>
    </row>
    <row r="360" spans="1:6" x14ac:dyDescent="0.25">
      <c r="A360" t="s">
        <v>2460</v>
      </c>
      <c r="B360" t="s">
        <v>199</v>
      </c>
      <c r="C360" t="s">
        <v>73</v>
      </c>
      <c r="D360" t="s">
        <v>1919</v>
      </c>
      <c r="E360" t="s">
        <v>1879</v>
      </c>
      <c r="F360">
        <v>18109</v>
      </c>
    </row>
    <row r="361" spans="1:6" x14ac:dyDescent="0.25">
      <c r="A361" t="s">
        <v>2461</v>
      </c>
      <c r="B361" t="s">
        <v>199</v>
      </c>
      <c r="C361" t="s">
        <v>73</v>
      </c>
      <c r="D361" t="s">
        <v>2104</v>
      </c>
      <c r="E361" t="s">
        <v>1915</v>
      </c>
      <c r="F361">
        <v>30683</v>
      </c>
    </row>
    <row r="362" spans="1:6" x14ac:dyDescent="0.25">
      <c r="A362" t="s">
        <v>2462</v>
      </c>
      <c r="B362" t="s">
        <v>199</v>
      </c>
      <c r="C362" t="s">
        <v>73</v>
      </c>
      <c r="D362" t="s">
        <v>2293</v>
      </c>
      <c r="E362" t="s">
        <v>1915</v>
      </c>
      <c r="F362">
        <v>15135</v>
      </c>
    </row>
    <row r="363" spans="1:6" x14ac:dyDescent="0.25">
      <c r="A363" t="s">
        <v>2463</v>
      </c>
      <c r="B363" t="s">
        <v>199</v>
      </c>
      <c r="C363" t="s">
        <v>73</v>
      </c>
      <c r="D363" t="s">
        <v>2464</v>
      </c>
      <c r="E363" t="s">
        <v>1886</v>
      </c>
      <c r="F363">
        <v>23119</v>
      </c>
    </row>
    <row r="364" spans="1:6" x14ac:dyDescent="0.25">
      <c r="A364" t="s">
        <v>2465</v>
      </c>
      <c r="B364" t="s">
        <v>199</v>
      </c>
      <c r="C364" t="s">
        <v>73</v>
      </c>
      <c r="D364" t="s">
        <v>2466</v>
      </c>
      <c r="E364" t="s">
        <v>1871</v>
      </c>
      <c r="F364">
        <v>4503</v>
      </c>
    </row>
    <row r="365" spans="1:6" x14ac:dyDescent="0.25">
      <c r="A365" t="s">
        <v>2467</v>
      </c>
      <c r="B365" t="s">
        <v>202</v>
      </c>
      <c r="C365" t="s">
        <v>96</v>
      </c>
      <c r="D365" t="s">
        <v>2468</v>
      </c>
      <c r="E365" t="s">
        <v>1886</v>
      </c>
      <c r="F365">
        <v>11217</v>
      </c>
    </row>
    <row r="366" spans="1:6" x14ac:dyDescent="0.25">
      <c r="A366" t="s">
        <v>2469</v>
      </c>
      <c r="B366" t="s">
        <v>202</v>
      </c>
      <c r="C366" t="s">
        <v>96</v>
      </c>
      <c r="D366" t="s">
        <v>2201</v>
      </c>
      <c r="E366" t="s">
        <v>1879</v>
      </c>
      <c r="F366">
        <v>3274</v>
      </c>
    </row>
    <row r="367" spans="1:6" x14ac:dyDescent="0.25">
      <c r="A367" t="s">
        <v>2470</v>
      </c>
      <c r="B367" t="s">
        <v>202</v>
      </c>
      <c r="C367" t="s">
        <v>96</v>
      </c>
      <c r="D367" t="s">
        <v>2471</v>
      </c>
      <c r="E367" t="s">
        <v>1879</v>
      </c>
      <c r="F367">
        <v>8291</v>
      </c>
    </row>
    <row r="368" spans="1:6" x14ac:dyDescent="0.25">
      <c r="A368" t="s">
        <v>2472</v>
      </c>
      <c r="B368" t="s">
        <v>202</v>
      </c>
      <c r="C368" t="s">
        <v>96</v>
      </c>
      <c r="D368" t="s">
        <v>2473</v>
      </c>
      <c r="E368" t="s">
        <v>1886</v>
      </c>
      <c r="F368">
        <v>24080</v>
      </c>
    </row>
    <row r="369" spans="1:6" x14ac:dyDescent="0.25">
      <c r="A369" t="s">
        <v>2474</v>
      </c>
      <c r="B369" t="s">
        <v>202</v>
      </c>
      <c r="C369" t="s">
        <v>96</v>
      </c>
      <c r="D369" t="s">
        <v>2119</v>
      </c>
      <c r="E369" t="s">
        <v>1871</v>
      </c>
      <c r="F369">
        <v>27690</v>
      </c>
    </row>
    <row r="370" spans="1:6" x14ac:dyDescent="0.25">
      <c r="A370" t="s">
        <v>2475</v>
      </c>
      <c r="B370" t="s">
        <v>202</v>
      </c>
      <c r="C370" t="s">
        <v>96</v>
      </c>
      <c r="D370" t="s">
        <v>2126</v>
      </c>
      <c r="E370" t="s">
        <v>1886</v>
      </c>
      <c r="F370">
        <v>33932</v>
      </c>
    </row>
    <row r="371" spans="1:6" x14ac:dyDescent="0.25">
      <c r="A371" t="s">
        <v>2476</v>
      </c>
      <c r="B371" t="s">
        <v>202</v>
      </c>
      <c r="C371" t="s">
        <v>96</v>
      </c>
      <c r="D371" t="s">
        <v>2477</v>
      </c>
      <c r="E371" t="s">
        <v>1886</v>
      </c>
      <c r="F371">
        <v>6934</v>
      </c>
    </row>
    <row r="372" spans="1:6" x14ac:dyDescent="0.25">
      <c r="A372" t="s">
        <v>2478</v>
      </c>
      <c r="B372" t="s">
        <v>202</v>
      </c>
      <c r="C372" t="s">
        <v>96</v>
      </c>
      <c r="D372" t="s">
        <v>2479</v>
      </c>
      <c r="E372" t="s">
        <v>1871</v>
      </c>
      <c r="F372">
        <v>6621</v>
      </c>
    </row>
    <row r="373" spans="1:6" x14ac:dyDescent="0.25">
      <c r="A373" t="s">
        <v>2480</v>
      </c>
      <c r="B373" t="s">
        <v>202</v>
      </c>
      <c r="C373" t="s">
        <v>96</v>
      </c>
      <c r="D373" t="s">
        <v>2305</v>
      </c>
      <c r="E373" t="s">
        <v>1876</v>
      </c>
      <c r="F373">
        <v>12684</v>
      </c>
    </row>
    <row r="374" spans="1:6" x14ac:dyDescent="0.25">
      <c r="A374" t="s">
        <v>2481</v>
      </c>
      <c r="B374" t="s">
        <v>202</v>
      </c>
      <c r="C374" t="s">
        <v>96</v>
      </c>
      <c r="D374" t="s">
        <v>2443</v>
      </c>
      <c r="E374" t="s">
        <v>1879</v>
      </c>
      <c r="F374">
        <v>15235</v>
      </c>
    </row>
    <row r="375" spans="1:6" x14ac:dyDescent="0.25">
      <c r="A375" t="s">
        <v>2482</v>
      </c>
      <c r="B375" t="s">
        <v>205</v>
      </c>
      <c r="C375" t="s">
        <v>96</v>
      </c>
      <c r="D375" t="s">
        <v>2143</v>
      </c>
      <c r="E375" t="s">
        <v>1871</v>
      </c>
      <c r="F375">
        <v>6656</v>
      </c>
    </row>
    <row r="376" spans="1:6" x14ac:dyDescent="0.25">
      <c r="A376" t="s">
        <v>2483</v>
      </c>
      <c r="B376" t="s">
        <v>205</v>
      </c>
      <c r="C376" t="s">
        <v>96</v>
      </c>
      <c r="D376" t="s">
        <v>1912</v>
      </c>
      <c r="E376" t="s">
        <v>1915</v>
      </c>
      <c r="F376">
        <v>36090</v>
      </c>
    </row>
    <row r="377" spans="1:6" x14ac:dyDescent="0.25">
      <c r="A377" t="s">
        <v>2484</v>
      </c>
      <c r="B377" t="s">
        <v>205</v>
      </c>
      <c r="C377" t="s">
        <v>96</v>
      </c>
      <c r="D377" t="s">
        <v>1875</v>
      </c>
      <c r="E377" t="s">
        <v>1886</v>
      </c>
      <c r="F377">
        <v>21728</v>
      </c>
    </row>
    <row r="378" spans="1:6" x14ac:dyDescent="0.25">
      <c r="A378" t="s">
        <v>2485</v>
      </c>
      <c r="B378" t="s">
        <v>205</v>
      </c>
      <c r="C378" t="s">
        <v>96</v>
      </c>
      <c r="D378" t="s">
        <v>2432</v>
      </c>
      <c r="E378" t="s">
        <v>1915</v>
      </c>
      <c r="F378">
        <v>15659</v>
      </c>
    </row>
    <row r="379" spans="1:6" x14ac:dyDescent="0.25">
      <c r="A379" t="s">
        <v>2486</v>
      </c>
      <c r="B379" t="s">
        <v>205</v>
      </c>
      <c r="C379" t="s">
        <v>96</v>
      </c>
      <c r="D379" t="s">
        <v>2357</v>
      </c>
      <c r="E379" t="s">
        <v>1915</v>
      </c>
      <c r="F379">
        <v>25224</v>
      </c>
    </row>
    <row r="380" spans="1:6" x14ac:dyDescent="0.25">
      <c r="A380" t="s">
        <v>2487</v>
      </c>
      <c r="B380" t="s">
        <v>205</v>
      </c>
      <c r="C380" t="s">
        <v>96</v>
      </c>
      <c r="D380" t="s">
        <v>2488</v>
      </c>
      <c r="E380" t="s">
        <v>1879</v>
      </c>
      <c r="F380">
        <v>17833</v>
      </c>
    </row>
    <row r="381" spans="1:6" x14ac:dyDescent="0.25">
      <c r="A381" t="s">
        <v>2489</v>
      </c>
      <c r="B381" t="s">
        <v>205</v>
      </c>
      <c r="C381" t="s">
        <v>96</v>
      </c>
      <c r="D381" t="s">
        <v>1762</v>
      </c>
      <c r="E381" t="s">
        <v>1876</v>
      </c>
      <c r="F381">
        <v>16962</v>
      </c>
    </row>
    <row r="382" spans="1:6" x14ac:dyDescent="0.25">
      <c r="A382" t="s">
        <v>2490</v>
      </c>
      <c r="B382" t="s">
        <v>205</v>
      </c>
      <c r="C382" t="s">
        <v>96</v>
      </c>
      <c r="D382" t="s">
        <v>2491</v>
      </c>
      <c r="E382" t="s">
        <v>1915</v>
      </c>
      <c r="F382">
        <v>20472</v>
      </c>
    </row>
    <row r="383" spans="1:6" x14ac:dyDescent="0.25">
      <c r="A383" t="s">
        <v>2492</v>
      </c>
      <c r="B383" t="s">
        <v>205</v>
      </c>
      <c r="C383" t="s">
        <v>96</v>
      </c>
      <c r="D383" t="s">
        <v>2175</v>
      </c>
      <c r="E383" t="s">
        <v>1876</v>
      </c>
      <c r="F383">
        <v>14902</v>
      </c>
    </row>
    <row r="384" spans="1:6" x14ac:dyDescent="0.25">
      <c r="A384" t="s">
        <v>2493</v>
      </c>
      <c r="B384" t="s">
        <v>208</v>
      </c>
      <c r="C384" t="s">
        <v>73</v>
      </c>
      <c r="D384" t="s">
        <v>2494</v>
      </c>
      <c r="E384" t="s">
        <v>1879</v>
      </c>
      <c r="F384">
        <v>18998</v>
      </c>
    </row>
    <row r="385" spans="1:6" x14ac:dyDescent="0.25">
      <c r="A385" t="s">
        <v>2495</v>
      </c>
      <c r="B385" t="s">
        <v>208</v>
      </c>
      <c r="C385" t="s">
        <v>73</v>
      </c>
      <c r="D385" t="s">
        <v>1945</v>
      </c>
      <c r="E385" t="s">
        <v>1886</v>
      </c>
      <c r="F385">
        <v>17445</v>
      </c>
    </row>
    <row r="386" spans="1:6" x14ac:dyDescent="0.25">
      <c r="A386" t="s">
        <v>2496</v>
      </c>
      <c r="B386" t="s">
        <v>208</v>
      </c>
      <c r="C386" t="s">
        <v>73</v>
      </c>
      <c r="D386" t="s">
        <v>2307</v>
      </c>
      <c r="E386" t="s">
        <v>1876</v>
      </c>
      <c r="F386">
        <v>24866</v>
      </c>
    </row>
    <row r="387" spans="1:6" x14ac:dyDescent="0.25">
      <c r="A387" t="s">
        <v>2497</v>
      </c>
      <c r="B387" t="s">
        <v>208</v>
      </c>
      <c r="C387" t="s">
        <v>73</v>
      </c>
      <c r="D387" t="s">
        <v>2498</v>
      </c>
      <c r="E387" t="s">
        <v>1879</v>
      </c>
      <c r="F387">
        <v>28574</v>
      </c>
    </row>
    <row r="388" spans="1:6" x14ac:dyDescent="0.25">
      <c r="A388" t="s">
        <v>2499</v>
      </c>
      <c r="B388" t="s">
        <v>208</v>
      </c>
      <c r="C388" t="s">
        <v>73</v>
      </c>
      <c r="D388" t="s">
        <v>1923</v>
      </c>
      <c r="E388" t="s">
        <v>1879</v>
      </c>
      <c r="F388">
        <v>18702</v>
      </c>
    </row>
    <row r="389" spans="1:6" x14ac:dyDescent="0.25">
      <c r="A389" t="s">
        <v>2500</v>
      </c>
      <c r="B389" t="s">
        <v>208</v>
      </c>
      <c r="C389" t="s">
        <v>73</v>
      </c>
      <c r="D389" t="s">
        <v>2409</v>
      </c>
      <c r="E389" t="s">
        <v>1915</v>
      </c>
      <c r="F389">
        <v>23187</v>
      </c>
    </row>
    <row r="390" spans="1:6" x14ac:dyDescent="0.25">
      <c r="A390" t="s">
        <v>2501</v>
      </c>
      <c r="B390" t="s">
        <v>208</v>
      </c>
      <c r="C390" t="s">
        <v>73</v>
      </c>
      <c r="D390" t="s">
        <v>2502</v>
      </c>
      <c r="E390" t="s">
        <v>1915</v>
      </c>
      <c r="F390">
        <v>5060</v>
      </c>
    </row>
    <row r="391" spans="1:6" x14ac:dyDescent="0.25">
      <c r="A391" t="s">
        <v>2503</v>
      </c>
      <c r="B391" t="s">
        <v>211</v>
      </c>
      <c r="C391" t="s">
        <v>146</v>
      </c>
      <c r="D391" t="s">
        <v>2331</v>
      </c>
      <c r="E391" t="s">
        <v>1886</v>
      </c>
      <c r="F391">
        <v>11672</v>
      </c>
    </row>
    <row r="392" spans="1:6" x14ac:dyDescent="0.25">
      <c r="A392" t="s">
        <v>2504</v>
      </c>
      <c r="B392" t="s">
        <v>211</v>
      </c>
      <c r="C392" t="s">
        <v>146</v>
      </c>
      <c r="D392" t="s">
        <v>2095</v>
      </c>
      <c r="E392" t="s">
        <v>1886</v>
      </c>
      <c r="F392">
        <v>10921</v>
      </c>
    </row>
    <row r="393" spans="1:6" x14ac:dyDescent="0.25">
      <c r="A393" t="s">
        <v>2505</v>
      </c>
      <c r="B393" t="s">
        <v>211</v>
      </c>
      <c r="C393" t="s">
        <v>146</v>
      </c>
      <c r="D393" t="s">
        <v>2171</v>
      </c>
      <c r="E393" t="s">
        <v>1871</v>
      </c>
      <c r="F393">
        <v>15946</v>
      </c>
    </row>
    <row r="394" spans="1:6" x14ac:dyDescent="0.25">
      <c r="A394" t="s">
        <v>2506</v>
      </c>
      <c r="B394" t="s">
        <v>211</v>
      </c>
      <c r="C394" t="s">
        <v>146</v>
      </c>
      <c r="D394" t="s">
        <v>2507</v>
      </c>
      <c r="E394" t="s">
        <v>1876</v>
      </c>
      <c r="F394">
        <v>8266</v>
      </c>
    </row>
    <row r="395" spans="1:6" x14ac:dyDescent="0.25">
      <c r="A395" t="s">
        <v>2508</v>
      </c>
      <c r="B395" t="s">
        <v>211</v>
      </c>
      <c r="C395" t="s">
        <v>146</v>
      </c>
      <c r="D395" t="s">
        <v>2509</v>
      </c>
      <c r="E395" t="s">
        <v>1871</v>
      </c>
      <c r="F395">
        <v>24441</v>
      </c>
    </row>
    <row r="396" spans="1:6" x14ac:dyDescent="0.25">
      <c r="A396" t="s">
        <v>2510</v>
      </c>
      <c r="B396" t="s">
        <v>211</v>
      </c>
      <c r="C396" t="s">
        <v>146</v>
      </c>
      <c r="D396" t="s">
        <v>2009</v>
      </c>
      <c r="E396" t="s">
        <v>1879</v>
      </c>
      <c r="F396">
        <v>1252</v>
      </c>
    </row>
    <row r="397" spans="1:6" x14ac:dyDescent="0.25">
      <c r="A397" t="s">
        <v>2511</v>
      </c>
      <c r="B397" t="s">
        <v>211</v>
      </c>
      <c r="C397" t="s">
        <v>146</v>
      </c>
      <c r="D397" t="s">
        <v>2302</v>
      </c>
      <c r="E397" t="s">
        <v>1871</v>
      </c>
      <c r="F397">
        <v>32132</v>
      </c>
    </row>
    <row r="398" spans="1:6" x14ac:dyDescent="0.25">
      <c r="A398" t="s">
        <v>2512</v>
      </c>
      <c r="B398" t="s">
        <v>211</v>
      </c>
      <c r="C398" t="s">
        <v>146</v>
      </c>
      <c r="D398" t="s">
        <v>2513</v>
      </c>
      <c r="E398" t="s">
        <v>1879</v>
      </c>
      <c r="F398">
        <v>6531</v>
      </c>
    </row>
    <row r="399" spans="1:6" x14ac:dyDescent="0.25">
      <c r="A399" t="s">
        <v>2514</v>
      </c>
      <c r="B399" t="s">
        <v>211</v>
      </c>
      <c r="C399" t="s">
        <v>146</v>
      </c>
      <c r="D399" t="s">
        <v>2515</v>
      </c>
      <c r="E399" t="s">
        <v>1879</v>
      </c>
      <c r="F399">
        <v>29869</v>
      </c>
    </row>
    <row r="400" spans="1:6" x14ac:dyDescent="0.25">
      <c r="A400" t="s">
        <v>2516</v>
      </c>
      <c r="B400" t="s">
        <v>214</v>
      </c>
      <c r="C400" t="s">
        <v>51</v>
      </c>
      <c r="D400" t="s">
        <v>2517</v>
      </c>
      <c r="E400" t="s">
        <v>1879</v>
      </c>
      <c r="F400">
        <v>37056</v>
      </c>
    </row>
    <row r="401" spans="1:6" x14ac:dyDescent="0.25">
      <c r="A401" t="s">
        <v>2518</v>
      </c>
      <c r="B401" t="s">
        <v>214</v>
      </c>
      <c r="C401" t="s">
        <v>51</v>
      </c>
      <c r="D401" t="s">
        <v>2519</v>
      </c>
      <c r="E401" t="s">
        <v>1876</v>
      </c>
      <c r="F401">
        <v>52550</v>
      </c>
    </row>
    <row r="402" spans="1:6" x14ac:dyDescent="0.25">
      <c r="A402" t="s">
        <v>2520</v>
      </c>
      <c r="B402" t="s">
        <v>214</v>
      </c>
      <c r="C402" t="s">
        <v>51</v>
      </c>
      <c r="D402" t="s">
        <v>2005</v>
      </c>
      <c r="E402" t="s">
        <v>1871</v>
      </c>
      <c r="F402">
        <v>5150</v>
      </c>
    </row>
    <row r="403" spans="1:6" x14ac:dyDescent="0.25">
      <c r="A403" t="s">
        <v>2521</v>
      </c>
      <c r="B403" t="s">
        <v>214</v>
      </c>
      <c r="C403" t="s">
        <v>51</v>
      </c>
      <c r="D403" t="s">
        <v>2522</v>
      </c>
      <c r="E403" t="s">
        <v>1871</v>
      </c>
      <c r="F403">
        <v>41007</v>
      </c>
    </row>
    <row r="404" spans="1:6" x14ac:dyDescent="0.25">
      <c r="A404" t="s">
        <v>2523</v>
      </c>
      <c r="B404" t="s">
        <v>214</v>
      </c>
      <c r="C404" t="s">
        <v>51</v>
      </c>
      <c r="D404" t="s">
        <v>1947</v>
      </c>
      <c r="E404" t="s">
        <v>1915</v>
      </c>
      <c r="F404">
        <v>76065</v>
      </c>
    </row>
    <row r="405" spans="1:6" x14ac:dyDescent="0.25">
      <c r="A405" t="s">
        <v>2524</v>
      </c>
      <c r="B405" t="s">
        <v>214</v>
      </c>
      <c r="C405" t="s">
        <v>51</v>
      </c>
      <c r="D405" t="s">
        <v>2525</v>
      </c>
      <c r="E405" t="s">
        <v>1879</v>
      </c>
      <c r="F405">
        <v>14687</v>
      </c>
    </row>
    <row r="406" spans="1:6" x14ac:dyDescent="0.25">
      <c r="A406" t="s">
        <v>2526</v>
      </c>
      <c r="B406" t="s">
        <v>214</v>
      </c>
      <c r="C406" t="s">
        <v>51</v>
      </c>
      <c r="D406" t="s">
        <v>2527</v>
      </c>
      <c r="E406" t="s">
        <v>1879</v>
      </c>
      <c r="F406">
        <v>13259</v>
      </c>
    </row>
    <row r="407" spans="1:6" x14ac:dyDescent="0.25">
      <c r="A407" t="s">
        <v>2528</v>
      </c>
      <c r="B407" t="s">
        <v>214</v>
      </c>
      <c r="C407" t="s">
        <v>51</v>
      </c>
      <c r="D407" t="s">
        <v>2529</v>
      </c>
      <c r="E407" t="s">
        <v>1886</v>
      </c>
      <c r="F407">
        <v>4591</v>
      </c>
    </row>
    <row r="408" spans="1:6" x14ac:dyDescent="0.25">
      <c r="A408" t="s">
        <v>2530</v>
      </c>
      <c r="B408" t="s">
        <v>217</v>
      </c>
      <c r="C408" t="s">
        <v>51</v>
      </c>
      <c r="D408" t="s">
        <v>2531</v>
      </c>
      <c r="E408" t="s">
        <v>1886</v>
      </c>
      <c r="F408">
        <v>28346</v>
      </c>
    </row>
    <row r="409" spans="1:6" x14ac:dyDescent="0.25">
      <c r="A409" t="s">
        <v>2532</v>
      </c>
      <c r="B409" t="s">
        <v>217</v>
      </c>
      <c r="C409" t="s">
        <v>51</v>
      </c>
      <c r="D409" t="s">
        <v>2533</v>
      </c>
      <c r="E409" t="s">
        <v>1886</v>
      </c>
      <c r="F409">
        <v>16855</v>
      </c>
    </row>
    <row r="410" spans="1:6" x14ac:dyDescent="0.25">
      <c r="A410" t="s">
        <v>2534</v>
      </c>
      <c r="B410" t="s">
        <v>217</v>
      </c>
      <c r="C410" t="s">
        <v>51</v>
      </c>
      <c r="D410" t="s">
        <v>2535</v>
      </c>
      <c r="E410" t="s">
        <v>1876</v>
      </c>
      <c r="F410">
        <v>12333</v>
      </c>
    </row>
    <row r="411" spans="1:6" x14ac:dyDescent="0.25">
      <c r="A411" t="s">
        <v>2536</v>
      </c>
      <c r="B411" t="s">
        <v>217</v>
      </c>
      <c r="C411" t="s">
        <v>51</v>
      </c>
      <c r="D411" t="s">
        <v>2537</v>
      </c>
      <c r="E411" t="s">
        <v>1886</v>
      </c>
      <c r="F411">
        <v>24243</v>
      </c>
    </row>
    <row r="412" spans="1:6" x14ac:dyDescent="0.25">
      <c r="A412" t="s">
        <v>2538</v>
      </c>
      <c r="B412" t="s">
        <v>217</v>
      </c>
      <c r="C412" t="s">
        <v>51</v>
      </c>
      <c r="D412" t="s">
        <v>2539</v>
      </c>
      <c r="E412" t="s">
        <v>1876</v>
      </c>
      <c r="F412">
        <v>20620</v>
      </c>
    </row>
    <row r="413" spans="1:6" x14ac:dyDescent="0.25">
      <c r="A413" t="s">
        <v>2540</v>
      </c>
      <c r="B413" t="s">
        <v>217</v>
      </c>
      <c r="C413" t="s">
        <v>51</v>
      </c>
      <c r="D413" t="s">
        <v>2221</v>
      </c>
      <c r="E413" t="s">
        <v>1879</v>
      </c>
      <c r="F413">
        <v>3409</v>
      </c>
    </row>
    <row r="414" spans="1:6" x14ac:dyDescent="0.25">
      <c r="A414" t="s">
        <v>2541</v>
      </c>
      <c r="B414" t="s">
        <v>217</v>
      </c>
      <c r="C414" t="s">
        <v>51</v>
      </c>
      <c r="D414" t="s">
        <v>2404</v>
      </c>
      <c r="E414" t="s">
        <v>1879</v>
      </c>
      <c r="F414">
        <v>4638</v>
      </c>
    </row>
    <row r="415" spans="1:6" x14ac:dyDescent="0.25">
      <c r="A415" t="s">
        <v>2542</v>
      </c>
      <c r="B415" t="s">
        <v>217</v>
      </c>
      <c r="C415" t="s">
        <v>51</v>
      </c>
      <c r="D415" t="s">
        <v>1990</v>
      </c>
      <c r="E415" t="s">
        <v>1886</v>
      </c>
      <c r="F415">
        <v>5645</v>
      </c>
    </row>
    <row r="416" spans="1:6" x14ac:dyDescent="0.25">
      <c r="A416" t="s">
        <v>2543</v>
      </c>
      <c r="B416" t="s">
        <v>217</v>
      </c>
      <c r="C416" t="s">
        <v>51</v>
      </c>
      <c r="D416" t="s">
        <v>2544</v>
      </c>
      <c r="E416" t="s">
        <v>1871</v>
      </c>
      <c r="F416">
        <v>22081</v>
      </c>
    </row>
    <row r="417" spans="1:6" x14ac:dyDescent="0.25">
      <c r="A417" t="s">
        <v>2545</v>
      </c>
      <c r="B417" t="s">
        <v>217</v>
      </c>
      <c r="C417" t="s">
        <v>51</v>
      </c>
      <c r="D417" t="s">
        <v>2546</v>
      </c>
      <c r="E417" t="s">
        <v>1876</v>
      </c>
      <c r="F417">
        <v>10055</v>
      </c>
    </row>
    <row r="418" spans="1:6" x14ac:dyDescent="0.25">
      <c r="A418" t="s">
        <v>2547</v>
      </c>
      <c r="B418" t="s">
        <v>217</v>
      </c>
      <c r="C418" t="s">
        <v>51</v>
      </c>
      <c r="D418" t="s">
        <v>2336</v>
      </c>
      <c r="E418" t="s">
        <v>1915</v>
      </c>
      <c r="F418">
        <v>27715</v>
      </c>
    </row>
    <row r="419" spans="1:6" x14ac:dyDescent="0.25">
      <c r="A419" t="s">
        <v>2548</v>
      </c>
      <c r="B419" t="s">
        <v>220</v>
      </c>
      <c r="C419" t="s">
        <v>51</v>
      </c>
      <c r="D419" t="s">
        <v>2271</v>
      </c>
      <c r="E419" t="s">
        <v>1876</v>
      </c>
      <c r="F419">
        <v>13942</v>
      </c>
    </row>
    <row r="420" spans="1:6" x14ac:dyDescent="0.25">
      <c r="A420" t="s">
        <v>2549</v>
      </c>
      <c r="B420" t="s">
        <v>220</v>
      </c>
      <c r="C420" t="s">
        <v>51</v>
      </c>
      <c r="D420" t="s">
        <v>1885</v>
      </c>
      <c r="E420" t="s">
        <v>1915</v>
      </c>
      <c r="F420">
        <v>4013</v>
      </c>
    </row>
    <row r="421" spans="1:6" x14ac:dyDescent="0.25">
      <c r="A421" t="s">
        <v>2550</v>
      </c>
      <c r="B421" t="s">
        <v>220</v>
      </c>
      <c r="C421" t="s">
        <v>51</v>
      </c>
      <c r="D421" t="s">
        <v>2236</v>
      </c>
      <c r="E421" t="s">
        <v>1879</v>
      </c>
      <c r="F421">
        <v>10227</v>
      </c>
    </row>
    <row r="422" spans="1:6" x14ac:dyDescent="0.25">
      <c r="A422" t="s">
        <v>2551</v>
      </c>
      <c r="B422" t="s">
        <v>220</v>
      </c>
      <c r="C422" t="s">
        <v>51</v>
      </c>
      <c r="D422" t="s">
        <v>2179</v>
      </c>
      <c r="E422" t="s">
        <v>1886</v>
      </c>
      <c r="F422">
        <v>2393</v>
      </c>
    </row>
    <row r="423" spans="1:6" x14ac:dyDescent="0.25">
      <c r="A423" t="s">
        <v>2552</v>
      </c>
      <c r="B423" t="s">
        <v>220</v>
      </c>
      <c r="C423" t="s">
        <v>51</v>
      </c>
      <c r="D423" t="s">
        <v>2320</v>
      </c>
      <c r="E423" t="s">
        <v>1886</v>
      </c>
      <c r="F423">
        <v>30453</v>
      </c>
    </row>
    <row r="424" spans="1:6" x14ac:dyDescent="0.25">
      <c r="A424" t="s">
        <v>2553</v>
      </c>
      <c r="B424" t="s">
        <v>220</v>
      </c>
      <c r="C424" t="s">
        <v>51</v>
      </c>
      <c r="D424" t="s">
        <v>1933</v>
      </c>
      <c r="E424" t="s">
        <v>1915</v>
      </c>
      <c r="F424">
        <v>10318</v>
      </c>
    </row>
    <row r="425" spans="1:6" x14ac:dyDescent="0.25">
      <c r="A425" t="s">
        <v>2554</v>
      </c>
      <c r="B425" t="s">
        <v>220</v>
      </c>
      <c r="C425" t="s">
        <v>51</v>
      </c>
      <c r="D425" t="s">
        <v>1927</v>
      </c>
      <c r="E425" t="s">
        <v>1871</v>
      </c>
      <c r="F425">
        <v>9531</v>
      </c>
    </row>
    <row r="426" spans="1:6" x14ac:dyDescent="0.25">
      <c r="A426" t="s">
        <v>2555</v>
      </c>
      <c r="B426" t="s">
        <v>220</v>
      </c>
      <c r="C426" t="s">
        <v>51</v>
      </c>
      <c r="D426" t="s">
        <v>1873</v>
      </c>
      <c r="E426" t="s">
        <v>1871</v>
      </c>
      <c r="F426">
        <v>9110</v>
      </c>
    </row>
    <row r="427" spans="1:6" x14ac:dyDescent="0.25">
      <c r="A427" t="s">
        <v>2556</v>
      </c>
      <c r="B427" t="s">
        <v>220</v>
      </c>
      <c r="C427" t="s">
        <v>51</v>
      </c>
      <c r="D427" t="s">
        <v>2557</v>
      </c>
      <c r="E427" t="s">
        <v>1879</v>
      </c>
      <c r="F427">
        <v>3278</v>
      </c>
    </row>
    <row r="428" spans="1:6" x14ac:dyDescent="0.25">
      <c r="A428" t="s">
        <v>2558</v>
      </c>
      <c r="B428" t="s">
        <v>220</v>
      </c>
      <c r="C428" t="s">
        <v>51</v>
      </c>
      <c r="D428" t="s">
        <v>1990</v>
      </c>
      <c r="E428" t="s">
        <v>1876</v>
      </c>
      <c r="F428">
        <v>6981</v>
      </c>
    </row>
    <row r="429" spans="1:6" x14ac:dyDescent="0.25">
      <c r="A429" t="s">
        <v>2559</v>
      </c>
      <c r="B429" t="s">
        <v>220</v>
      </c>
      <c r="C429" t="s">
        <v>51</v>
      </c>
      <c r="D429" t="s">
        <v>2352</v>
      </c>
      <c r="E429" t="s">
        <v>1876</v>
      </c>
      <c r="F429">
        <v>336</v>
      </c>
    </row>
    <row r="430" spans="1:6" x14ac:dyDescent="0.25">
      <c r="A430" t="s">
        <v>2560</v>
      </c>
      <c r="B430" t="s">
        <v>220</v>
      </c>
      <c r="C430" t="s">
        <v>51</v>
      </c>
      <c r="D430" t="s">
        <v>2561</v>
      </c>
      <c r="E430" t="s">
        <v>1915</v>
      </c>
      <c r="F430">
        <v>19799</v>
      </c>
    </row>
    <row r="431" spans="1:6" x14ac:dyDescent="0.25">
      <c r="A431" t="s">
        <v>2562</v>
      </c>
      <c r="B431" t="s">
        <v>223</v>
      </c>
      <c r="C431" t="s">
        <v>73</v>
      </c>
      <c r="D431" t="s">
        <v>1906</v>
      </c>
      <c r="E431" t="s">
        <v>1879</v>
      </c>
      <c r="F431">
        <v>7645</v>
      </c>
    </row>
    <row r="432" spans="1:6" x14ac:dyDescent="0.25">
      <c r="A432" t="s">
        <v>2563</v>
      </c>
      <c r="B432" t="s">
        <v>223</v>
      </c>
      <c r="C432" t="s">
        <v>73</v>
      </c>
      <c r="D432" t="s">
        <v>2338</v>
      </c>
      <c r="E432" t="s">
        <v>1876</v>
      </c>
      <c r="F432">
        <v>10716</v>
      </c>
    </row>
    <row r="433" spans="1:6" x14ac:dyDescent="0.25">
      <c r="A433" t="s">
        <v>2564</v>
      </c>
      <c r="B433" t="s">
        <v>223</v>
      </c>
      <c r="C433" t="s">
        <v>73</v>
      </c>
      <c r="D433" t="s">
        <v>2565</v>
      </c>
      <c r="E433" t="s">
        <v>1915</v>
      </c>
      <c r="F433">
        <v>18787</v>
      </c>
    </row>
    <row r="434" spans="1:6" x14ac:dyDescent="0.25">
      <c r="A434" t="s">
        <v>2566</v>
      </c>
      <c r="B434" t="s">
        <v>223</v>
      </c>
      <c r="C434" t="s">
        <v>73</v>
      </c>
      <c r="D434" t="s">
        <v>1947</v>
      </c>
      <c r="E434" t="s">
        <v>1876</v>
      </c>
      <c r="F434">
        <v>4520</v>
      </c>
    </row>
    <row r="435" spans="1:6" x14ac:dyDescent="0.25">
      <c r="A435" t="s">
        <v>2567</v>
      </c>
      <c r="B435" t="s">
        <v>223</v>
      </c>
      <c r="C435" t="s">
        <v>73</v>
      </c>
      <c r="D435" t="s">
        <v>1885</v>
      </c>
      <c r="E435" t="s">
        <v>1871</v>
      </c>
      <c r="F435">
        <v>9994</v>
      </c>
    </row>
    <row r="436" spans="1:6" x14ac:dyDescent="0.25">
      <c r="A436" t="s">
        <v>2568</v>
      </c>
      <c r="B436" t="s">
        <v>223</v>
      </c>
      <c r="C436" t="s">
        <v>73</v>
      </c>
      <c r="D436" t="s">
        <v>2328</v>
      </c>
      <c r="E436" t="s">
        <v>1879</v>
      </c>
      <c r="F436">
        <v>18201</v>
      </c>
    </row>
    <row r="437" spans="1:6" x14ac:dyDescent="0.25">
      <c r="A437" t="s">
        <v>2569</v>
      </c>
      <c r="B437" t="s">
        <v>223</v>
      </c>
      <c r="C437" t="s">
        <v>73</v>
      </c>
      <c r="D437" t="s">
        <v>2074</v>
      </c>
      <c r="E437" t="s">
        <v>1876</v>
      </c>
      <c r="F437">
        <v>15102</v>
      </c>
    </row>
    <row r="438" spans="1:6" x14ac:dyDescent="0.25">
      <c r="A438" t="s">
        <v>2570</v>
      </c>
      <c r="B438" t="s">
        <v>223</v>
      </c>
      <c r="C438" t="s">
        <v>73</v>
      </c>
      <c r="D438" t="s">
        <v>2278</v>
      </c>
      <c r="E438" t="s">
        <v>1879</v>
      </c>
      <c r="F438">
        <v>26551</v>
      </c>
    </row>
    <row r="439" spans="1:6" x14ac:dyDescent="0.25">
      <c r="A439" t="s">
        <v>2571</v>
      </c>
      <c r="B439" t="s">
        <v>223</v>
      </c>
      <c r="C439" t="s">
        <v>73</v>
      </c>
      <c r="D439" t="s">
        <v>1921</v>
      </c>
      <c r="E439" t="s">
        <v>1879</v>
      </c>
      <c r="F439">
        <v>20111</v>
      </c>
    </row>
    <row r="440" spans="1:6" x14ac:dyDescent="0.25">
      <c r="A440" t="s">
        <v>2572</v>
      </c>
      <c r="B440" t="s">
        <v>223</v>
      </c>
      <c r="C440" t="s">
        <v>73</v>
      </c>
      <c r="D440" t="s">
        <v>2350</v>
      </c>
      <c r="E440" t="s">
        <v>1915</v>
      </c>
      <c r="F440">
        <v>37118</v>
      </c>
    </row>
    <row r="441" spans="1:6" x14ac:dyDescent="0.25">
      <c r="A441" t="s">
        <v>2573</v>
      </c>
      <c r="B441" t="s">
        <v>226</v>
      </c>
      <c r="C441" t="s">
        <v>146</v>
      </c>
      <c r="D441" t="s">
        <v>2574</v>
      </c>
      <c r="E441" t="s">
        <v>1886</v>
      </c>
      <c r="F441">
        <v>23489</v>
      </c>
    </row>
    <row r="442" spans="1:6" x14ac:dyDescent="0.25">
      <c r="A442" t="s">
        <v>2575</v>
      </c>
      <c r="B442" t="s">
        <v>226</v>
      </c>
      <c r="C442" t="s">
        <v>146</v>
      </c>
      <c r="D442" t="s">
        <v>2312</v>
      </c>
      <c r="E442" t="s">
        <v>1871</v>
      </c>
      <c r="F442">
        <v>8705</v>
      </c>
    </row>
    <row r="443" spans="1:6" x14ac:dyDescent="0.25">
      <c r="A443" t="s">
        <v>2576</v>
      </c>
      <c r="B443" t="s">
        <v>226</v>
      </c>
      <c r="C443" t="s">
        <v>146</v>
      </c>
      <c r="D443" t="s">
        <v>2494</v>
      </c>
      <c r="E443" t="s">
        <v>1879</v>
      </c>
      <c r="F443">
        <v>14751</v>
      </c>
    </row>
    <row r="444" spans="1:6" x14ac:dyDescent="0.25">
      <c r="A444" t="s">
        <v>2577</v>
      </c>
      <c r="B444" t="s">
        <v>226</v>
      </c>
      <c r="C444" t="s">
        <v>146</v>
      </c>
      <c r="D444" t="s">
        <v>2195</v>
      </c>
      <c r="E444" t="s">
        <v>1915</v>
      </c>
      <c r="F444">
        <v>12964</v>
      </c>
    </row>
    <row r="445" spans="1:6" x14ac:dyDescent="0.25">
      <c r="A445" t="s">
        <v>2578</v>
      </c>
      <c r="B445" t="s">
        <v>226</v>
      </c>
      <c r="C445" t="s">
        <v>146</v>
      </c>
      <c r="D445" t="s">
        <v>2040</v>
      </c>
      <c r="E445" t="s">
        <v>1879</v>
      </c>
      <c r="F445">
        <v>14434</v>
      </c>
    </row>
    <row r="446" spans="1:6" x14ac:dyDescent="0.25">
      <c r="A446" t="s">
        <v>2579</v>
      </c>
      <c r="B446" t="s">
        <v>226</v>
      </c>
      <c r="C446" t="s">
        <v>146</v>
      </c>
      <c r="D446" t="s">
        <v>2580</v>
      </c>
      <c r="E446" t="s">
        <v>1871</v>
      </c>
      <c r="F446">
        <v>16288</v>
      </c>
    </row>
    <row r="447" spans="1:6" x14ac:dyDescent="0.25">
      <c r="A447" t="s">
        <v>2581</v>
      </c>
      <c r="B447" t="s">
        <v>226</v>
      </c>
      <c r="C447" t="s">
        <v>146</v>
      </c>
      <c r="D447" t="s">
        <v>2234</v>
      </c>
      <c r="E447" t="s">
        <v>1876</v>
      </c>
      <c r="F447">
        <v>20775</v>
      </c>
    </row>
    <row r="448" spans="1:6" x14ac:dyDescent="0.25">
      <c r="A448" t="s">
        <v>2582</v>
      </c>
      <c r="B448" t="s">
        <v>226</v>
      </c>
      <c r="C448" t="s">
        <v>146</v>
      </c>
      <c r="D448" t="s">
        <v>2583</v>
      </c>
      <c r="E448" t="s">
        <v>1871</v>
      </c>
      <c r="F448">
        <v>8005</v>
      </c>
    </row>
    <row r="449" spans="1:6" x14ac:dyDescent="0.25">
      <c r="A449" t="s">
        <v>2584</v>
      </c>
      <c r="B449" t="s">
        <v>226</v>
      </c>
      <c r="C449" t="s">
        <v>146</v>
      </c>
      <c r="D449" t="s">
        <v>2565</v>
      </c>
      <c r="E449" t="s">
        <v>1915</v>
      </c>
      <c r="F449">
        <v>8714</v>
      </c>
    </row>
    <row r="450" spans="1:6" x14ac:dyDescent="0.25">
      <c r="A450" t="s">
        <v>2585</v>
      </c>
      <c r="B450" t="s">
        <v>226</v>
      </c>
      <c r="C450" t="s">
        <v>146</v>
      </c>
      <c r="D450" t="s">
        <v>2586</v>
      </c>
      <c r="E450" t="s">
        <v>1886</v>
      </c>
      <c r="F450">
        <v>19353</v>
      </c>
    </row>
    <row r="451" spans="1:6" x14ac:dyDescent="0.25">
      <c r="A451" t="s">
        <v>2587</v>
      </c>
      <c r="B451" t="s">
        <v>226</v>
      </c>
      <c r="C451" t="s">
        <v>146</v>
      </c>
      <c r="D451" t="s">
        <v>2588</v>
      </c>
      <c r="E451" t="s">
        <v>1871</v>
      </c>
      <c r="F451">
        <v>2881</v>
      </c>
    </row>
    <row r="452" spans="1:6" x14ac:dyDescent="0.25">
      <c r="A452" t="s">
        <v>2589</v>
      </c>
      <c r="B452" t="s">
        <v>226</v>
      </c>
      <c r="C452" t="s">
        <v>146</v>
      </c>
      <c r="D452" t="s">
        <v>2590</v>
      </c>
      <c r="E452" t="s">
        <v>1871</v>
      </c>
      <c r="F452">
        <v>28297</v>
      </c>
    </row>
    <row r="453" spans="1:6" x14ac:dyDescent="0.25">
      <c r="A453" t="s">
        <v>2591</v>
      </c>
      <c r="B453" t="s">
        <v>229</v>
      </c>
      <c r="C453" t="s">
        <v>87</v>
      </c>
      <c r="D453" t="s">
        <v>2064</v>
      </c>
      <c r="E453" t="s">
        <v>1876</v>
      </c>
      <c r="F453">
        <v>16624</v>
      </c>
    </row>
    <row r="454" spans="1:6" x14ac:dyDescent="0.25">
      <c r="A454" t="s">
        <v>2592</v>
      </c>
      <c r="B454" t="s">
        <v>229</v>
      </c>
      <c r="C454" t="s">
        <v>87</v>
      </c>
      <c r="D454" t="s">
        <v>2593</v>
      </c>
      <c r="E454" t="s">
        <v>1871</v>
      </c>
      <c r="F454">
        <v>25972</v>
      </c>
    </row>
    <row r="455" spans="1:6" x14ac:dyDescent="0.25">
      <c r="A455" t="s">
        <v>2594</v>
      </c>
      <c r="B455" t="s">
        <v>229</v>
      </c>
      <c r="C455" t="s">
        <v>87</v>
      </c>
      <c r="D455" t="s">
        <v>2494</v>
      </c>
      <c r="E455" t="s">
        <v>1879</v>
      </c>
      <c r="F455">
        <v>26574</v>
      </c>
    </row>
    <row r="456" spans="1:6" x14ac:dyDescent="0.25">
      <c r="A456" t="s">
        <v>2595</v>
      </c>
      <c r="B456" t="s">
        <v>229</v>
      </c>
      <c r="C456" t="s">
        <v>87</v>
      </c>
      <c r="D456" t="s">
        <v>2171</v>
      </c>
      <c r="E456" t="s">
        <v>1879</v>
      </c>
      <c r="F456">
        <v>21718</v>
      </c>
    </row>
    <row r="457" spans="1:6" x14ac:dyDescent="0.25">
      <c r="A457" t="s">
        <v>2596</v>
      </c>
      <c r="B457" t="s">
        <v>229</v>
      </c>
      <c r="C457" t="s">
        <v>87</v>
      </c>
      <c r="D457" t="s">
        <v>2346</v>
      </c>
      <c r="E457" t="s">
        <v>1876</v>
      </c>
      <c r="F457">
        <v>19090</v>
      </c>
    </row>
    <row r="458" spans="1:6" x14ac:dyDescent="0.25">
      <c r="A458" t="s">
        <v>2597</v>
      </c>
      <c r="B458" t="s">
        <v>229</v>
      </c>
      <c r="C458" t="s">
        <v>87</v>
      </c>
      <c r="D458" t="s">
        <v>2280</v>
      </c>
      <c r="E458" t="s">
        <v>1879</v>
      </c>
      <c r="F458">
        <v>6111</v>
      </c>
    </row>
    <row r="459" spans="1:6" x14ac:dyDescent="0.25">
      <c r="A459" t="s">
        <v>2598</v>
      </c>
      <c r="B459" t="s">
        <v>229</v>
      </c>
      <c r="C459" t="s">
        <v>87</v>
      </c>
      <c r="D459" t="s">
        <v>2599</v>
      </c>
      <c r="E459" t="s">
        <v>1879</v>
      </c>
      <c r="F459">
        <v>5127</v>
      </c>
    </row>
    <row r="460" spans="1:6" x14ac:dyDescent="0.25">
      <c r="A460" t="s">
        <v>2600</v>
      </c>
      <c r="B460" t="s">
        <v>229</v>
      </c>
      <c r="C460" t="s">
        <v>87</v>
      </c>
      <c r="D460" t="s">
        <v>2601</v>
      </c>
      <c r="E460" t="s">
        <v>1876</v>
      </c>
      <c r="F460">
        <v>1694</v>
      </c>
    </row>
    <row r="461" spans="1:6" x14ac:dyDescent="0.25">
      <c r="A461" t="s">
        <v>2602</v>
      </c>
      <c r="B461" t="s">
        <v>229</v>
      </c>
      <c r="C461" t="s">
        <v>87</v>
      </c>
      <c r="D461" t="s">
        <v>1962</v>
      </c>
      <c r="E461" t="s">
        <v>1915</v>
      </c>
      <c r="F461">
        <v>10398</v>
      </c>
    </row>
    <row r="462" spans="1:6" x14ac:dyDescent="0.25">
      <c r="A462" t="s">
        <v>2603</v>
      </c>
      <c r="B462" t="s">
        <v>229</v>
      </c>
      <c r="C462" t="s">
        <v>87</v>
      </c>
      <c r="D462" t="s">
        <v>2604</v>
      </c>
      <c r="E462" t="s">
        <v>1876</v>
      </c>
      <c r="F462">
        <v>14180</v>
      </c>
    </row>
    <row r="463" spans="1:6" x14ac:dyDescent="0.25">
      <c r="A463" t="s">
        <v>2605</v>
      </c>
      <c r="B463" t="s">
        <v>229</v>
      </c>
      <c r="C463" t="s">
        <v>87</v>
      </c>
      <c r="D463" t="s">
        <v>2378</v>
      </c>
      <c r="E463" t="s">
        <v>1871</v>
      </c>
      <c r="F463">
        <v>11790</v>
      </c>
    </row>
    <row r="464" spans="1:6" x14ac:dyDescent="0.25">
      <c r="A464" t="s">
        <v>2606</v>
      </c>
      <c r="B464" t="s">
        <v>229</v>
      </c>
      <c r="C464" t="s">
        <v>87</v>
      </c>
      <c r="D464" t="s">
        <v>2522</v>
      </c>
      <c r="E464" t="s">
        <v>1915</v>
      </c>
      <c r="F464">
        <v>33682</v>
      </c>
    </row>
    <row r="465" spans="1:6" x14ac:dyDescent="0.25">
      <c r="A465" t="s">
        <v>2607</v>
      </c>
      <c r="B465" t="s">
        <v>232</v>
      </c>
      <c r="C465" t="s">
        <v>146</v>
      </c>
      <c r="D465" t="s">
        <v>2515</v>
      </c>
      <c r="E465" t="s">
        <v>1886</v>
      </c>
      <c r="F465">
        <v>20123</v>
      </c>
    </row>
    <row r="466" spans="1:6" x14ac:dyDescent="0.25">
      <c r="A466" t="s">
        <v>2608</v>
      </c>
      <c r="B466" t="s">
        <v>232</v>
      </c>
      <c r="C466" t="s">
        <v>146</v>
      </c>
      <c r="D466" t="s">
        <v>2265</v>
      </c>
      <c r="E466" t="s">
        <v>1915</v>
      </c>
      <c r="F466">
        <v>36931</v>
      </c>
    </row>
    <row r="467" spans="1:6" x14ac:dyDescent="0.25">
      <c r="A467" t="s">
        <v>2609</v>
      </c>
      <c r="B467" t="s">
        <v>232</v>
      </c>
      <c r="C467" t="s">
        <v>146</v>
      </c>
      <c r="D467" t="s">
        <v>2610</v>
      </c>
      <c r="E467" t="s">
        <v>1876</v>
      </c>
      <c r="F467">
        <v>10020</v>
      </c>
    </row>
    <row r="468" spans="1:6" x14ac:dyDescent="0.25">
      <c r="A468" t="s">
        <v>2611</v>
      </c>
      <c r="B468" t="s">
        <v>232</v>
      </c>
      <c r="C468" t="s">
        <v>146</v>
      </c>
      <c r="D468" t="s">
        <v>2612</v>
      </c>
      <c r="E468" t="s">
        <v>1876</v>
      </c>
      <c r="F468">
        <v>17081</v>
      </c>
    </row>
    <row r="469" spans="1:6" x14ac:dyDescent="0.25">
      <c r="A469" t="s">
        <v>2613</v>
      </c>
      <c r="B469" t="s">
        <v>232</v>
      </c>
      <c r="C469" t="s">
        <v>146</v>
      </c>
      <c r="D469" t="s">
        <v>2024</v>
      </c>
      <c r="E469" t="s">
        <v>1879</v>
      </c>
      <c r="F469">
        <v>21681</v>
      </c>
    </row>
    <row r="470" spans="1:6" x14ac:dyDescent="0.25">
      <c r="A470" t="s">
        <v>2614</v>
      </c>
      <c r="B470" t="s">
        <v>232</v>
      </c>
      <c r="C470" t="s">
        <v>146</v>
      </c>
      <c r="D470" t="s">
        <v>2615</v>
      </c>
      <c r="E470" t="s">
        <v>1879</v>
      </c>
      <c r="F470">
        <v>3189</v>
      </c>
    </row>
    <row r="471" spans="1:6" x14ac:dyDescent="0.25">
      <c r="A471" t="s">
        <v>2616</v>
      </c>
      <c r="B471" t="s">
        <v>232</v>
      </c>
      <c r="C471" t="s">
        <v>146</v>
      </c>
      <c r="D471" t="s">
        <v>2079</v>
      </c>
      <c r="E471" t="s">
        <v>1879</v>
      </c>
      <c r="F471">
        <v>16970</v>
      </c>
    </row>
    <row r="472" spans="1:6" x14ac:dyDescent="0.25">
      <c r="A472" t="s">
        <v>2617</v>
      </c>
      <c r="B472" t="s">
        <v>232</v>
      </c>
      <c r="C472" t="s">
        <v>146</v>
      </c>
      <c r="D472" t="s">
        <v>2242</v>
      </c>
      <c r="E472" t="s">
        <v>1879</v>
      </c>
      <c r="F472">
        <v>17138</v>
      </c>
    </row>
    <row r="473" spans="1:6" x14ac:dyDescent="0.25">
      <c r="A473" t="s">
        <v>2618</v>
      </c>
      <c r="B473" t="s">
        <v>232</v>
      </c>
      <c r="C473" t="s">
        <v>146</v>
      </c>
      <c r="D473" t="s">
        <v>2014</v>
      </c>
      <c r="E473" t="s">
        <v>1915</v>
      </c>
      <c r="F473">
        <v>29471</v>
      </c>
    </row>
    <row r="474" spans="1:6" x14ac:dyDescent="0.25">
      <c r="A474" t="s">
        <v>2619</v>
      </c>
      <c r="B474" t="s">
        <v>232</v>
      </c>
      <c r="C474" t="s">
        <v>146</v>
      </c>
      <c r="D474" t="s">
        <v>2498</v>
      </c>
      <c r="E474" t="s">
        <v>1879</v>
      </c>
      <c r="F474">
        <v>10484</v>
      </c>
    </row>
    <row r="475" spans="1:6" x14ac:dyDescent="0.25">
      <c r="A475" t="s">
        <v>2620</v>
      </c>
      <c r="B475" t="s">
        <v>232</v>
      </c>
      <c r="C475" t="s">
        <v>146</v>
      </c>
      <c r="D475" t="s">
        <v>2366</v>
      </c>
      <c r="E475" t="s">
        <v>1886</v>
      </c>
      <c r="F475">
        <v>12603</v>
      </c>
    </row>
    <row r="476" spans="1:6" x14ac:dyDescent="0.25">
      <c r="A476" t="s">
        <v>2621</v>
      </c>
      <c r="B476" t="s">
        <v>232</v>
      </c>
      <c r="C476" t="s">
        <v>146</v>
      </c>
      <c r="D476" t="s">
        <v>2473</v>
      </c>
      <c r="E476" t="s">
        <v>1886</v>
      </c>
      <c r="F476">
        <v>6842</v>
      </c>
    </row>
    <row r="477" spans="1:6" x14ac:dyDescent="0.25">
      <c r="A477" t="s">
        <v>2622</v>
      </c>
      <c r="B477" t="s">
        <v>235</v>
      </c>
      <c r="C477" t="s">
        <v>87</v>
      </c>
      <c r="D477" t="s">
        <v>2338</v>
      </c>
      <c r="E477" t="s">
        <v>1915</v>
      </c>
      <c r="F477">
        <v>21571</v>
      </c>
    </row>
    <row r="478" spans="1:6" x14ac:dyDescent="0.25">
      <c r="A478" t="s">
        <v>2623</v>
      </c>
      <c r="B478" t="s">
        <v>235</v>
      </c>
      <c r="C478" t="s">
        <v>87</v>
      </c>
      <c r="D478" t="s">
        <v>2624</v>
      </c>
      <c r="E478" t="s">
        <v>1871</v>
      </c>
      <c r="F478">
        <v>1804</v>
      </c>
    </row>
    <row r="479" spans="1:6" x14ac:dyDescent="0.25">
      <c r="A479" t="s">
        <v>2625</v>
      </c>
      <c r="B479" t="s">
        <v>235</v>
      </c>
      <c r="C479" t="s">
        <v>87</v>
      </c>
      <c r="D479" t="s">
        <v>1896</v>
      </c>
      <c r="E479" t="s">
        <v>1886</v>
      </c>
      <c r="F479">
        <v>27545</v>
      </c>
    </row>
    <row r="480" spans="1:6" x14ac:dyDescent="0.25">
      <c r="A480" t="s">
        <v>2626</v>
      </c>
      <c r="B480" t="s">
        <v>235</v>
      </c>
      <c r="C480" t="s">
        <v>87</v>
      </c>
      <c r="D480" t="s">
        <v>1968</v>
      </c>
      <c r="E480" t="s">
        <v>1915</v>
      </c>
      <c r="F480">
        <v>2527</v>
      </c>
    </row>
    <row r="481" spans="1:6" x14ac:dyDescent="0.25">
      <c r="A481" t="s">
        <v>2627</v>
      </c>
      <c r="B481" t="s">
        <v>235</v>
      </c>
      <c r="C481" t="s">
        <v>87</v>
      </c>
      <c r="D481" t="s">
        <v>2628</v>
      </c>
      <c r="E481" t="s">
        <v>1871</v>
      </c>
      <c r="F481">
        <v>18719</v>
      </c>
    </row>
    <row r="482" spans="1:6" x14ac:dyDescent="0.25">
      <c r="A482" t="s">
        <v>2629</v>
      </c>
      <c r="B482" t="s">
        <v>235</v>
      </c>
      <c r="C482" t="s">
        <v>87</v>
      </c>
      <c r="D482" t="s">
        <v>2026</v>
      </c>
      <c r="E482" t="s">
        <v>1876</v>
      </c>
      <c r="F482">
        <v>18390</v>
      </c>
    </row>
    <row r="483" spans="1:6" x14ac:dyDescent="0.25">
      <c r="A483" t="s">
        <v>2630</v>
      </c>
      <c r="B483" t="s">
        <v>235</v>
      </c>
      <c r="C483" t="s">
        <v>87</v>
      </c>
      <c r="D483" t="s">
        <v>2631</v>
      </c>
      <c r="E483" t="s">
        <v>1871</v>
      </c>
      <c r="F483">
        <v>15725</v>
      </c>
    </row>
    <row r="484" spans="1:6" x14ac:dyDescent="0.25">
      <c r="A484" t="s">
        <v>2632</v>
      </c>
      <c r="B484" t="s">
        <v>235</v>
      </c>
      <c r="C484" t="s">
        <v>87</v>
      </c>
      <c r="D484" t="s">
        <v>2210</v>
      </c>
      <c r="E484" t="s">
        <v>1915</v>
      </c>
      <c r="F484">
        <v>10885</v>
      </c>
    </row>
    <row r="485" spans="1:6" x14ac:dyDescent="0.25">
      <c r="A485" t="s">
        <v>2633</v>
      </c>
      <c r="B485" t="s">
        <v>238</v>
      </c>
      <c r="C485" t="s">
        <v>146</v>
      </c>
      <c r="D485" t="s">
        <v>2234</v>
      </c>
      <c r="E485" t="s">
        <v>1876</v>
      </c>
      <c r="F485">
        <v>20503</v>
      </c>
    </row>
    <row r="486" spans="1:6" x14ac:dyDescent="0.25">
      <c r="A486" t="s">
        <v>2634</v>
      </c>
      <c r="B486" t="s">
        <v>238</v>
      </c>
      <c r="C486" t="s">
        <v>146</v>
      </c>
      <c r="D486" t="s">
        <v>2295</v>
      </c>
      <c r="E486" t="s">
        <v>1879</v>
      </c>
      <c r="F486">
        <v>52907</v>
      </c>
    </row>
    <row r="487" spans="1:6" x14ac:dyDescent="0.25">
      <c r="A487" t="s">
        <v>2635</v>
      </c>
      <c r="B487" t="s">
        <v>238</v>
      </c>
      <c r="C487" t="s">
        <v>146</v>
      </c>
      <c r="D487" t="s">
        <v>2522</v>
      </c>
      <c r="E487" t="s">
        <v>1886</v>
      </c>
      <c r="F487">
        <v>19615</v>
      </c>
    </row>
    <row r="488" spans="1:6" x14ac:dyDescent="0.25">
      <c r="A488" t="s">
        <v>2636</v>
      </c>
      <c r="B488" t="s">
        <v>238</v>
      </c>
      <c r="C488" t="s">
        <v>146</v>
      </c>
      <c r="D488" t="s">
        <v>2364</v>
      </c>
      <c r="E488" t="s">
        <v>1871</v>
      </c>
      <c r="F488">
        <v>40486</v>
      </c>
    </row>
    <row r="489" spans="1:6" x14ac:dyDescent="0.25">
      <c r="A489" t="s">
        <v>2637</v>
      </c>
      <c r="B489" t="s">
        <v>238</v>
      </c>
      <c r="C489" t="s">
        <v>146</v>
      </c>
      <c r="D489" t="s">
        <v>2155</v>
      </c>
      <c r="E489" t="s">
        <v>1879</v>
      </c>
      <c r="F489">
        <v>48410</v>
      </c>
    </row>
    <row r="490" spans="1:6" x14ac:dyDescent="0.25">
      <c r="A490" t="s">
        <v>2638</v>
      </c>
      <c r="B490" t="s">
        <v>238</v>
      </c>
      <c r="C490" t="s">
        <v>146</v>
      </c>
      <c r="D490" t="s">
        <v>2639</v>
      </c>
      <c r="E490" t="s">
        <v>1871</v>
      </c>
      <c r="F490">
        <v>12928</v>
      </c>
    </row>
    <row r="491" spans="1:6" x14ac:dyDescent="0.25">
      <c r="A491" t="s">
        <v>2640</v>
      </c>
      <c r="B491" t="s">
        <v>238</v>
      </c>
      <c r="C491" t="s">
        <v>146</v>
      </c>
      <c r="D491" t="s">
        <v>2466</v>
      </c>
      <c r="E491" t="s">
        <v>1876</v>
      </c>
      <c r="F491">
        <v>54727</v>
      </c>
    </row>
    <row r="492" spans="1:6" x14ac:dyDescent="0.25">
      <c r="A492" t="s">
        <v>2641</v>
      </c>
      <c r="B492" t="s">
        <v>241</v>
      </c>
      <c r="C492" t="s">
        <v>73</v>
      </c>
      <c r="D492" t="s">
        <v>2099</v>
      </c>
      <c r="E492" t="s">
        <v>1879</v>
      </c>
      <c r="F492">
        <v>12747</v>
      </c>
    </row>
    <row r="493" spans="1:6" x14ac:dyDescent="0.25">
      <c r="A493" t="s">
        <v>2642</v>
      </c>
      <c r="B493" t="s">
        <v>241</v>
      </c>
      <c r="C493" t="s">
        <v>73</v>
      </c>
      <c r="D493" t="s">
        <v>1970</v>
      </c>
      <c r="E493" t="s">
        <v>1871</v>
      </c>
      <c r="F493">
        <v>5165</v>
      </c>
    </row>
    <row r="494" spans="1:6" x14ac:dyDescent="0.25">
      <c r="A494" t="s">
        <v>2643</v>
      </c>
      <c r="B494" t="s">
        <v>241</v>
      </c>
      <c r="C494" t="s">
        <v>73</v>
      </c>
      <c r="D494" t="s">
        <v>2254</v>
      </c>
      <c r="E494" t="s">
        <v>1879</v>
      </c>
      <c r="F494">
        <v>8043</v>
      </c>
    </row>
    <row r="495" spans="1:6" x14ac:dyDescent="0.25">
      <c r="A495" t="s">
        <v>2644</v>
      </c>
      <c r="B495" t="s">
        <v>241</v>
      </c>
      <c r="C495" t="s">
        <v>73</v>
      </c>
      <c r="D495" t="s">
        <v>2645</v>
      </c>
      <c r="E495" t="s">
        <v>1886</v>
      </c>
      <c r="F495">
        <v>31310</v>
      </c>
    </row>
    <row r="496" spans="1:6" x14ac:dyDescent="0.25">
      <c r="A496" t="s">
        <v>2646</v>
      </c>
      <c r="B496" t="s">
        <v>241</v>
      </c>
      <c r="C496" t="s">
        <v>73</v>
      </c>
      <c r="D496" t="s">
        <v>1921</v>
      </c>
      <c r="E496" t="s">
        <v>1876</v>
      </c>
      <c r="F496">
        <v>9563</v>
      </c>
    </row>
    <row r="497" spans="1:6" x14ac:dyDescent="0.25">
      <c r="A497" t="s">
        <v>2647</v>
      </c>
      <c r="B497" t="s">
        <v>241</v>
      </c>
      <c r="C497" t="s">
        <v>73</v>
      </c>
      <c r="D497" t="s">
        <v>2238</v>
      </c>
      <c r="E497" t="s">
        <v>1915</v>
      </c>
      <c r="F497">
        <v>41582</v>
      </c>
    </row>
    <row r="498" spans="1:6" x14ac:dyDescent="0.25">
      <c r="A498" t="s">
        <v>2648</v>
      </c>
      <c r="B498" t="s">
        <v>241</v>
      </c>
      <c r="C498" t="s">
        <v>73</v>
      </c>
      <c r="D498" t="s">
        <v>2649</v>
      </c>
      <c r="E498" t="s">
        <v>1879</v>
      </c>
      <c r="F498">
        <v>4533</v>
      </c>
    </row>
    <row r="499" spans="1:6" x14ac:dyDescent="0.25">
      <c r="A499" t="s">
        <v>2650</v>
      </c>
      <c r="B499" t="s">
        <v>241</v>
      </c>
      <c r="C499" t="s">
        <v>73</v>
      </c>
      <c r="D499" t="s">
        <v>1943</v>
      </c>
      <c r="E499" t="s">
        <v>1886</v>
      </c>
      <c r="F499">
        <v>19315</v>
      </c>
    </row>
    <row r="500" spans="1:6" x14ac:dyDescent="0.25">
      <c r="A500" t="s">
        <v>2651</v>
      </c>
      <c r="B500" t="s">
        <v>244</v>
      </c>
      <c r="C500" t="s">
        <v>96</v>
      </c>
      <c r="D500" t="s">
        <v>2040</v>
      </c>
      <c r="E500" t="s">
        <v>1879</v>
      </c>
      <c r="F500">
        <v>12130</v>
      </c>
    </row>
    <row r="501" spans="1:6" x14ac:dyDescent="0.25">
      <c r="A501" t="s">
        <v>2652</v>
      </c>
      <c r="B501" t="s">
        <v>244</v>
      </c>
      <c r="C501" t="s">
        <v>96</v>
      </c>
      <c r="D501" t="s">
        <v>2624</v>
      </c>
      <c r="E501" t="s">
        <v>1886</v>
      </c>
      <c r="F501">
        <v>19086</v>
      </c>
    </row>
    <row r="502" spans="1:6" x14ac:dyDescent="0.25">
      <c r="A502" t="s">
        <v>2653</v>
      </c>
      <c r="B502" t="s">
        <v>244</v>
      </c>
      <c r="C502" t="s">
        <v>96</v>
      </c>
      <c r="D502" t="s">
        <v>2645</v>
      </c>
      <c r="E502" t="s">
        <v>1879</v>
      </c>
      <c r="F502">
        <v>27906</v>
      </c>
    </row>
    <row r="503" spans="1:6" x14ac:dyDescent="0.25">
      <c r="A503" t="s">
        <v>2654</v>
      </c>
      <c r="B503" t="s">
        <v>244</v>
      </c>
      <c r="C503" t="s">
        <v>96</v>
      </c>
      <c r="D503" t="s">
        <v>2109</v>
      </c>
      <c r="E503" t="s">
        <v>1871</v>
      </c>
      <c r="F503">
        <v>9584</v>
      </c>
    </row>
    <row r="504" spans="1:6" x14ac:dyDescent="0.25">
      <c r="A504" t="s">
        <v>2655</v>
      </c>
      <c r="B504" t="s">
        <v>244</v>
      </c>
      <c r="C504" t="s">
        <v>96</v>
      </c>
      <c r="D504" t="s">
        <v>2466</v>
      </c>
      <c r="E504" t="s">
        <v>1915</v>
      </c>
      <c r="F504">
        <v>14411</v>
      </c>
    </row>
    <row r="505" spans="1:6" x14ac:dyDescent="0.25">
      <c r="A505" t="s">
        <v>2656</v>
      </c>
      <c r="B505" t="s">
        <v>244</v>
      </c>
      <c r="C505" t="s">
        <v>96</v>
      </c>
      <c r="D505" t="s">
        <v>2657</v>
      </c>
      <c r="E505" t="s">
        <v>1915</v>
      </c>
      <c r="F505">
        <v>15820</v>
      </c>
    </row>
    <row r="506" spans="1:6" x14ac:dyDescent="0.25">
      <c r="A506" t="s">
        <v>2658</v>
      </c>
      <c r="B506" t="s">
        <v>244</v>
      </c>
      <c r="C506" t="s">
        <v>96</v>
      </c>
      <c r="D506" t="s">
        <v>2659</v>
      </c>
      <c r="E506" t="s">
        <v>1915</v>
      </c>
      <c r="F506">
        <v>22314</v>
      </c>
    </row>
    <row r="507" spans="1:6" x14ac:dyDescent="0.25">
      <c r="A507" t="s">
        <v>2660</v>
      </c>
      <c r="B507" t="s">
        <v>244</v>
      </c>
      <c r="C507" t="s">
        <v>96</v>
      </c>
      <c r="D507" t="s">
        <v>2661</v>
      </c>
      <c r="E507" t="s">
        <v>1876</v>
      </c>
      <c r="F507">
        <v>29448</v>
      </c>
    </row>
    <row r="508" spans="1:6" x14ac:dyDescent="0.25">
      <c r="A508" t="s">
        <v>2662</v>
      </c>
      <c r="B508" t="s">
        <v>244</v>
      </c>
      <c r="C508" t="s">
        <v>96</v>
      </c>
      <c r="D508" t="s">
        <v>2341</v>
      </c>
      <c r="E508" t="s">
        <v>1879</v>
      </c>
      <c r="F508">
        <v>750</v>
      </c>
    </row>
    <row r="509" spans="1:6" x14ac:dyDescent="0.25">
      <c r="A509" t="s">
        <v>2663</v>
      </c>
      <c r="B509" t="s">
        <v>244</v>
      </c>
      <c r="C509" t="s">
        <v>96</v>
      </c>
      <c r="D509" t="s">
        <v>2664</v>
      </c>
      <c r="E509" t="s">
        <v>1886</v>
      </c>
      <c r="F509">
        <v>23955</v>
      </c>
    </row>
    <row r="510" spans="1:6" x14ac:dyDescent="0.25">
      <c r="A510" t="s">
        <v>2665</v>
      </c>
      <c r="B510" t="s">
        <v>247</v>
      </c>
      <c r="C510" t="s">
        <v>73</v>
      </c>
      <c r="D510" t="s">
        <v>2666</v>
      </c>
      <c r="E510" t="s">
        <v>1879</v>
      </c>
      <c r="F510">
        <v>14860</v>
      </c>
    </row>
    <row r="511" spans="1:6" x14ac:dyDescent="0.25">
      <c r="A511" t="s">
        <v>2667</v>
      </c>
      <c r="B511" t="s">
        <v>247</v>
      </c>
      <c r="C511" t="s">
        <v>73</v>
      </c>
      <c r="D511" t="s">
        <v>1990</v>
      </c>
      <c r="E511" t="s">
        <v>1879</v>
      </c>
      <c r="F511">
        <v>13900</v>
      </c>
    </row>
    <row r="512" spans="1:6" x14ac:dyDescent="0.25">
      <c r="A512" t="s">
        <v>2668</v>
      </c>
      <c r="B512" t="s">
        <v>247</v>
      </c>
      <c r="C512" t="s">
        <v>73</v>
      </c>
      <c r="D512" t="s">
        <v>1966</v>
      </c>
      <c r="E512" t="s">
        <v>1879</v>
      </c>
      <c r="F512">
        <v>4812</v>
      </c>
    </row>
    <row r="513" spans="1:6" x14ac:dyDescent="0.25">
      <c r="A513" t="s">
        <v>2669</v>
      </c>
      <c r="B513" t="s">
        <v>247</v>
      </c>
      <c r="C513" t="s">
        <v>73</v>
      </c>
      <c r="D513" t="s">
        <v>1883</v>
      </c>
      <c r="E513" t="s">
        <v>1915</v>
      </c>
      <c r="F513">
        <v>35409</v>
      </c>
    </row>
    <row r="514" spans="1:6" x14ac:dyDescent="0.25">
      <c r="A514" t="s">
        <v>2670</v>
      </c>
      <c r="B514" t="s">
        <v>247</v>
      </c>
      <c r="C514" t="s">
        <v>73</v>
      </c>
      <c r="D514" t="s">
        <v>1973</v>
      </c>
      <c r="E514" t="s">
        <v>1915</v>
      </c>
      <c r="F514">
        <v>31913</v>
      </c>
    </row>
    <row r="515" spans="1:6" x14ac:dyDescent="0.25">
      <c r="A515" t="s">
        <v>2671</v>
      </c>
      <c r="B515" t="s">
        <v>247</v>
      </c>
      <c r="C515" t="s">
        <v>73</v>
      </c>
      <c r="D515" t="s">
        <v>2672</v>
      </c>
      <c r="E515" t="s">
        <v>1886</v>
      </c>
      <c r="F515">
        <v>26826</v>
      </c>
    </row>
    <row r="516" spans="1:6" x14ac:dyDescent="0.25">
      <c r="A516" t="s">
        <v>2673</v>
      </c>
      <c r="B516" t="s">
        <v>247</v>
      </c>
      <c r="C516" t="s">
        <v>73</v>
      </c>
      <c r="D516" t="s">
        <v>1951</v>
      </c>
      <c r="E516" t="s">
        <v>1886</v>
      </c>
      <c r="F516">
        <v>32714</v>
      </c>
    </row>
    <row r="517" spans="1:6" x14ac:dyDescent="0.25">
      <c r="A517" t="s">
        <v>2674</v>
      </c>
      <c r="B517" t="s">
        <v>247</v>
      </c>
      <c r="C517" t="s">
        <v>73</v>
      </c>
      <c r="D517" t="s">
        <v>2139</v>
      </c>
      <c r="E517" t="s">
        <v>1915</v>
      </c>
      <c r="F517">
        <v>16818</v>
      </c>
    </row>
    <row r="518" spans="1:6" x14ac:dyDescent="0.25">
      <c r="A518" t="s">
        <v>2675</v>
      </c>
      <c r="B518" t="s">
        <v>247</v>
      </c>
      <c r="C518" t="s">
        <v>73</v>
      </c>
      <c r="D518" t="s">
        <v>2042</v>
      </c>
      <c r="E518" t="s">
        <v>1879</v>
      </c>
      <c r="F518">
        <v>10552</v>
      </c>
    </row>
    <row r="519" spans="1:6" x14ac:dyDescent="0.25">
      <c r="A519" t="s">
        <v>2676</v>
      </c>
      <c r="B519" t="s">
        <v>250</v>
      </c>
      <c r="C519" t="s">
        <v>96</v>
      </c>
      <c r="D519" t="s">
        <v>1957</v>
      </c>
      <c r="E519" t="s">
        <v>1876</v>
      </c>
      <c r="F519">
        <v>26494</v>
      </c>
    </row>
    <row r="520" spans="1:6" x14ac:dyDescent="0.25">
      <c r="A520" t="s">
        <v>2677</v>
      </c>
      <c r="B520" t="s">
        <v>250</v>
      </c>
      <c r="C520" t="s">
        <v>96</v>
      </c>
      <c r="D520" t="s">
        <v>2529</v>
      </c>
      <c r="E520" t="s">
        <v>1879</v>
      </c>
      <c r="F520">
        <v>37855</v>
      </c>
    </row>
    <row r="521" spans="1:6" x14ac:dyDescent="0.25">
      <c r="A521" t="s">
        <v>2678</v>
      </c>
      <c r="B521" t="s">
        <v>250</v>
      </c>
      <c r="C521" t="s">
        <v>96</v>
      </c>
      <c r="D521" t="s">
        <v>2028</v>
      </c>
      <c r="E521" t="s">
        <v>1879</v>
      </c>
      <c r="F521">
        <v>10009</v>
      </c>
    </row>
    <row r="522" spans="1:6" x14ac:dyDescent="0.25">
      <c r="A522" t="s">
        <v>2679</v>
      </c>
      <c r="B522" t="s">
        <v>250</v>
      </c>
      <c r="C522" t="s">
        <v>96</v>
      </c>
      <c r="D522" t="s">
        <v>2680</v>
      </c>
      <c r="E522" t="s">
        <v>1871</v>
      </c>
      <c r="F522">
        <v>10463</v>
      </c>
    </row>
    <row r="523" spans="1:6" x14ac:dyDescent="0.25">
      <c r="A523" t="s">
        <v>2681</v>
      </c>
      <c r="B523" t="s">
        <v>250</v>
      </c>
      <c r="C523" t="s">
        <v>96</v>
      </c>
      <c r="D523" t="s">
        <v>2000</v>
      </c>
      <c r="E523" t="s">
        <v>1886</v>
      </c>
      <c r="F523">
        <v>6646</v>
      </c>
    </row>
    <row r="524" spans="1:6" x14ac:dyDescent="0.25">
      <c r="A524" t="s">
        <v>2682</v>
      </c>
      <c r="B524" t="s">
        <v>250</v>
      </c>
      <c r="C524" t="s">
        <v>96</v>
      </c>
      <c r="D524" t="s">
        <v>2070</v>
      </c>
      <c r="E524" t="s">
        <v>1915</v>
      </c>
      <c r="F524">
        <v>64474</v>
      </c>
    </row>
    <row r="525" spans="1:6" x14ac:dyDescent="0.25">
      <c r="A525" t="s">
        <v>2683</v>
      </c>
      <c r="B525" t="s">
        <v>250</v>
      </c>
      <c r="C525" t="s">
        <v>96</v>
      </c>
      <c r="D525" t="s">
        <v>2316</v>
      </c>
      <c r="E525" t="s">
        <v>1871</v>
      </c>
      <c r="F525">
        <v>39450</v>
      </c>
    </row>
    <row r="526" spans="1:6" x14ac:dyDescent="0.25">
      <c r="A526" t="s">
        <v>2684</v>
      </c>
      <c r="B526" t="s">
        <v>253</v>
      </c>
      <c r="C526" t="s">
        <v>87</v>
      </c>
      <c r="D526" t="s">
        <v>2183</v>
      </c>
      <c r="E526" t="s">
        <v>1876</v>
      </c>
      <c r="F526">
        <v>4950</v>
      </c>
    </row>
    <row r="527" spans="1:6" x14ac:dyDescent="0.25">
      <c r="A527" t="s">
        <v>2685</v>
      </c>
      <c r="B527" t="s">
        <v>253</v>
      </c>
      <c r="C527" t="s">
        <v>87</v>
      </c>
      <c r="D527" t="s">
        <v>2163</v>
      </c>
      <c r="E527" t="s">
        <v>1886</v>
      </c>
      <c r="F527">
        <v>14789</v>
      </c>
    </row>
    <row r="528" spans="1:6" x14ac:dyDescent="0.25">
      <c r="A528" t="s">
        <v>2686</v>
      </c>
      <c r="B528" t="s">
        <v>253</v>
      </c>
      <c r="C528" t="s">
        <v>87</v>
      </c>
      <c r="D528" t="s">
        <v>2687</v>
      </c>
      <c r="E528" t="s">
        <v>1915</v>
      </c>
      <c r="F528">
        <v>31509</v>
      </c>
    </row>
    <row r="529" spans="1:6" x14ac:dyDescent="0.25">
      <c r="A529" t="s">
        <v>2688</v>
      </c>
      <c r="B529" t="s">
        <v>253</v>
      </c>
      <c r="C529" t="s">
        <v>87</v>
      </c>
      <c r="D529" t="s">
        <v>2165</v>
      </c>
      <c r="E529" t="s">
        <v>1886</v>
      </c>
      <c r="F529">
        <v>9944</v>
      </c>
    </row>
    <row r="530" spans="1:6" x14ac:dyDescent="0.25">
      <c r="A530" t="s">
        <v>2689</v>
      </c>
      <c r="B530" t="s">
        <v>253</v>
      </c>
      <c r="C530" t="s">
        <v>87</v>
      </c>
      <c r="D530" t="s">
        <v>2188</v>
      </c>
      <c r="E530" t="s">
        <v>1871</v>
      </c>
      <c r="F530">
        <v>18868</v>
      </c>
    </row>
    <row r="531" spans="1:6" x14ac:dyDescent="0.25">
      <c r="A531" t="s">
        <v>2690</v>
      </c>
      <c r="B531" t="s">
        <v>253</v>
      </c>
      <c r="C531" t="s">
        <v>87</v>
      </c>
      <c r="D531" t="s">
        <v>2044</v>
      </c>
      <c r="E531" t="s">
        <v>1886</v>
      </c>
      <c r="F531">
        <v>20950</v>
      </c>
    </row>
    <row r="532" spans="1:6" x14ac:dyDescent="0.25">
      <c r="A532" t="s">
        <v>2691</v>
      </c>
      <c r="B532" t="s">
        <v>256</v>
      </c>
      <c r="C532" t="s">
        <v>51</v>
      </c>
      <c r="D532" t="s">
        <v>1998</v>
      </c>
      <c r="E532" t="s">
        <v>1879</v>
      </c>
      <c r="F532">
        <v>2231</v>
      </c>
    </row>
    <row r="533" spans="1:6" x14ac:dyDescent="0.25">
      <c r="A533" t="s">
        <v>2692</v>
      </c>
      <c r="B533" t="s">
        <v>256</v>
      </c>
      <c r="C533" t="s">
        <v>51</v>
      </c>
      <c r="D533" t="s">
        <v>2693</v>
      </c>
      <c r="E533" t="s">
        <v>1879</v>
      </c>
      <c r="F533">
        <v>1633</v>
      </c>
    </row>
    <row r="534" spans="1:6" x14ac:dyDescent="0.25">
      <c r="A534" t="s">
        <v>2694</v>
      </c>
      <c r="B534" t="s">
        <v>256</v>
      </c>
      <c r="C534" t="s">
        <v>51</v>
      </c>
      <c r="D534" t="s">
        <v>2380</v>
      </c>
      <c r="E534" t="s">
        <v>1871</v>
      </c>
      <c r="F534">
        <v>2588</v>
      </c>
    </row>
    <row r="535" spans="1:6" x14ac:dyDescent="0.25">
      <c r="A535" t="s">
        <v>2695</v>
      </c>
      <c r="B535" t="s">
        <v>256</v>
      </c>
      <c r="C535" t="s">
        <v>51</v>
      </c>
      <c r="D535" t="s">
        <v>1957</v>
      </c>
      <c r="E535" t="s">
        <v>1879</v>
      </c>
      <c r="F535">
        <v>850</v>
      </c>
    </row>
    <row r="536" spans="1:6" x14ac:dyDescent="0.25">
      <c r="A536" t="s">
        <v>2696</v>
      </c>
      <c r="B536" t="s">
        <v>256</v>
      </c>
      <c r="C536" t="s">
        <v>51</v>
      </c>
      <c r="D536" t="s">
        <v>2615</v>
      </c>
      <c r="E536" t="s">
        <v>1871</v>
      </c>
      <c r="F536">
        <v>3484</v>
      </c>
    </row>
    <row r="537" spans="1:6" x14ac:dyDescent="0.25">
      <c r="A537" t="s">
        <v>2697</v>
      </c>
      <c r="B537" t="s">
        <v>256</v>
      </c>
      <c r="C537" t="s">
        <v>51</v>
      </c>
      <c r="D537" t="s">
        <v>2693</v>
      </c>
      <c r="E537" t="s">
        <v>1886</v>
      </c>
      <c r="F537">
        <v>23571</v>
      </c>
    </row>
    <row r="538" spans="1:6" x14ac:dyDescent="0.25">
      <c r="A538" t="s">
        <v>2698</v>
      </c>
      <c r="B538" t="s">
        <v>256</v>
      </c>
      <c r="C538" t="s">
        <v>51</v>
      </c>
      <c r="D538" t="s">
        <v>2699</v>
      </c>
      <c r="E538" t="s">
        <v>1879</v>
      </c>
      <c r="F538">
        <v>11558</v>
      </c>
    </row>
    <row r="539" spans="1:6" x14ac:dyDescent="0.25">
      <c r="A539" t="s">
        <v>2700</v>
      </c>
      <c r="B539" t="s">
        <v>259</v>
      </c>
      <c r="C539" t="s">
        <v>146</v>
      </c>
      <c r="D539" t="s">
        <v>2457</v>
      </c>
      <c r="E539" t="s">
        <v>1879</v>
      </c>
      <c r="F539">
        <v>20561</v>
      </c>
    </row>
    <row r="540" spans="1:6" x14ac:dyDescent="0.25">
      <c r="A540" t="s">
        <v>2701</v>
      </c>
      <c r="B540" t="s">
        <v>259</v>
      </c>
      <c r="C540" t="s">
        <v>146</v>
      </c>
      <c r="D540" t="s">
        <v>2326</v>
      </c>
      <c r="E540" t="s">
        <v>1886</v>
      </c>
      <c r="F540">
        <v>33868</v>
      </c>
    </row>
    <row r="541" spans="1:6" x14ac:dyDescent="0.25">
      <c r="A541" t="s">
        <v>2702</v>
      </c>
      <c r="B541" t="s">
        <v>259</v>
      </c>
      <c r="C541" t="s">
        <v>146</v>
      </c>
      <c r="D541" t="s">
        <v>2341</v>
      </c>
      <c r="E541" t="s">
        <v>1915</v>
      </c>
      <c r="F541">
        <v>44368</v>
      </c>
    </row>
    <row r="542" spans="1:6" x14ac:dyDescent="0.25">
      <c r="A542" t="s">
        <v>2703</v>
      </c>
      <c r="B542" t="s">
        <v>259</v>
      </c>
      <c r="C542" t="s">
        <v>146</v>
      </c>
      <c r="D542" t="s">
        <v>2704</v>
      </c>
      <c r="E542" t="s">
        <v>1915</v>
      </c>
      <c r="F542">
        <v>32791</v>
      </c>
    </row>
    <row r="543" spans="1:6" x14ac:dyDescent="0.25">
      <c r="A543" t="s">
        <v>2705</v>
      </c>
      <c r="B543" t="s">
        <v>259</v>
      </c>
      <c r="C543" t="s">
        <v>146</v>
      </c>
      <c r="D543" t="s">
        <v>2706</v>
      </c>
      <c r="E543" t="s">
        <v>1886</v>
      </c>
      <c r="F543">
        <v>27142</v>
      </c>
    </row>
    <row r="544" spans="1:6" x14ac:dyDescent="0.25">
      <c r="A544" t="s">
        <v>2707</v>
      </c>
      <c r="B544" t="s">
        <v>259</v>
      </c>
      <c r="C544" t="s">
        <v>146</v>
      </c>
      <c r="D544" t="s">
        <v>2708</v>
      </c>
      <c r="E544" t="s">
        <v>1876</v>
      </c>
      <c r="F544">
        <v>2037</v>
      </c>
    </row>
    <row r="545" spans="1:6" x14ac:dyDescent="0.25">
      <c r="A545" t="s">
        <v>2709</v>
      </c>
      <c r="B545" t="s">
        <v>259</v>
      </c>
      <c r="C545" t="s">
        <v>146</v>
      </c>
      <c r="D545" t="s">
        <v>2141</v>
      </c>
      <c r="E545" t="s">
        <v>1915</v>
      </c>
      <c r="F545">
        <v>38916</v>
      </c>
    </row>
    <row r="546" spans="1:6" x14ac:dyDescent="0.25">
      <c r="A546" t="s">
        <v>2710</v>
      </c>
      <c r="B546" t="s">
        <v>259</v>
      </c>
      <c r="C546" t="s">
        <v>146</v>
      </c>
      <c r="D546" t="s">
        <v>2355</v>
      </c>
      <c r="E546" t="s">
        <v>1879</v>
      </c>
      <c r="F546">
        <v>21564</v>
      </c>
    </row>
    <row r="547" spans="1:6" x14ac:dyDescent="0.25">
      <c r="A547" t="s">
        <v>2711</v>
      </c>
      <c r="B547" t="s">
        <v>262</v>
      </c>
      <c r="C547" t="s">
        <v>96</v>
      </c>
      <c r="D547" t="s">
        <v>2203</v>
      </c>
      <c r="E547" t="s">
        <v>1871</v>
      </c>
      <c r="F547">
        <v>27302</v>
      </c>
    </row>
    <row r="548" spans="1:6" x14ac:dyDescent="0.25">
      <c r="A548" t="s">
        <v>2712</v>
      </c>
      <c r="B548" t="s">
        <v>262</v>
      </c>
      <c r="C548" t="s">
        <v>96</v>
      </c>
      <c r="D548" t="s">
        <v>2713</v>
      </c>
      <c r="E548" t="s">
        <v>1915</v>
      </c>
      <c r="F548">
        <v>37461</v>
      </c>
    </row>
    <row r="549" spans="1:6" x14ac:dyDescent="0.25">
      <c r="A549" t="s">
        <v>2714</v>
      </c>
      <c r="B549" t="s">
        <v>262</v>
      </c>
      <c r="C549" t="s">
        <v>96</v>
      </c>
      <c r="D549" t="s">
        <v>2544</v>
      </c>
      <c r="E549" t="s">
        <v>1876</v>
      </c>
      <c r="F549">
        <v>28136</v>
      </c>
    </row>
    <row r="550" spans="1:6" x14ac:dyDescent="0.25">
      <c r="A550" t="s">
        <v>2715</v>
      </c>
      <c r="B550" t="s">
        <v>262</v>
      </c>
      <c r="C550" t="s">
        <v>96</v>
      </c>
      <c r="D550" t="s">
        <v>2198</v>
      </c>
      <c r="E550" t="s">
        <v>1876</v>
      </c>
      <c r="F550">
        <v>21841</v>
      </c>
    </row>
    <row r="551" spans="1:6" x14ac:dyDescent="0.25">
      <c r="A551" t="s">
        <v>2716</v>
      </c>
      <c r="B551" t="s">
        <v>262</v>
      </c>
      <c r="C551" t="s">
        <v>96</v>
      </c>
      <c r="D551" t="s">
        <v>1968</v>
      </c>
      <c r="E551" t="s">
        <v>1915</v>
      </c>
      <c r="F551">
        <v>29527</v>
      </c>
    </row>
    <row r="552" spans="1:6" x14ac:dyDescent="0.25">
      <c r="A552" t="s">
        <v>2717</v>
      </c>
      <c r="B552" t="s">
        <v>262</v>
      </c>
      <c r="C552" t="s">
        <v>96</v>
      </c>
      <c r="D552" t="s">
        <v>1919</v>
      </c>
      <c r="E552" t="s">
        <v>1876</v>
      </c>
      <c r="F552">
        <v>35338</v>
      </c>
    </row>
    <row r="553" spans="1:6" x14ac:dyDescent="0.25">
      <c r="A553" t="s">
        <v>2718</v>
      </c>
      <c r="B553" t="s">
        <v>262</v>
      </c>
      <c r="C553" t="s">
        <v>96</v>
      </c>
      <c r="D553" t="s">
        <v>1914</v>
      </c>
      <c r="E553" t="s">
        <v>1879</v>
      </c>
      <c r="F553">
        <v>17974</v>
      </c>
    </row>
    <row r="554" spans="1:6" x14ac:dyDescent="0.25">
      <c r="A554" t="s">
        <v>2719</v>
      </c>
      <c r="B554" t="s">
        <v>262</v>
      </c>
      <c r="C554" t="s">
        <v>96</v>
      </c>
      <c r="D554" t="s">
        <v>2720</v>
      </c>
      <c r="E554" t="s">
        <v>1876</v>
      </c>
      <c r="F554">
        <v>3912</v>
      </c>
    </row>
    <row r="555" spans="1:6" x14ac:dyDescent="0.25">
      <c r="A555" t="s">
        <v>2721</v>
      </c>
      <c r="B555" t="s">
        <v>262</v>
      </c>
      <c r="C555" t="s">
        <v>96</v>
      </c>
      <c r="D555" t="s">
        <v>2722</v>
      </c>
      <c r="E555" t="s">
        <v>1886</v>
      </c>
      <c r="F555">
        <v>3028</v>
      </c>
    </row>
    <row r="556" spans="1:6" x14ac:dyDescent="0.25">
      <c r="A556" t="s">
        <v>2723</v>
      </c>
      <c r="B556" t="s">
        <v>262</v>
      </c>
      <c r="C556" t="s">
        <v>96</v>
      </c>
      <c r="D556" t="s">
        <v>2293</v>
      </c>
      <c r="E556" t="s">
        <v>1879</v>
      </c>
      <c r="F556">
        <v>13492</v>
      </c>
    </row>
    <row r="557" spans="1:6" x14ac:dyDescent="0.25">
      <c r="A557" t="s">
        <v>2724</v>
      </c>
      <c r="B557" t="s">
        <v>262</v>
      </c>
      <c r="C557" t="s">
        <v>96</v>
      </c>
      <c r="D557" t="s">
        <v>1988</v>
      </c>
      <c r="E557" t="s">
        <v>1879</v>
      </c>
      <c r="F557">
        <v>16617</v>
      </c>
    </row>
    <row r="558" spans="1:6" x14ac:dyDescent="0.25">
      <c r="A558" t="s">
        <v>2725</v>
      </c>
      <c r="B558" t="s">
        <v>262</v>
      </c>
      <c r="C558" t="s">
        <v>96</v>
      </c>
      <c r="D558" t="s">
        <v>2726</v>
      </c>
      <c r="E558" t="s">
        <v>1879</v>
      </c>
      <c r="F558">
        <v>20193</v>
      </c>
    </row>
    <row r="559" spans="1:6" x14ac:dyDescent="0.25">
      <c r="A559" t="s">
        <v>2727</v>
      </c>
      <c r="B559" t="s">
        <v>265</v>
      </c>
      <c r="C559" t="s">
        <v>146</v>
      </c>
      <c r="D559" t="s">
        <v>2302</v>
      </c>
      <c r="E559" t="s">
        <v>1871</v>
      </c>
      <c r="F559">
        <v>31995</v>
      </c>
    </row>
    <row r="560" spans="1:6" x14ac:dyDescent="0.25">
      <c r="A560" t="s">
        <v>2728</v>
      </c>
      <c r="B560" t="s">
        <v>265</v>
      </c>
      <c r="C560" t="s">
        <v>146</v>
      </c>
      <c r="D560" t="s">
        <v>2494</v>
      </c>
      <c r="E560" t="s">
        <v>1915</v>
      </c>
      <c r="F560">
        <v>38634</v>
      </c>
    </row>
    <row r="561" spans="1:6" x14ac:dyDescent="0.25">
      <c r="A561" t="s">
        <v>2729</v>
      </c>
      <c r="B561" t="s">
        <v>265</v>
      </c>
      <c r="C561" t="s">
        <v>146</v>
      </c>
      <c r="D561" t="s">
        <v>1978</v>
      </c>
      <c r="E561" t="s">
        <v>1886</v>
      </c>
      <c r="F561">
        <v>12757</v>
      </c>
    </row>
    <row r="562" spans="1:6" x14ac:dyDescent="0.25">
      <c r="A562" t="s">
        <v>2730</v>
      </c>
      <c r="B562" t="s">
        <v>265</v>
      </c>
      <c r="C562" t="s">
        <v>146</v>
      </c>
      <c r="D562" t="s">
        <v>2535</v>
      </c>
      <c r="E562" t="s">
        <v>1876</v>
      </c>
      <c r="F562">
        <v>31989</v>
      </c>
    </row>
    <row r="563" spans="1:6" x14ac:dyDescent="0.25">
      <c r="A563" t="s">
        <v>2731</v>
      </c>
      <c r="B563" t="s">
        <v>265</v>
      </c>
      <c r="C563" t="s">
        <v>146</v>
      </c>
      <c r="D563" t="s">
        <v>2732</v>
      </c>
      <c r="E563" t="s">
        <v>1879</v>
      </c>
      <c r="F563">
        <v>4354</v>
      </c>
    </row>
    <row r="564" spans="1:6" x14ac:dyDescent="0.25">
      <c r="A564" t="s">
        <v>2733</v>
      </c>
      <c r="B564" t="s">
        <v>265</v>
      </c>
      <c r="C564" t="s">
        <v>146</v>
      </c>
      <c r="D564" t="s">
        <v>2657</v>
      </c>
      <c r="E564" t="s">
        <v>1915</v>
      </c>
      <c r="F564">
        <v>32777</v>
      </c>
    </row>
    <row r="565" spans="1:6" x14ac:dyDescent="0.25">
      <c r="A565" t="s">
        <v>2734</v>
      </c>
      <c r="B565" t="s">
        <v>265</v>
      </c>
      <c r="C565" t="s">
        <v>146</v>
      </c>
      <c r="D565" t="s">
        <v>2735</v>
      </c>
      <c r="E565" t="s">
        <v>1915</v>
      </c>
      <c r="F565">
        <v>28747</v>
      </c>
    </row>
    <row r="566" spans="1:6" x14ac:dyDescent="0.25">
      <c r="A566" t="s">
        <v>2736</v>
      </c>
      <c r="B566" t="s">
        <v>265</v>
      </c>
      <c r="C566" t="s">
        <v>146</v>
      </c>
      <c r="D566" t="s">
        <v>2399</v>
      </c>
      <c r="E566" t="s">
        <v>1915</v>
      </c>
      <c r="F566">
        <v>11039</v>
      </c>
    </row>
    <row r="567" spans="1:6" x14ac:dyDescent="0.25">
      <c r="A567" t="s">
        <v>2737</v>
      </c>
      <c r="B567" t="s">
        <v>265</v>
      </c>
      <c r="C567" t="s">
        <v>146</v>
      </c>
      <c r="D567" t="s">
        <v>2738</v>
      </c>
      <c r="E567" t="s">
        <v>1915</v>
      </c>
      <c r="F567">
        <v>16493</v>
      </c>
    </row>
    <row r="568" spans="1:6" x14ac:dyDescent="0.25">
      <c r="A568" t="s">
        <v>2739</v>
      </c>
      <c r="B568" t="s">
        <v>265</v>
      </c>
      <c r="C568" t="s">
        <v>146</v>
      </c>
      <c r="D568" t="s">
        <v>1910</v>
      </c>
      <c r="E568" t="s">
        <v>1879</v>
      </c>
      <c r="F568">
        <v>14152</v>
      </c>
    </row>
    <row r="569" spans="1:6" x14ac:dyDescent="0.25">
      <c r="A569" t="s">
        <v>2740</v>
      </c>
      <c r="B569" t="s">
        <v>265</v>
      </c>
      <c r="C569" t="s">
        <v>146</v>
      </c>
      <c r="D569" t="s">
        <v>2097</v>
      </c>
      <c r="E569" t="s">
        <v>1886</v>
      </c>
      <c r="F569">
        <v>21070</v>
      </c>
    </row>
    <row r="570" spans="1:6" x14ac:dyDescent="0.25">
      <c r="A570" t="s">
        <v>2741</v>
      </c>
      <c r="B570" t="s">
        <v>265</v>
      </c>
      <c r="C570" t="s">
        <v>146</v>
      </c>
      <c r="D570" t="s">
        <v>2645</v>
      </c>
      <c r="E570" t="s">
        <v>1915</v>
      </c>
      <c r="F570">
        <v>31194</v>
      </c>
    </row>
    <row r="571" spans="1:6" x14ac:dyDescent="0.25">
      <c r="A571" t="s">
        <v>2742</v>
      </c>
      <c r="B571" t="s">
        <v>268</v>
      </c>
      <c r="C571" t="s">
        <v>73</v>
      </c>
      <c r="D571" t="s">
        <v>2525</v>
      </c>
      <c r="E571" t="s">
        <v>1871</v>
      </c>
      <c r="F571">
        <v>388</v>
      </c>
    </row>
    <row r="572" spans="1:6" x14ac:dyDescent="0.25">
      <c r="A572" t="s">
        <v>2743</v>
      </c>
      <c r="B572" t="s">
        <v>268</v>
      </c>
      <c r="C572" t="s">
        <v>73</v>
      </c>
      <c r="D572" t="s">
        <v>2624</v>
      </c>
      <c r="E572" t="s">
        <v>1879</v>
      </c>
      <c r="F572">
        <v>5034</v>
      </c>
    </row>
    <row r="573" spans="1:6" x14ac:dyDescent="0.25">
      <c r="A573" t="s">
        <v>2744</v>
      </c>
      <c r="B573" t="s">
        <v>268</v>
      </c>
      <c r="C573" t="s">
        <v>73</v>
      </c>
      <c r="D573" t="s">
        <v>2745</v>
      </c>
      <c r="E573" t="s">
        <v>1871</v>
      </c>
      <c r="F573">
        <v>5067</v>
      </c>
    </row>
    <row r="574" spans="1:6" x14ac:dyDescent="0.25">
      <c r="A574" t="s">
        <v>2746</v>
      </c>
      <c r="B574" t="s">
        <v>268</v>
      </c>
      <c r="C574" t="s">
        <v>73</v>
      </c>
      <c r="D574" t="s">
        <v>2747</v>
      </c>
      <c r="E574" t="s">
        <v>1879</v>
      </c>
      <c r="F574">
        <v>7639</v>
      </c>
    </row>
    <row r="575" spans="1:6" x14ac:dyDescent="0.25">
      <c r="A575" t="s">
        <v>2748</v>
      </c>
      <c r="B575" t="s">
        <v>268</v>
      </c>
      <c r="C575" t="s">
        <v>73</v>
      </c>
      <c r="D575" t="s">
        <v>1945</v>
      </c>
      <c r="E575" t="s">
        <v>1915</v>
      </c>
      <c r="F575">
        <v>8955</v>
      </c>
    </row>
    <row r="576" spans="1:6" x14ac:dyDescent="0.25">
      <c r="A576" t="s">
        <v>2749</v>
      </c>
      <c r="B576" t="s">
        <v>268</v>
      </c>
      <c r="C576" t="s">
        <v>73</v>
      </c>
      <c r="D576" t="s">
        <v>2212</v>
      </c>
      <c r="E576" t="s">
        <v>1879</v>
      </c>
      <c r="F576">
        <v>12840</v>
      </c>
    </row>
    <row r="577" spans="1:6" x14ac:dyDescent="0.25">
      <c r="A577" t="s">
        <v>2750</v>
      </c>
      <c r="B577" t="s">
        <v>268</v>
      </c>
      <c r="C577" t="s">
        <v>73</v>
      </c>
      <c r="D577" t="s">
        <v>2574</v>
      </c>
      <c r="E577" t="s">
        <v>1886</v>
      </c>
      <c r="F577">
        <v>6335</v>
      </c>
    </row>
    <row r="578" spans="1:6" x14ac:dyDescent="0.25">
      <c r="A578" t="s">
        <v>2751</v>
      </c>
      <c r="B578" t="s">
        <v>268</v>
      </c>
      <c r="C578" t="s">
        <v>73</v>
      </c>
      <c r="D578" t="s">
        <v>2280</v>
      </c>
      <c r="E578" t="s">
        <v>1871</v>
      </c>
      <c r="F578">
        <v>11917</v>
      </c>
    </row>
    <row r="579" spans="1:6" x14ac:dyDescent="0.25">
      <c r="A579" t="s">
        <v>2752</v>
      </c>
      <c r="B579" t="s">
        <v>268</v>
      </c>
      <c r="C579" t="s">
        <v>73</v>
      </c>
      <c r="D579" t="s">
        <v>2735</v>
      </c>
      <c r="E579" t="s">
        <v>1871</v>
      </c>
      <c r="F579">
        <v>7975</v>
      </c>
    </row>
    <row r="580" spans="1:6" x14ac:dyDescent="0.25">
      <c r="A580" t="s">
        <v>2753</v>
      </c>
      <c r="B580" t="s">
        <v>268</v>
      </c>
      <c r="C580" t="s">
        <v>73</v>
      </c>
      <c r="D580" t="s">
        <v>2155</v>
      </c>
      <c r="E580" t="s">
        <v>1879</v>
      </c>
      <c r="F580">
        <v>3419</v>
      </c>
    </row>
    <row r="581" spans="1:6" x14ac:dyDescent="0.25">
      <c r="A581" t="s">
        <v>2754</v>
      </c>
      <c r="B581" t="s">
        <v>268</v>
      </c>
      <c r="C581" t="s">
        <v>73</v>
      </c>
      <c r="D581" t="s">
        <v>2212</v>
      </c>
      <c r="E581" t="s">
        <v>1871</v>
      </c>
      <c r="F581">
        <v>12652</v>
      </c>
    </row>
    <row r="582" spans="1:6" x14ac:dyDescent="0.25">
      <c r="A582" t="s">
        <v>2755</v>
      </c>
      <c r="B582" t="s">
        <v>271</v>
      </c>
      <c r="C582" t="s">
        <v>51</v>
      </c>
      <c r="D582" t="s">
        <v>2756</v>
      </c>
      <c r="E582" t="s">
        <v>1915</v>
      </c>
      <c r="F582">
        <v>76784</v>
      </c>
    </row>
    <row r="583" spans="1:6" x14ac:dyDescent="0.25">
      <c r="A583" t="s">
        <v>2757</v>
      </c>
      <c r="B583" t="s">
        <v>271</v>
      </c>
      <c r="C583" t="s">
        <v>51</v>
      </c>
      <c r="D583" t="s">
        <v>1904</v>
      </c>
      <c r="E583" t="s">
        <v>1876</v>
      </c>
      <c r="F583">
        <v>52605</v>
      </c>
    </row>
    <row r="584" spans="1:6" x14ac:dyDescent="0.25">
      <c r="A584" t="s">
        <v>2758</v>
      </c>
      <c r="B584" t="s">
        <v>271</v>
      </c>
      <c r="C584" t="s">
        <v>51</v>
      </c>
      <c r="D584" t="s">
        <v>2040</v>
      </c>
      <c r="E584" t="s">
        <v>1886</v>
      </c>
      <c r="F584">
        <v>15553</v>
      </c>
    </row>
    <row r="585" spans="1:6" x14ac:dyDescent="0.25">
      <c r="A585" t="s">
        <v>2759</v>
      </c>
      <c r="B585" t="s">
        <v>271</v>
      </c>
      <c r="C585" t="s">
        <v>51</v>
      </c>
      <c r="D585" t="s">
        <v>1949</v>
      </c>
      <c r="E585" t="s">
        <v>1879</v>
      </c>
      <c r="F585">
        <v>9514</v>
      </c>
    </row>
    <row r="586" spans="1:6" x14ac:dyDescent="0.25">
      <c r="A586" t="s">
        <v>2760</v>
      </c>
      <c r="B586" t="s">
        <v>271</v>
      </c>
      <c r="C586" t="s">
        <v>51</v>
      </c>
      <c r="D586" t="s">
        <v>2026</v>
      </c>
      <c r="E586" t="s">
        <v>1879</v>
      </c>
      <c r="F586">
        <v>9131</v>
      </c>
    </row>
    <row r="587" spans="1:6" x14ac:dyDescent="0.25">
      <c r="A587" t="s">
        <v>2761</v>
      </c>
      <c r="B587" t="s">
        <v>271</v>
      </c>
      <c r="C587" t="s">
        <v>51</v>
      </c>
      <c r="D587" t="s">
        <v>1878</v>
      </c>
      <c r="E587" t="s">
        <v>1886</v>
      </c>
      <c r="F587">
        <v>28991</v>
      </c>
    </row>
    <row r="588" spans="1:6" x14ac:dyDescent="0.25">
      <c r="A588" t="s">
        <v>2762</v>
      </c>
      <c r="B588" t="s">
        <v>271</v>
      </c>
      <c r="C588" t="s">
        <v>51</v>
      </c>
      <c r="D588" t="s">
        <v>2018</v>
      </c>
      <c r="E588" t="s">
        <v>1876</v>
      </c>
      <c r="F588">
        <v>13793</v>
      </c>
    </row>
    <row r="589" spans="1:6" x14ac:dyDescent="0.25">
      <c r="A589" t="s">
        <v>2763</v>
      </c>
      <c r="B589" t="s">
        <v>273</v>
      </c>
      <c r="C589" t="s">
        <v>96</v>
      </c>
      <c r="D589" t="s">
        <v>2479</v>
      </c>
      <c r="E589" t="s">
        <v>1879</v>
      </c>
      <c r="F589">
        <v>17514</v>
      </c>
    </row>
    <row r="590" spans="1:6" x14ac:dyDescent="0.25">
      <c r="A590" t="s">
        <v>2764</v>
      </c>
      <c r="B590" t="s">
        <v>273</v>
      </c>
      <c r="C590" t="s">
        <v>96</v>
      </c>
      <c r="D590" t="s">
        <v>2765</v>
      </c>
      <c r="E590" t="s">
        <v>1915</v>
      </c>
      <c r="F590">
        <v>27197</v>
      </c>
    </row>
    <row r="591" spans="1:6" x14ac:dyDescent="0.25">
      <c r="A591" t="s">
        <v>2766</v>
      </c>
      <c r="B591" t="s">
        <v>273</v>
      </c>
      <c r="C591" t="s">
        <v>96</v>
      </c>
      <c r="D591" t="s">
        <v>1968</v>
      </c>
      <c r="E591" t="s">
        <v>1879</v>
      </c>
      <c r="F591">
        <v>4206</v>
      </c>
    </row>
    <row r="592" spans="1:6" x14ac:dyDescent="0.25">
      <c r="A592" t="s">
        <v>2767</v>
      </c>
      <c r="B592" t="s">
        <v>273</v>
      </c>
      <c r="C592" t="s">
        <v>96</v>
      </c>
      <c r="D592" t="s">
        <v>2612</v>
      </c>
      <c r="E592" t="s">
        <v>1876</v>
      </c>
      <c r="F592">
        <v>11832</v>
      </c>
    </row>
    <row r="593" spans="1:6" x14ac:dyDescent="0.25">
      <c r="A593" t="s">
        <v>2768</v>
      </c>
      <c r="B593" t="s">
        <v>273</v>
      </c>
      <c r="C593" t="s">
        <v>96</v>
      </c>
      <c r="D593" t="s">
        <v>2756</v>
      </c>
      <c r="E593" t="s">
        <v>1871</v>
      </c>
      <c r="F593">
        <v>10520</v>
      </c>
    </row>
    <row r="594" spans="1:6" x14ac:dyDescent="0.25">
      <c r="A594" t="s">
        <v>2769</v>
      </c>
      <c r="B594" t="s">
        <v>273</v>
      </c>
      <c r="C594" t="s">
        <v>96</v>
      </c>
      <c r="D594" t="s">
        <v>2770</v>
      </c>
      <c r="E594" t="s">
        <v>1915</v>
      </c>
      <c r="F594">
        <v>5530</v>
      </c>
    </row>
    <row r="595" spans="1:6" x14ac:dyDescent="0.25">
      <c r="A595" t="s">
        <v>2771</v>
      </c>
      <c r="B595" t="s">
        <v>273</v>
      </c>
      <c r="C595" t="s">
        <v>96</v>
      </c>
      <c r="D595" t="s">
        <v>2066</v>
      </c>
      <c r="E595" t="s">
        <v>1871</v>
      </c>
      <c r="F595">
        <v>9270</v>
      </c>
    </row>
    <row r="596" spans="1:6" x14ac:dyDescent="0.25">
      <c r="A596" t="s">
        <v>2772</v>
      </c>
      <c r="B596" t="s">
        <v>273</v>
      </c>
      <c r="C596" t="s">
        <v>96</v>
      </c>
      <c r="D596" t="s">
        <v>2773</v>
      </c>
      <c r="E596" t="s">
        <v>1915</v>
      </c>
      <c r="F596">
        <v>27408</v>
      </c>
    </row>
    <row r="597" spans="1:6" x14ac:dyDescent="0.25">
      <c r="A597" t="s">
        <v>2774</v>
      </c>
      <c r="B597" t="s">
        <v>273</v>
      </c>
      <c r="C597" t="s">
        <v>96</v>
      </c>
      <c r="D597" t="s">
        <v>2775</v>
      </c>
      <c r="E597" t="s">
        <v>1871</v>
      </c>
      <c r="F597">
        <v>9502</v>
      </c>
    </row>
    <row r="598" spans="1:6" x14ac:dyDescent="0.25">
      <c r="A598" t="s">
        <v>2776</v>
      </c>
      <c r="B598" t="s">
        <v>273</v>
      </c>
      <c r="C598" t="s">
        <v>96</v>
      </c>
      <c r="D598" t="s">
        <v>2693</v>
      </c>
      <c r="E598" t="s">
        <v>1915</v>
      </c>
      <c r="F598">
        <v>14332</v>
      </c>
    </row>
    <row r="599" spans="1:6" x14ac:dyDescent="0.25">
      <c r="A599" t="s">
        <v>2777</v>
      </c>
      <c r="B599" t="s">
        <v>273</v>
      </c>
      <c r="C599" t="s">
        <v>96</v>
      </c>
      <c r="D599" t="s">
        <v>2364</v>
      </c>
      <c r="E599" t="s">
        <v>1886</v>
      </c>
      <c r="F599">
        <v>17457</v>
      </c>
    </row>
    <row r="600" spans="1:6" x14ac:dyDescent="0.25">
      <c r="A600" t="s">
        <v>2778</v>
      </c>
      <c r="B600" t="s">
        <v>276</v>
      </c>
      <c r="C600" t="s">
        <v>96</v>
      </c>
      <c r="D600" t="s">
        <v>2779</v>
      </c>
      <c r="E600" t="s">
        <v>1876</v>
      </c>
      <c r="F600">
        <v>3638</v>
      </c>
    </row>
    <row r="601" spans="1:6" x14ac:dyDescent="0.25">
      <c r="A601" t="s">
        <v>2780</v>
      </c>
      <c r="B601" t="s">
        <v>276</v>
      </c>
      <c r="C601" t="s">
        <v>96</v>
      </c>
      <c r="D601" t="s">
        <v>2425</v>
      </c>
      <c r="E601" t="s">
        <v>1915</v>
      </c>
      <c r="F601">
        <v>20706</v>
      </c>
    </row>
    <row r="602" spans="1:6" x14ac:dyDescent="0.25">
      <c r="A602" t="s">
        <v>2781</v>
      </c>
      <c r="B602" t="s">
        <v>276</v>
      </c>
      <c r="C602" t="s">
        <v>96</v>
      </c>
      <c r="D602" t="s">
        <v>2064</v>
      </c>
      <c r="E602" t="s">
        <v>1879</v>
      </c>
      <c r="F602">
        <v>8372</v>
      </c>
    </row>
    <row r="603" spans="1:6" x14ac:dyDescent="0.25">
      <c r="A603" t="s">
        <v>2782</v>
      </c>
      <c r="B603" t="s">
        <v>276</v>
      </c>
      <c r="C603" t="s">
        <v>96</v>
      </c>
      <c r="D603" t="s">
        <v>2236</v>
      </c>
      <c r="E603" t="s">
        <v>1915</v>
      </c>
      <c r="F603">
        <v>3250</v>
      </c>
    </row>
    <row r="604" spans="1:6" x14ac:dyDescent="0.25">
      <c r="A604" t="s">
        <v>2783</v>
      </c>
      <c r="B604" t="s">
        <v>276</v>
      </c>
      <c r="C604" t="s">
        <v>96</v>
      </c>
      <c r="D604" t="s">
        <v>2680</v>
      </c>
      <c r="E604" t="s">
        <v>1871</v>
      </c>
      <c r="F604">
        <v>7339</v>
      </c>
    </row>
    <row r="605" spans="1:6" x14ac:dyDescent="0.25">
      <c r="A605" t="s">
        <v>2784</v>
      </c>
      <c r="B605" t="s">
        <v>276</v>
      </c>
      <c r="C605" t="s">
        <v>96</v>
      </c>
      <c r="D605" t="s">
        <v>2300</v>
      </c>
      <c r="E605" t="s">
        <v>1915</v>
      </c>
      <c r="F605">
        <v>6012</v>
      </c>
    </row>
    <row r="606" spans="1:6" x14ac:dyDescent="0.25">
      <c r="A606" t="s">
        <v>2785</v>
      </c>
      <c r="B606" t="s">
        <v>276</v>
      </c>
      <c r="C606" t="s">
        <v>96</v>
      </c>
      <c r="D606" t="s">
        <v>1964</v>
      </c>
      <c r="E606" t="s">
        <v>1879</v>
      </c>
      <c r="F606">
        <v>11629</v>
      </c>
    </row>
    <row r="607" spans="1:6" x14ac:dyDescent="0.25">
      <c r="A607" t="s">
        <v>2786</v>
      </c>
      <c r="B607" t="s">
        <v>276</v>
      </c>
      <c r="C607" t="s">
        <v>96</v>
      </c>
      <c r="D607" t="s">
        <v>2114</v>
      </c>
      <c r="E607" t="s">
        <v>1886</v>
      </c>
      <c r="F607">
        <v>6448</v>
      </c>
    </row>
    <row r="608" spans="1:6" x14ac:dyDescent="0.25">
      <c r="A608" t="s">
        <v>2787</v>
      </c>
      <c r="B608" t="s">
        <v>276</v>
      </c>
      <c r="C608" t="s">
        <v>96</v>
      </c>
      <c r="D608" t="s">
        <v>1953</v>
      </c>
      <c r="E608" t="s">
        <v>1879</v>
      </c>
      <c r="F608">
        <v>5734</v>
      </c>
    </row>
    <row r="609" spans="1:6" x14ac:dyDescent="0.25">
      <c r="A609" t="s">
        <v>2788</v>
      </c>
      <c r="B609" t="s">
        <v>279</v>
      </c>
      <c r="C609" t="s">
        <v>51</v>
      </c>
      <c r="D609" t="s">
        <v>2399</v>
      </c>
      <c r="E609" t="s">
        <v>1876</v>
      </c>
      <c r="F609">
        <v>33385</v>
      </c>
    </row>
    <row r="610" spans="1:6" x14ac:dyDescent="0.25">
      <c r="A610" t="s">
        <v>2789</v>
      </c>
      <c r="B610" t="s">
        <v>279</v>
      </c>
      <c r="C610" t="s">
        <v>51</v>
      </c>
      <c r="D610" t="s">
        <v>2338</v>
      </c>
      <c r="E610" t="s">
        <v>1886</v>
      </c>
      <c r="F610">
        <v>33590</v>
      </c>
    </row>
    <row r="611" spans="1:6" x14ac:dyDescent="0.25">
      <c r="A611" t="s">
        <v>2790</v>
      </c>
      <c r="B611" t="s">
        <v>279</v>
      </c>
      <c r="C611" t="s">
        <v>51</v>
      </c>
      <c r="D611" t="s">
        <v>2252</v>
      </c>
      <c r="E611" t="s">
        <v>1879</v>
      </c>
      <c r="F611">
        <v>34946</v>
      </c>
    </row>
    <row r="612" spans="1:6" x14ac:dyDescent="0.25">
      <c r="A612" t="s">
        <v>2791</v>
      </c>
      <c r="B612" t="s">
        <v>279</v>
      </c>
      <c r="C612" t="s">
        <v>51</v>
      </c>
      <c r="D612" t="s">
        <v>2254</v>
      </c>
      <c r="E612" t="s">
        <v>1915</v>
      </c>
      <c r="F612">
        <v>92138</v>
      </c>
    </row>
    <row r="613" spans="1:6" x14ac:dyDescent="0.25">
      <c r="A613" t="s">
        <v>2792</v>
      </c>
      <c r="B613" t="s">
        <v>279</v>
      </c>
      <c r="C613" t="s">
        <v>51</v>
      </c>
      <c r="D613" t="s">
        <v>2531</v>
      </c>
      <c r="E613" t="s">
        <v>1915</v>
      </c>
      <c r="F613">
        <v>56893</v>
      </c>
    </row>
    <row r="614" spans="1:6" x14ac:dyDescent="0.25">
      <c r="A614" t="s">
        <v>2793</v>
      </c>
      <c r="B614" t="s">
        <v>279</v>
      </c>
      <c r="C614" t="s">
        <v>51</v>
      </c>
      <c r="D614" t="s">
        <v>2794</v>
      </c>
      <c r="E614" t="s">
        <v>1915</v>
      </c>
      <c r="F614">
        <v>36193</v>
      </c>
    </row>
    <row r="615" spans="1:6" x14ac:dyDescent="0.25">
      <c r="A615" t="s">
        <v>2795</v>
      </c>
      <c r="B615" t="s">
        <v>279</v>
      </c>
      <c r="C615" t="s">
        <v>51</v>
      </c>
      <c r="D615" t="s">
        <v>2169</v>
      </c>
      <c r="E615" t="s">
        <v>1879</v>
      </c>
      <c r="F615">
        <v>51914</v>
      </c>
    </row>
    <row r="616" spans="1:6" x14ac:dyDescent="0.25">
      <c r="A616" t="s">
        <v>2796</v>
      </c>
      <c r="B616" t="s">
        <v>282</v>
      </c>
      <c r="C616" t="s">
        <v>51</v>
      </c>
      <c r="D616" t="s">
        <v>2588</v>
      </c>
      <c r="E616" t="s">
        <v>1886</v>
      </c>
      <c r="F616">
        <v>6336</v>
      </c>
    </row>
    <row r="617" spans="1:6" x14ac:dyDescent="0.25">
      <c r="A617" t="s">
        <v>2797</v>
      </c>
      <c r="B617" t="s">
        <v>282</v>
      </c>
      <c r="C617" t="s">
        <v>51</v>
      </c>
      <c r="D617" t="s">
        <v>1902</v>
      </c>
      <c r="E617" t="s">
        <v>1915</v>
      </c>
      <c r="F617">
        <v>14375</v>
      </c>
    </row>
    <row r="618" spans="1:6" x14ac:dyDescent="0.25">
      <c r="A618" t="s">
        <v>2798</v>
      </c>
      <c r="B618" t="s">
        <v>282</v>
      </c>
      <c r="C618" t="s">
        <v>51</v>
      </c>
      <c r="D618" t="s">
        <v>2468</v>
      </c>
      <c r="E618" t="s">
        <v>1879</v>
      </c>
      <c r="F618">
        <v>7616</v>
      </c>
    </row>
    <row r="619" spans="1:6" x14ac:dyDescent="0.25">
      <c r="A619" t="s">
        <v>2799</v>
      </c>
      <c r="B619" t="s">
        <v>282</v>
      </c>
      <c r="C619" t="s">
        <v>51</v>
      </c>
      <c r="D619" t="s">
        <v>2639</v>
      </c>
      <c r="E619" t="s">
        <v>1876</v>
      </c>
      <c r="F619">
        <v>10859</v>
      </c>
    </row>
    <row r="620" spans="1:6" x14ac:dyDescent="0.25">
      <c r="A620" t="s">
        <v>2800</v>
      </c>
      <c r="B620" t="s">
        <v>282</v>
      </c>
      <c r="C620" t="s">
        <v>51</v>
      </c>
      <c r="D620" t="s">
        <v>2588</v>
      </c>
      <c r="E620" t="s">
        <v>1879</v>
      </c>
      <c r="F620">
        <v>4060</v>
      </c>
    </row>
    <row r="621" spans="1:6" x14ac:dyDescent="0.25">
      <c r="A621" t="s">
        <v>2801</v>
      </c>
      <c r="B621" t="s">
        <v>282</v>
      </c>
      <c r="C621" t="s">
        <v>51</v>
      </c>
      <c r="D621" t="s">
        <v>1933</v>
      </c>
      <c r="E621" t="s">
        <v>1886</v>
      </c>
      <c r="F621">
        <v>9114</v>
      </c>
    </row>
    <row r="622" spans="1:6" x14ac:dyDescent="0.25">
      <c r="A622" t="s">
        <v>2802</v>
      </c>
      <c r="B622" t="s">
        <v>282</v>
      </c>
      <c r="C622" t="s">
        <v>51</v>
      </c>
      <c r="D622" t="s">
        <v>2803</v>
      </c>
      <c r="E622" t="s">
        <v>1871</v>
      </c>
      <c r="F622">
        <v>5556</v>
      </c>
    </row>
    <row r="623" spans="1:6" x14ac:dyDescent="0.25">
      <c r="A623" t="s">
        <v>2804</v>
      </c>
      <c r="B623" t="s">
        <v>282</v>
      </c>
      <c r="C623" t="s">
        <v>51</v>
      </c>
      <c r="D623" t="s">
        <v>2708</v>
      </c>
      <c r="E623" t="s">
        <v>1876</v>
      </c>
      <c r="F623">
        <v>12594</v>
      </c>
    </row>
    <row r="624" spans="1:6" x14ac:dyDescent="0.25">
      <c r="A624" t="s">
        <v>2805</v>
      </c>
      <c r="B624" t="s">
        <v>282</v>
      </c>
      <c r="C624" t="s">
        <v>51</v>
      </c>
      <c r="D624" t="s">
        <v>2230</v>
      </c>
      <c r="E624" t="s">
        <v>1871</v>
      </c>
      <c r="F624">
        <v>10762</v>
      </c>
    </row>
    <row r="625" spans="1:6" x14ac:dyDescent="0.25">
      <c r="A625" t="s">
        <v>2806</v>
      </c>
      <c r="B625" t="s">
        <v>282</v>
      </c>
      <c r="C625" t="s">
        <v>51</v>
      </c>
      <c r="D625" t="s">
        <v>1962</v>
      </c>
      <c r="E625" t="s">
        <v>1879</v>
      </c>
      <c r="F625">
        <v>19228</v>
      </c>
    </row>
    <row r="626" spans="1:6" x14ac:dyDescent="0.25">
      <c r="A626" t="s">
        <v>2807</v>
      </c>
      <c r="B626" t="s">
        <v>282</v>
      </c>
      <c r="C626" t="s">
        <v>51</v>
      </c>
      <c r="D626" t="s">
        <v>2221</v>
      </c>
      <c r="E626" t="s">
        <v>1876</v>
      </c>
      <c r="F626">
        <v>15822</v>
      </c>
    </row>
    <row r="627" spans="1:6" x14ac:dyDescent="0.25">
      <c r="A627" t="s">
        <v>2808</v>
      </c>
      <c r="B627" t="s">
        <v>285</v>
      </c>
      <c r="C627" t="s">
        <v>96</v>
      </c>
      <c r="D627" t="s">
        <v>2107</v>
      </c>
      <c r="E627" t="s">
        <v>1876</v>
      </c>
      <c r="F627">
        <v>31650</v>
      </c>
    </row>
    <row r="628" spans="1:6" x14ac:dyDescent="0.25">
      <c r="A628" t="s">
        <v>2809</v>
      </c>
      <c r="B628" t="s">
        <v>285</v>
      </c>
      <c r="C628" t="s">
        <v>96</v>
      </c>
      <c r="D628" t="s">
        <v>2631</v>
      </c>
      <c r="E628" t="s">
        <v>1871</v>
      </c>
      <c r="F628">
        <v>39597</v>
      </c>
    </row>
    <row r="629" spans="1:6" x14ac:dyDescent="0.25">
      <c r="A629" t="s">
        <v>2810</v>
      </c>
      <c r="B629" t="s">
        <v>285</v>
      </c>
      <c r="C629" t="s">
        <v>96</v>
      </c>
      <c r="D629" t="s">
        <v>1878</v>
      </c>
      <c r="E629" t="s">
        <v>1876</v>
      </c>
      <c r="F629">
        <v>7811</v>
      </c>
    </row>
    <row r="630" spans="1:6" x14ac:dyDescent="0.25">
      <c r="A630" t="s">
        <v>2811</v>
      </c>
      <c r="B630" t="s">
        <v>285</v>
      </c>
      <c r="C630" t="s">
        <v>96</v>
      </c>
      <c r="D630" t="s">
        <v>2812</v>
      </c>
      <c r="E630" t="s">
        <v>1871</v>
      </c>
      <c r="F630">
        <v>9646</v>
      </c>
    </row>
    <row r="631" spans="1:6" x14ac:dyDescent="0.25">
      <c r="A631" t="s">
        <v>2813</v>
      </c>
      <c r="B631" t="s">
        <v>285</v>
      </c>
      <c r="C631" t="s">
        <v>96</v>
      </c>
      <c r="D631" t="s">
        <v>2399</v>
      </c>
      <c r="E631" t="s">
        <v>1879</v>
      </c>
      <c r="F631">
        <v>40345</v>
      </c>
    </row>
    <row r="632" spans="1:6" x14ac:dyDescent="0.25">
      <c r="A632" t="s">
        <v>2814</v>
      </c>
      <c r="B632" t="s">
        <v>285</v>
      </c>
      <c r="C632" t="s">
        <v>96</v>
      </c>
      <c r="D632" t="s">
        <v>2533</v>
      </c>
      <c r="E632" t="s">
        <v>1876</v>
      </c>
      <c r="F632">
        <v>22924</v>
      </c>
    </row>
    <row r="633" spans="1:6" x14ac:dyDescent="0.25">
      <c r="A633" t="s">
        <v>2815</v>
      </c>
      <c r="B633" t="s">
        <v>285</v>
      </c>
      <c r="C633" t="s">
        <v>96</v>
      </c>
      <c r="D633" t="s">
        <v>2816</v>
      </c>
      <c r="E633" t="s">
        <v>1915</v>
      </c>
      <c r="F633">
        <v>58304</v>
      </c>
    </row>
    <row r="634" spans="1:6" x14ac:dyDescent="0.25">
      <c r="A634" t="s">
        <v>2817</v>
      </c>
      <c r="B634" t="s">
        <v>285</v>
      </c>
      <c r="C634" t="s">
        <v>96</v>
      </c>
      <c r="D634" t="s">
        <v>2012</v>
      </c>
      <c r="E634" t="s">
        <v>1879</v>
      </c>
      <c r="F634">
        <v>14994</v>
      </c>
    </row>
    <row r="635" spans="1:6" x14ac:dyDescent="0.25">
      <c r="A635" t="s">
        <v>2818</v>
      </c>
      <c r="B635" t="s">
        <v>285</v>
      </c>
      <c r="C635" t="s">
        <v>96</v>
      </c>
      <c r="D635" t="s">
        <v>2350</v>
      </c>
      <c r="E635" t="s">
        <v>1915</v>
      </c>
      <c r="F635">
        <v>20285</v>
      </c>
    </row>
    <row r="636" spans="1:6" x14ac:dyDescent="0.25">
      <c r="A636" t="s">
        <v>2819</v>
      </c>
      <c r="B636" t="s">
        <v>285</v>
      </c>
      <c r="C636" t="s">
        <v>96</v>
      </c>
      <c r="D636" t="s">
        <v>2322</v>
      </c>
      <c r="E636" t="s">
        <v>1915</v>
      </c>
      <c r="F636">
        <v>59189</v>
      </c>
    </row>
    <row r="637" spans="1:6" x14ac:dyDescent="0.25">
      <c r="A637" t="s">
        <v>2820</v>
      </c>
      <c r="B637" t="s">
        <v>288</v>
      </c>
      <c r="C637" t="s">
        <v>146</v>
      </c>
      <c r="D637" t="s">
        <v>2612</v>
      </c>
      <c r="E637" t="s">
        <v>1879</v>
      </c>
      <c r="F637">
        <v>8468</v>
      </c>
    </row>
    <row r="638" spans="1:6" x14ac:dyDescent="0.25">
      <c r="A638" t="s">
        <v>2821</v>
      </c>
      <c r="B638" t="s">
        <v>288</v>
      </c>
      <c r="C638" t="s">
        <v>146</v>
      </c>
      <c r="D638" t="s">
        <v>2738</v>
      </c>
      <c r="E638" t="s">
        <v>1879</v>
      </c>
      <c r="F638">
        <v>11640</v>
      </c>
    </row>
    <row r="639" spans="1:6" x14ac:dyDescent="0.25">
      <c r="A639" t="s">
        <v>2822</v>
      </c>
      <c r="B639" t="s">
        <v>288</v>
      </c>
      <c r="C639" t="s">
        <v>146</v>
      </c>
      <c r="D639" t="s">
        <v>2708</v>
      </c>
      <c r="E639" t="s">
        <v>1871</v>
      </c>
      <c r="F639">
        <v>10613</v>
      </c>
    </row>
    <row r="640" spans="1:6" x14ac:dyDescent="0.25">
      <c r="A640" t="s">
        <v>2823</v>
      </c>
      <c r="B640" t="s">
        <v>288</v>
      </c>
      <c r="C640" t="s">
        <v>146</v>
      </c>
      <c r="D640" t="s">
        <v>2672</v>
      </c>
      <c r="E640" t="s">
        <v>1876</v>
      </c>
      <c r="F640">
        <v>5425</v>
      </c>
    </row>
    <row r="641" spans="1:6" x14ac:dyDescent="0.25">
      <c r="A641" t="s">
        <v>2824</v>
      </c>
      <c r="B641" t="s">
        <v>288</v>
      </c>
      <c r="C641" t="s">
        <v>146</v>
      </c>
      <c r="D641" t="s">
        <v>1990</v>
      </c>
      <c r="E641" t="s">
        <v>1915</v>
      </c>
      <c r="F641">
        <v>15718</v>
      </c>
    </row>
    <row r="642" spans="1:6" x14ac:dyDescent="0.25">
      <c r="A642" t="s">
        <v>2825</v>
      </c>
      <c r="B642" t="s">
        <v>288</v>
      </c>
      <c r="C642" t="s">
        <v>146</v>
      </c>
      <c r="D642" t="s">
        <v>1996</v>
      </c>
      <c r="E642" t="s">
        <v>1915</v>
      </c>
      <c r="F642">
        <v>9805</v>
      </c>
    </row>
    <row r="643" spans="1:6" x14ac:dyDescent="0.25">
      <c r="A643" t="s">
        <v>2826</v>
      </c>
      <c r="B643" t="s">
        <v>288</v>
      </c>
      <c r="C643" t="s">
        <v>146</v>
      </c>
      <c r="D643" t="s">
        <v>2515</v>
      </c>
      <c r="E643" t="s">
        <v>1871</v>
      </c>
      <c r="F643">
        <v>16695</v>
      </c>
    </row>
    <row r="644" spans="1:6" x14ac:dyDescent="0.25">
      <c r="A644" t="s">
        <v>2827</v>
      </c>
      <c r="B644" t="s">
        <v>288</v>
      </c>
      <c r="C644" t="s">
        <v>146</v>
      </c>
      <c r="D644" t="s">
        <v>1896</v>
      </c>
      <c r="E644" t="s">
        <v>1886</v>
      </c>
      <c r="F644">
        <v>24768</v>
      </c>
    </row>
    <row r="645" spans="1:6" x14ac:dyDescent="0.25">
      <c r="A645" t="s">
        <v>2828</v>
      </c>
      <c r="B645" t="s">
        <v>288</v>
      </c>
      <c r="C645" t="s">
        <v>146</v>
      </c>
      <c r="D645" t="s">
        <v>2829</v>
      </c>
      <c r="E645" t="s">
        <v>1876</v>
      </c>
      <c r="F645">
        <v>16174</v>
      </c>
    </row>
    <row r="646" spans="1:6" x14ac:dyDescent="0.25">
      <c r="A646" t="s">
        <v>2830</v>
      </c>
      <c r="B646" t="s">
        <v>288</v>
      </c>
      <c r="C646" t="s">
        <v>146</v>
      </c>
      <c r="D646" t="s">
        <v>1973</v>
      </c>
      <c r="E646" t="s">
        <v>1879</v>
      </c>
      <c r="F646">
        <v>2475</v>
      </c>
    </row>
    <row r="647" spans="1:6" x14ac:dyDescent="0.25">
      <c r="A647" t="s">
        <v>2831</v>
      </c>
      <c r="B647" t="s">
        <v>288</v>
      </c>
      <c r="C647" t="s">
        <v>146</v>
      </c>
      <c r="D647" t="s">
        <v>2230</v>
      </c>
      <c r="E647" t="s">
        <v>1886</v>
      </c>
      <c r="F647">
        <v>21276</v>
      </c>
    </row>
    <row r="648" spans="1:6" x14ac:dyDescent="0.25">
      <c r="A648" t="s">
        <v>2832</v>
      </c>
      <c r="B648" t="s">
        <v>291</v>
      </c>
      <c r="C648" t="s">
        <v>87</v>
      </c>
      <c r="D648" t="s">
        <v>2756</v>
      </c>
      <c r="E648" t="s">
        <v>1915</v>
      </c>
      <c r="F648">
        <v>21882</v>
      </c>
    </row>
    <row r="649" spans="1:6" x14ac:dyDescent="0.25">
      <c r="A649" t="s">
        <v>2833</v>
      </c>
      <c r="B649" t="s">
        <v>291</v>
      </c>
      <c r="C649" t="s">
        <v>87</v>
      </c>
      <c r="D649" t="s">
        <v>2141</v>
      </c>
      <c r="E649" t="s">
        <v>1915</v>
      </c>
      <c r="F649">
        <v>58213</v>
      </c>
    </row>
    <row r="650" spans="1:6" x14ac:dyDescent="0.25">
      <c r="A650" t="s">
        <v>2834</v>
      </c>
      <c r="B650" t="s">
        <v>291</v>
      </c>
      <c r="C650" t="s">
        <v>87</v>
      </c>
      <c r="D650" t="s">
        <v>2326</v>
      </c>
      <c r="E650" t="s">
        <v>1876</v>
      </c>
      <c r="F650">
        <v>69379</v>
      </c>
    </row>
    <row r="651" spans="1:6" x14ac:dyDescent="0.25">
      <c r="A651" t="s">
        <v>2835</v>
      </c>
      <c r="B651" t="s">
        <v>291</v>
      </c>
      <c r="C651" t="s">
        <v>87</v>
      </c>
      <c r="D651" t="s">
        <v>2318</v>
      </c>
      <c r="E651" t="s">
        <v>1879</v>
      </c>
      <c r="F651">
        <v>59155</v>
      </c>
    </row>
    <row r="652" spans="1:6" x14ac:dyDescent="0.25">
      <c r="A652" t="s">
        <v>2836</v>
      </c>
      <c r="B652" t="s">
        <v>291</v>
      </c>
      <c r="C652" t="s">
        <v>87</v>
      </c>
      <c r="D652" t="s">
        <v>2803</v>
      </c>
      <c r="E652" t="s">
        <v>1871</v>
      </c>
      <c r="F652">
        <v>32742</v>
      </c>
    </row>
    <row r="653" spans="1:6" x14ac:dyDescent="0.25">
      <c r="A653" t="s">
        <v>2837</v>
      </c>
      <c r="B653" t="s">
        <v>291</v>
      </c>
      <c r="C653" t="s">
        <v>87</v>
      </c>
      <c r="D653" t="s">
        <v>2527</v>
      </c>
      <c r="E653" t="s">
        <v>1876</v>
      </c>
      <c r="F653">
        <v>18736</v>
      </c>
    </row>
    <row r="654" spans="1:6" x14ac:dyDescent="0.25">
      <c r="A654" t="s">
        <v>2838</v>
      </c>
      <c r="B654" t="s">
        <v>291</v>
      </c>
      <c r="C654" t="s">
        <v>87</v>
      </c>
      <c r="D654" t="s">
        <v>2341</v>
      </c>
      <c r="E654" t="s">
        <v>1915</v>
      </c>
      <c r="F654">
        <v>19927</v>
      </c>
    </row>
    <row r="655" spans="1:6" x14ac:dyDescent="0.25">
      <c r="A655" t="s">
        <v>2839</v>
      </c>
      <c r="B655" t="s">
        <v>294</v>
      </c>
      <c r="C655" t="s">
        <v>87</v>
      </c>
      <c r="D655" t="s">
        <v>2840</v>
      </c>
      <c r="E655" t="s">
        <v>1871</v>
      </c>
      <c r="F655">
        <v>15681</v>
      </c>
    </row>
    <row r="656" spans="1:6" x14ac:dyDescent="0.25">
      <c r="A656" t="s">
        <v>2841</v>
      </c>
      <c r="B656" t="s">
        <v>294</v>
      </c>
      <c r="C656" t="s">
        <v>87</v>
      </c>
      <c r="D656" t="s">
        <v>2238</v>
      </c>
      <c r="E656" t="s">
        <v>1876</v>
      </c>
      <c r="F656">
        <v>25180</v>
      </c>
    </row>
    <row r="657" spans="1:6" x14ac:dyDescent="0.25">
      <c r="A657" t="s">
        <v>2842</v>
      </c>
      <c r="B657" t="s">
        <v>294</v>
      </c>
      <c r="C657" t="s">
        <v>87</v>
      </c>
      <c r="D657" t="s">
        <v>2615</v>
      </c>
      <c r="E657" t="s">
        <v>1876</v>
      </c>
      <c r="F657">
        <v>26878</v>
      </c>
    </row>
    <row r="658" spans="1:6" x14ac:dyDescent="0.25">
      <c r="A658" t="s">
        <v>2843</v>
      </c>
      <c r="B658" t="s">
        <v>294</v>
      </c>
      <c r="C658" t="s">
        <v>87</v>
      </c>
      <c r="D658" t="s">
        <v>2525</v>
      </c>
      <c r="E658" t="s">
        <v>1879</v>
      </c>
      <c r="F658">
        <v>14492</v>
      </c>
    </row>
    <row r="659" spans="1:6" x14ac:dyDescent="0.25">
      <c r="A659" t="s">
        <v>2844</v>
      </c>
      <c r="B659" t="s">
        <v>294</v>
      </c>
      <c r="C659" t="s">
        <v>87</v>
      </c>
      <c r="D659" t="s">
        <v>2020</v>
      </c>
      <c r="E659" t="s">
        <v>1886</v>
      </c>
      <c r="F659">
        <v>19412</v>
      </c>
    </row>
    <row r="660" spans="1:6" x14ac:dyDescent="0.25">
      <c r="A660" t="s">
        <v>2845</v>
      </c>
      <c r="B660" t="s">
        <v>294</v>
      </c>
      <c r="C660" t="s">
        <v>87</v>
      </c>
      <c r="D660" t="s">
        <v>2846</v>
      </c>
      <c r="E660" t="s">
        <v>1871</v>
      </c>
      <c r="F660">
        <v>408</v>
      </c>
    </row>
    <row r="661" spans="1:6" x14ac:dyDescent="0.25">
      <c r="A661" t="s">
        <v>2847</v>
      </c>
      <c r="B661" t="s">
        <v>294</v>
      </c>
      <c r="C661" t="s">
        <v>87</v>
      </c>
      <c r="D661" t="s">
        <v>1970</v>
      </c>
      <c r="E661" t="s">
        <v>1879</v>
      </c>
      <c r="F661">
        <v>35577</v>
      </c>
    </row>
    <row r="662" spans="1:6" x14ac:dyDescent="0.25">
      <c r="A662" t="s">
        <v>2848</v>
      </c>
      <c r="B662" t="s">
        <v>294</v>
      </c>
      <c r="C662" t="s">
        <v>87</v>
      </c>
      <c r="D662" t="s">
        <v>2849</v>
      </c>
      <c r="E662" t="s">
        <v>1876</v>
      </c>
      <c r="F662">
        <v>33616</v>
      </c>
    </row>
    <row r="663" spans="1:6" x14ac:dyDescent="0.25">
      <c r="A663" t="s">
        <v>2850</v>
      </c>
      <c r="B663" t="s">
        <v>294</v>
      </c>
      <c r="C663" t="s">
        <v>87</v>
      </c>
      <c r="D663" t="s">
        <v>2527</v>
      </c>
      <c r="E663" t="s">
        <v>1876</v>
      </c>
      <c r="F663">
        <v>34456</v>
      </c>
    </row>
    <row r="664" spans="1:6" x14ac:dyDescent="0.25">
      <c r="A664" t="s">
        <v>2851</v>
      </c>
      <c r="B664" t="s">
        <v>297</v>
      </c>
      <c r="C664" t="s">
        <v>73</v>
      </c>
      <c r="D664" t="s">
        <v>2070</v>
      </c>
      <c r="E664" t="s">
        <v>1915</v>
      </c>
      <c r="F664">
        <v>39963</v>
      </c>
    </row>
    <row r="665" spans="1:6" x14ac:dyDescent="0.25">
      <c r="A665" t="s">
        <v>2852</v>
      </c>
      <c r="B665" t="s">
        <v>297</v>
      </c>
      <c r="C665" t="s">
        <v>73</v>
      </c>
      <c r="D665" t="s">
        <v>2265</v>
      </c>
      <c r="E665" t="s">
        <v>1915</v>
      </c>
      <c r="F665">
        <v>69079</v>
      </c>
    </row>
    <row r="666" spans="1:6" x14ac:dyDescent="0.25">
      <c r="A666" t="s">
        <v>2853</v>
      </c>
      <c r="B666" t="s">
        <v>297</v>
      </c>
      <c r="C666" t="s">
        <v>73</v>
      </c>
      <c r="D666" t="s">
        <v>2016</v>
      </c>
      <c r="E666" t="s">
        <v>1886</v>
      </c>
      <c r="F666">
        <v>22277</v>
      </c>
    </row>
    <row r="667" spans="1:6" x14ac:dyDescent="0.25">
      <c r="A667" t="s">
        <v>2854</v>
      </c>
      <c r="B667" t="s">
        <v>297</v>
      </c>
      <c r="C667" t="s">
        <v>73</v>
      </c>
      <c r="D667" t="s">
        <v>2855</v>
      </c>
      <c r="E667" t="s">
        <v>1915</v>
      </c>
      <c r="F667">
        <v>9137</v>
      </c>
    </row>
    <row r="668" spans="1:6" x14ac:dyDescent="0.25">
      <c r="A668" t="s">
        <v>2856</v>
      </c>
      <c r="B668" t="s">
        <v>297</v>
      </c>
      <c r="C668" t="s">
        <v>73</v>
      </c>
      <c r="D668" t="s">
        <v>2857</v>
      </c>
      <c r="E668" t="s">
        <v>1915</v>
      </c>
      <c r="F668">
        <v>6829</v>
      </c>
    </row>
    <row r="669" spans="1:6" x14ac:dyDescent="0.25">
      <c r="A669" t="s">
        <v>2858</v>
      </c>
      <c r="B669" t="s">
        <v>297</v>
      </c>
      <c r="C669" t="s">
        <v>73</v>
      </c>
      <c r="D669" t="s">
        <v>1966</v>
      </c>
      <c r="E669" t="s">
        <v>1915</v>
      </c>
      <c r="F669">
        <v>49407</v>
      </c>
    </row>
    <row r="670" spans="1:6" x14ac:dyDescent="0.25">
      <c r="A670" t="s">
        <v>2859</v>
      </c>
      <c r="B670" t="s">
        <v>297</v>
      </c>
      <c r="C670" t="s">
        <v>73</v>
      </c>
      <c r="D670" t="s">
        <v>2437</v>
      </c>
      <c r="E670" t="s">
        <v>1876</v>
      </c>
      <c r="F670">
        <v>33224</v>
      </c>
    </row>
    <row r="671" spans="1:6" x14ac:dyDescent="0.25">
      <c r="A671" t="s">
        <v>2860</v>
      </c>
      <c r="B671" t="s">
        <v>300</v>
      </c>
      <c r="C671" t="s">
        <v>87</v>
      </c>
      <c r="D671" t="s">
        <v>2254</v>
      </c>
      <c r="E671" t="s">
        <v>1886</v>
      </c>
      <c r="F671">
        <v>13292</v>
      </c>
    </row>
    <row r="672" spans="1:6" x14ac:dyDescent="0.25">
      <c r="A672" t="s">
        <v>2861</v>
      </c>
      <c r="B672" t="s">
        <v>300</v>
      </c>
      <c r="C672" t="s">
        <v>87</v>
      </c>
      <c r="D672" t="s">
        <v>2230</v>
      </c>
      <c r="E672" t="s">
        <v>1879</v>
      </c>
      <c r="F672">
        <v>19888</v>
      </c>
    </row>
    <row r="673" spans="1:6" x14ac:dyDescent="0.25">
      <c r="A673" t="s">
        <v>2862</v>
      </c>
      <c r="B673" t="s">
        <v>300</v>
      </c>
      <c r="C673" t="s">
        <v>87</v>
      </c>
      <c r="D673" t="s">
        <v>2863</v>
      </c>
      <c r="E673" t="s">
        <v>1915</v>
      </c>
      <c r="F673">
        <v>25308</v>
      </c>
    </row>
    <row r="674" spans="1:6" x14ac:dyDescent="0.25">
      <c r="A674" t="s">
        <v>2864</v>
      </c>
      <c r="B674" t="s">
        <v>300</v>
      </c>
      <c r="C674" t="s">
        <v>87</v>
      </c>
      <c r="D674" t="s">
        <v>2188</v>
      </c>
      <c r="E674" t="s">
        <v>1879</v>
      </c>
      <c r="F674">
        <v>9824</v>
      </c>
    </row>
    <row r="675" spans="1:6" x14ac:dyDescent="0.25">
      <c r="A675" t="s">
        <v>2865</v>
      </c>
      <c r="B675" t="s">
        <v>300</v>
      </c>
      <c r="C675" t="s">
        <v>87</v>
      </c>
      <c r="D675" t="s">
        <v>2269</v>
      </c>
      <c r="E675" t="s">
        <v>1871</v>
      </c>
      <c r="F675">
        <v>7818</v>
      </c>
    </row>
    <row r="676" spans="1:6" x14ac:dyDescent="0.25">
      <c r="A676" t="s">
        <v>2866</v>
      </c>
      <c r="B676" t="s">
        <v>300</v>
      </c>
      <c r="C676" t="s">
        <v>87</v>
      </c>
      <c r="D676" t="s">
        <v>2704</v>
      </c>
      <c r="E676" t="s">
        <v>1886</v>
      </c>
      <c r="F676">
        <v>30187</v>
      </c>
    </row>
    <row r="677" spans="1:6" x14ac:dyDescent="0.25">
      <c r="A677" t="s">
        <v>2867</v>
      </c>
      <c r="B677" t="s">
        <v>300</v>
      </c>
      <c r="C677" t="s">
        <v>87</v>
      </c>
      <c r="D677" t="s">
        <v>2738</v>
      </c>
      <c r="E677" t="s">
        <v>1876</v>
      </c>
      <c r="F677">
        <v>2396</v>
      </c>
    </row>
    <row r="678" spans="1:6" x14ac:dyDescent="0.25">
      <c r="A678" t="s">
        <v>2868</v>
      </c>
      <c r="B678" t="s">
        <v>300</v>
      </c>
      <c r="C678" t="s">
        <v>87</v>
      </c>
      <c r="D678" t="s">
        <v>2425</v>
      </c>
      <c r="E678" t="s">
        <v>1871</v>
      </c>
      <c r="F678">
        <v>14145</v>
      </c>
    </row>
    <row r="679" spans="1:6" x14ac:dyDescent="0.25">
      <c r="A679" t="s">
        <v>2869</v>
      </c>
      <c r="B679" t="s">
        <v>303</v>
      </c>
      <c r="C679" t="s">
        <v>73</v>
      </c>
      <c r="D679" t="s">
        <v>2517</v>
      </c>
      <c r="E679" t="s">
        <v>1915</v>
      </c>
      <c r="F679">
        <v>35777</v>
      </c>
    </row>
    <row r="680" spans="1:6" x14ac:dyDescent="0.25">
      <c r="A680" t="s">
        <v>2870</v>
      </c>
      <c r="B680" t="s">
        <v>303</v>
      </c>
      <c r="C680" t="s">
        <v>73</v>
      </c>
      <c r="D680" t="s">
        <v>2331</v>
      </c>
      <c r="E680" t="s">
        <v>1886</v>
      </c>
      <c r="F680">
        <v>3942</v>
      </c>
    </row>
    <row r="681" spans="1:6" x14ac:dyDescent="0.25">
      <c r="A681" t="s">
        <v>2871</v>
      </c>
      <c r="B681" t="s">
        <v>303</v>
      </c>
      <c r="C681" t="s">
        <v>73</v>
      </c>
      <c r="D681" t="s">
        <v>2263</v>
      </c>
      <c r="E681" t="s">
        <v>1876</v>
      </c>
      <c r="F681">
        <v>42436</v>
      </c>
    </row>
    <row r="682" spans="1:6" x14ac:dyDescent="0.25">
      <c r="A682" t="s">
        <v>2872</v>
      </c>
      <c r="B682" t="s">
        <v>303</v>
      </c>
      <c r="C682" t="s">
        <v>73</v>
      </c>
      <c r="D682" t="s">
        <v>2713</v>
      </c>
      <c r="E682" t="s">
        <v>1879</v>
      </c>
      <c r="F682">
        <v>28142</v>
      </c>
    </row>
    <row r="683" spans="1:6" x14ac:dyDescent="0.25">
      <c r="A683" t="s">
        <v>2873</v>
      </c>
      <c r="B683" t="s">
        <v>303</v>
      </c>
      <c r="C683" t="s">
        <v>73</v>
      </c>
      <c r="D683" t="s">
        <v>2491</v>
      </c>
      <c r="E683" t="s">
        <v>1871</v>
      </c>
      <c r="F683">
        <v>46955</v>
      </c>
    </row>
    <row r="684" spans="1:6" x14ac:dyDescent="0.25">
      <c r="A684" t="s">
        <v>2874</v>
      </c>
      <c r="B684" t="s">
        <v>303</v>
      </c>
      <c r="C684" t="s">
        <v>73</v>
      </c>
      <c r="D684" t="s">
        <v>2119</v>
      </c>
      <c r="E684" t="s">
        <v>1879</v>
      </c>
      <c r="F684">
        <v>2603</v>
      </c>
    </row>
    <row r="685" spans="1:6" x14ac:dyDescent="0.25">
      <c r="A685" t="s">
        <v>2875</v>
      </c>
      <c r="B685" t="s">
        <v>306</v>
      </c>
      <c r="C685" t="s">
        <v>146</v>
      </c>
      <c r="D685" t="s">
        <v>1970</v>
      </c>
      <c r="E685" t="s">
        <v>1876</v>
      </c>
      <c r="F685">
        <v>14583</v>
      </c>
    </row>
    <row r="686" spans="1:6" x14ac:dyDescent="0.25">
      <c r="A686" t="s">
        <v>2876</v>
      </c>
      <c r="B686" t="s">
        <v>306</v>
      </c>
      <c r="C686" t="s">
        <v>146</v>
      </c>
      <c r="D686" t="s">
        <v>1957</v>
      </c>
      <c r="E686" t="s">
        <v>1871</v>
      </c>
      <c r="F686">
        <v>35068</v>
      </c>
    </row>
    <row r="687" spans="1:6" x14ac:dyDescent="0.25">
      <c r="A687" t="s">
        <v>2877</v>
      </c>
      <c r="B687" t="s">
        <v>306</v>
      </c>
      <c r="C687" t="s">
        <v>146</v>
      </c>
      <c r="D687" t="s">
        <v>2878</v>
      </c>
      <c r="E687" t="s">
        <v>1886</v>
      </c>
      <c r="F687">
        <v>29198</v>
      </c>
    </row>
    <row r="688" spans="1:6" x14ac:dyDescent="0.25">
      <c r="A688" t="s">
        <v>2879</v>
      </c>
      <c r="B688" t="s">
        <v>306</v>
      </c>
      <c r="C688" t="s">
        <v>146</v>
      </c>
      <c r="D688" t="s">
        <v>2720</v>
      </c>
      <c r="E688" t="s">
        <v>1871</v>
      </c>
      <c r="F688">
        <v>41600</v>
      </c>
    </row>
    <row r="689" spans="1:6" x14ac:dyDescent="0.25">
      <c r="A689" t="s">
        <v>2880</v>
      </c>
      <c r="B689" t="s">
        <v>306</v>
      </c>
      <c r="C689" t="s">
        <v>146</v>
      </c>
      <c r="D689" t="s">
        <v>1883</v>
      </c>
      <c r="E689" t="s">
        <v>1879</v>
      </c>
      <c r="F689">
        <v>23068</v>
      </c>
    </row>
    <row r="690" spans="1:6" x14ac:dyDescent="0.25">
      <c r="A690" t="s">
        <v>2881</v>
      </c>
      <c r="B690" t="s">
        <v>306</v>
      </c>
      <c r="C690" t="s">
        <v>146</v>
      </c>
      <c r="D690" t="s">
        <v>2300</v>
      </c>
      <c r="E690" t="s">
        <v>1915</v>
      </c>
      <c r="F690">
        <v>28511</v>
      </c>
    </row>
    <row r="691" spans="1:6" x14ac:dyDescent="0.25">
      <c r="A691" t="s">
        <v>2882</v>
      </c>
      <c r="B691" t="s">
        <v>309</v>
      </c>
      <c r="C691" t="s">
        <v>87</v>
      </c>
      <c r="D691" t="s">
        <v>1990</v>
      </c>
      <c r="E691" t="s">
        <v>1871</v>
      </c>
      <c r="F691">
        <v>3095</v>
      </c>
    </row>
    <row r="692" spans="1:6" x14ac:dyDescent="0.25">
      <c r="A692" t="s">
        <v>2883</v>
      </c>
      <c r="B692" t="s">
        <v>309</v>
      </c>
      <c r="C692" t="s">
        <v>87</v>
      </c>
      <c r="D692" t="s">
        <v>2064</v>
      </c>
      <c r="E692" t="s">
        <v>1915</v>
      </c>
      <c r="F692">
        <v>55257</v>
      </c>
    </row>
    <row r="693" spans="1:6" x14ac:dyDescent="0.25">
      <c r="A693" t="s">
        <v>2884</v>
      </c>
      <c r="B693" t="s">
        <v>309</v>
      </c>
      <c r="C693" t="s">
        <v>87</v>
      </c>
      <c r="D693" t="s">
        <v>2773</v>
      </c>
      <c r="E693" t="s">
        <v>1879</v>
      </c>
      <c r="F693">
        <v>18768</v>
      </c>
    </row>
    <row r="694" spans="1:6" x14ac:dyDescent="0.25">
      <c r="A694" t="s">
        <v>2885</v>
      </c>
      <c r="B694" t="s">
        <v>309</v>
      </c>
      <c r="C694" t="s">
        <v>87</v>
      </c>
      <c r="D694" t="s">
        <v>2002</v>
      </c>
      <c r="E694" t="s">
        <v>1915</v>
      </c>
      <c r="F694">
        <v>58179</v>
      </c>
    </row>
    <row r="695" spans="1:6" x14ac:dyDescent="0.25">
      <c r="A695" t="s">
        <v>2886</v>
      </c>
      <c r="B695" t="s">
        <v>309</v>
      </c>
      <c r="C695" t="s">
        <v>87</v>
      </c>
      <c r="D695" t="s">
        <v>2887</v>
      </c>
      <c r="E695" t="s">
        <v>1871</v>
      </c>
      <c r="F695">
        <v>23201</v>
      </c>
    </row>
    <row r="696" spans="1:6" x14ac:dyDescent="0.25">
      <c r="A696" t="s">
        <v>2888</v>
      </c>
      <c r="B696" t="s">
        <v>309</v>
      </c>
      <c r="C696" t="s">
        <v>87</v>
      </c>
      <c r="D696" t="s">
        <v>2145</v>
      </c>
      <c r="E696" t="s">
        <v>1886</v>
      </c>
      <c r="F696">
        <v>21655</v>
      </c>
    </row>
    <row r="697" spans="1:6" x14ac:dyDescent="0.25">
      <c r="A697" t="s">
        <v>2889</v>
      </c>
      <c r="B697" t="s">
        <v>309</v>
      </c>
      <c r="C697" t="s">
        <v>87</v>
      </c>
      <c r="D697" t="s">
        <v>2273</v>
      </c>
      <c r="E697" t="s">
        <v>1876</v>
      </c>
      <c r="F697">
        <v>6312</v>
      </c>
    </row>
    <row r="698" spans="1:6" x14ac:dyDescent="0.25">
      <c r="A698" t="s">
        <v>2890</v>
      </c>
      <c r="B698" t="s">
        <v>309</v>
      </c>
      <c r="C698" t="s">
        <v>87</v>
      </c>
      <c r="D698" t="s">
        <v>1941</v>
      </c>
      <c r="E698" t="s">
        <v>1876</v>
      </c>
      <c r="F698">
        <v>23093</v>
      </c>
    </row>
    <row r="699" spans="1:6" x14ac:dyDescent="0.25">
      <c r="A699" t="s">
        <v>2891</v>
      </c>
      <c r="B699" t="s">
        <v>312</v>
      </c>
      <c r="C699" t="s">
        <v>146</v>
      </c>
      <c r="D699" t="s">
        <v>1925</v>
      </c>
      <c r="E699" t="s">
        <v>1886</v>
      </c>
      <c r="F699">
        <v>19655</v>
      </c>
    </row>
    <row r="700" spans="1:6" x14ac:dyDescent="0.25">
      <c r="A700" t="s">
        <v>2892</v>
      </c>
      <c r="B700" t="s">
        <v>312</v>
      </c>
      <c r="C700" t="s">
        <v>146</v>
      </c>
      <c r="D700" t="s">
        <v>2631</v>
      </c>
      <c r="E700" t="s">
        <v>1879</v>
      </c>
      <c r="F700">
        <v>13860</v>
      </c>
    </row>
    <row r="701" spans="1:6" x14ac:dyDescent="0.25">
      <c r="A701" t="s">
        <v>2893</v>
      </c>
      <c r="B701" t="s">
        <v>312</v>
      </c>
      <c r="C701" t="s">
        <v>146</v>
      </c>
      <c r="D701" t="s">
        <v>2894</v>
      </c>
      <c r="E701" t="s">
        <v>1879</v>
      </c>
      <c r="F701">
        <v>28944</v>
      </c>
    </row>
    <row r="702" spans="1:6" x14ac:dyDescent="0.25">
      <c r="A702" t="s">
        <v>2895</v>
      </c>
      <c r="B702" t="s">
        <v>312</v>
      </c>
      <c r="C702" t="s">
        <v>146</v>
      </c>
      <c r="D702" t="s">
        <v>2628</v>
      </c>
      <c r="E702" t="s">
        <v>1915</v>
      </c>
      <c r="F702">
        <v>1099</v>
      </c>
    </row>
    <row r="703" spans="1:6" x14ac:dyDescent="0.25">
      <c r="A703" t="s">
        <v>2896</v>
      </c>
      <c r="B703" t="s">
        <v>312</v>
      </c>
      <c r="C703" t="s">
        <v>146</v>
      </c>
      <c r="D703" t="s">
        <v>2722</v>
      </c>
      <c r="E703" t="s">
        <v>1886</v>
      </c>
      <c r="F703">
        <v>21341</v>
      </c>
    </row>
    <row r="704" spans="1:6" x14ac:dyDescent="0.25">
      <c r="A704" t="s">
        <v>2897</v>
      </c>
      <c r="B704" t="s">
        <v>312</v>
      </c>
      <c r="C704" t="s">
        <v>146</v>
      </c>
      <c r="D704" t="s">
        <v>2849</v>
      </c>
      <c r="E704" t="s">
        <v>1915</v>
      </c>
      <c r="F704">
        <v>7976</v>
      </c>
    </row>
    <row r="705" spans="1:6" x14ac:dyDescent="0.25">
      <c r="A705" t="s">
        <v>2898</v>
      </c>
      <c r="B705" t="s">
        <v>312</v>
      </c>
      <c r="C705" t="s">
        <v>146</v>
      </c>
      <c r="D705" t="s">
        <v>2539</v>
      </c>
      <c r="E705" t="s">
        <v>1915</v>
      </c>
      <c r="F705">
        <v>50066</v>
      </c>
    </row>
    <row r="706" spans="1:6" x14ac:dyDescent="0.25">
      <c r="A706" t="s">
        <v>2899</v>
      </c>
      <c r="B706" t="s">
        <v>312</v>
      </c>
      <c r="C706" t="s">
        <v>146</v>
      </c>
      <c r="D706" t="s">
        <v>2557</v>
      </c>
      <c r="E706" t="s">
        <v>1871</v>
      </c>
      <c r="F706">
        <v>29815</v>
      </c>
    </row>
    <row r="707" spans="1:6" x14ac:dyDescent="0.25">
      <c r="A707" t="s">
        <v>2900</v>
      </c>
      <c r="B707" t="s">
        <v>312</v>
      </c>
      <c r="C707" t="s">
        <v>146</v>
      </c>
      <c r="D707" t="s">
        <v>2513</v>
      </c>
      <c r="E707" t="s">
        <v>1886</v>
      </c>
      <c r="F707">
        <v>30502</v>
      </c>
    </row>
    <row r="708" spans="1:6" x14ac:dyDescent="0.25">
      <c r="A708" t="s">
        <v>2901</v>
      </c>
      <c r="B708" t="s">
        <v>312</v>
      </c>
      <c r="C708" t="s">
        <v>146</v>
      </c>
      <c r="D708" t="s">
        <v>2165</v>
      </c>
      <c r="E708" t="s">
        <v>1879</v>
      </c>
      <c r="F708">
        <v>9635</v>
      </c>
    </row>
    <row r="709" spans="1:6" x14ac:dyDescent="0.25">
      <c r="A709" t="s">
        <v>2902</v>
      </c>
      <c r="B709" t="s">
        <v>315</v>
      </c>
      <c r="C709" t="s">
        <v>87</v>
      </c>
      <c r="D709" t="s">
        <v>1896</v>
      </c>
      <c r="E709" t="s">
        <v>1915</v>
      </c>
      <c r="F709">
        <v>3484</v>
      </c>
    </row>
    <row r="710" spans="1:6" x14ac:dyDescent="0.25">
      <c r="A710" t="s">
        <v>2903</v>
      </c>
      <c r="B710" t="s">
        <v>315</v>
      </c>
      <c r="C710" t="s">
        <v>87</v>
      </c>
      <c r="D710" t="s">
        <v>2322</v>
      </c>
      <c r="E710" t="s">
        <v>1886</v>
      </c>
      <c r="F710">
        <v>10086</v>
      </c>
    </row>
    <row r="711" spans="1:6" x14ac:dyDescent="0.25">
      <c r="A711" t="s">
        <v>2904</v>
      </c>
      <c r="B711" t="s">
        <v>315</v>
      </c>
      <c r="C711" t="s">
        <v>87</v>
      </c>
      <c r="D711" t="s">
        <v>2286</v>
      </c>
      <c r="E711" t="s">
        <v>1886</v>
      </c>
      <c r="F711">
        <v>22062</v>
      </c>
    </row>
    <row r="712" spans="1:6" x14ac:dyDescent="0.25">
      <c r="A712" t="s">
        <v>2905</v>
      </c>
      <c r="B712" t="s">
        <v>315</v>
      </c>
      <c r="C712" t="s">
        <v>87</v>
      </c>
      <c r="D712" t="s">
        <v>2302</v>
      </c>
      <c r="E712" t="s">
        <v>1871</v>
      </c>
      <c r="F712">
        <v>8912</v>
      </c>
    </row>
    <row r="713" spans="1:6" x14ac:dyDescent="0.25">
      <c r="A713" t="s">
        <v>2906</v>
      </c>
      <c r="B713" t="s">
        <v>315</v>
      </c>
      <c r="C713" t="s">
        <v>87</v>
      </c>
      <c r="D713" t="s">
        <v>2362</v>
      </c>
      <c r="E713" t="s">
        <v>1915</v>
      </c>
      <c r="F713">
        <v>23756</v>
      </c>
    </row>
    <row r="714" spans="1:6" x14ac:dyDescent="0.25">
      <c r="A714" t="s">
        <v>2907</v>
      </c>
      <c r="B714" t="s">
        <v>315</v>
      </c>
      <c r="C714" t="s">
        <v>87</v>
      </c>
      <c r="D714" t="s">
        <v>2333</v>
      </c>
      <c r="E714" t="s">
        <v>1886</v>
      </c>
      <c r="F714">
        <v>34442</v>
      </c>
    </row>
    <row r="715" spans="1:6" x14ac:dyDescent="0.25">
      <c r="A715" t="s">
        <v>2908</v>
      </c>
      <c r="B715" t="s">
        <v>315</v>
      </c>
      <c r="C715" t="s">
        <v>87</v>
      </c>
      <c r="D715" t="s">
        <v>2425</v>
      </c>
      <c r="E715" t="s">
        <v>1915</v>
      </c>
      <c r="F715">
        <v>23216</v>
      </c>
    </row>
    <row r="716" spans="1:6" x14ac:dyDescent="0.25">
      <c r="A716" t="s">
        <v>2909</v>
      </c>
      <c r="B716" t="s">
        <v>315</v>
      </c>
      <c r="C716" t="s">
        <v>87</v>
      </c>
      <c r="D716" t="s">
        <v>1885</v>
      </c>
      <c r="E716" t="s">
        <v>1879</v>
      </c>
      <c r="F716">
        <v>9496</v>
      </c>
    </row>
    <row r="717" spans="1:6" x14ac:dyDescent="0.25">
      <c r="A717" t="s">
        <v>2910</v>
      </c>
      <c r="B717" t="s">
        <v>315</v>
      </c>
      <c r="C717" t="s">
        <v>87</v>
      </c>
      <c r="D717" t="s">
        <v>2450</v>
      </c>
      <c r="E717" t="s">
        <v>1871</v>
      </c>
      <c r="F717">
        <v>11221</v>
      </c>
    </row>
    <row r="718" spans="1:6" x14ac:dyDescent="0.25">
      <c r="A718" t="s">
        <v>2911</v>
      </c>
      <c r="B718" t="s">
        <v>315</v>
      </c>
      <c r="C718" t="s">
        <v>87</v>
      </c>
      <c r="D718" t="s">
        <v>2443</v>
      </c>
      <c r="E718" t="s">
        <v>1915</v>
      </c>
      <c r="F718">
        <v>22048</v>
      </c>
    </row>
    <row r="719" spans="1:6" x14ac:dyDescent="0.25">
      <c r="A719" t="s">
        <v>2912</v>
      </c>
      <c r="B719" t="s">
        <v>315</v>
      </c>
      <c r="C719" t="s">
        <v>87</v>
      </c>
      <c r="D719" t="s">
        <v>2664</v>
      </c>
      <c r="E719" t="s">
        <v>1871</v>
      </c>
      <c r="F719">
        <v>2521</v>
      </c>
    </row>
    <row r="720" spans="1:6" x14ac:dyDescent="0.25">
      <c r="A720" t="s">
        <v>2913</v>
      </c>
      <c r="B720" t="s">
        <v>318</v>
      </c>
      <c r="C720" t="s">
        <v>51</v>
      </c>
      <c r="D720" t="s">
        <v>2914</v>
      </c>
      <c r="E720" t="s">
        <v>1879</v>
      </c>
      <c r="F720">
        <v>11888</v>
      </c>
    </row>
    <row r="721" spans="1:6" x14ac:dyDescent="0.25">
      <c r="A721" t="s">
        <v>2915</v>
      </c>
      <c r="B721" t="s">
        <v>318</v>
      </c>
      <c r="C721" t="s">
        <v>51</v>
      </c>
      <c r="D721" t="s">
        <v>1947</v>
      </c>
      <c r="E721" t="s">
        <v>1871</v>
      </c>
      <c r="F721">
        <v>23774</v>
      </c>
    </row>
    <row r="722" spans="1:6" x14ac:dyDescent="0.25">
      <c r="A722" t="s">
        <v>2916</v>
      </c>
      <c r="B722" t="s">
        <v>318</v>
      </c>
      <c r="C722" t="s">
        <v>51</v>
      </c>
      <c r="D722" t="s">
        <v>2091</v>
      </c>
      <c r="E722" t="s">
        <v>1915</v>
      </c>
      <c r="F722">
        <v>16406</v>
      </c>
    </row>
    <row r="723" spans="1:6" x14ac:dyDescent="0.25">
      <c r="A723" t="s">
        <v>2917</v>
      </c>
      <c r="B723" t="s">
        <v>318</v>
      </c>
      <c r="C723" t="s">
        <v>51</v>
      </c>
      <c r="D723" t="s">
        <v>2126</v>
      </c>
      <c r="E723" t="s">
        <v>1915</v>
      </c>
      <c r="F723">
        <v>17971</v>
      </c>
    </row>
    <row r="724" spans="1:6" x14ac:dyDescent="0.25">
      <c r="A724" t="s">
        <v>2918</v>
      </c>
      <c r="B724" t="s">
        <v>318</v>
      </c>
      <c r="C724" t="s">
        <v>51</v>
      </c>
      <c r="D724" t="s">
        <v>2645</v>
      </c>
      <c r="E724" t="s">
        <v>1876</v>
      </c>
      <c r="F724">
        <v>3711</v>
      </c>
    </row>
    <row r="725" spans="1:6" x14ac:dyDescent="0.25">
      <c r="A725" t="s">
        <v>2919</v>
      </c>
      <c r="B725" t="s">
        <v>318</v>
      </c>
      <c r="C725" t="s">
        <v>51</v>
      </c>
      <c r="D725" t="s">
        <v>2000</v>
      </c>
      <c r="E725" t="s">
        <v>1915</v>
      </c>
      <c r="F725">
        <v>49056</v>
      </c>
    </row>
    <row r="726" spans="1:6" x14ac:dyDescent="0.25">
      <c r="A726" t="s">
        <v>2920</v>
      </c>
      <c r="B726" t="s">
        <v>321</v>
      </c>
      <c r="C726" t="s">
        <v>73</v>
      </c>
      <c r="D726" t="s">
        <v>2610</v>
      </c>
      <c r="E726" t="s">
        <v>1915</v>
      </c>
      <c r="F726">
        <v>18609</v>
      </c>
    </row>
    <row r="727" spans="1:6" x14ac:dyDescent="0.25">
      <c r="A727" t="s">
        <v>2921</v>
      </c>
      <c r="B727" t="s">
        <v>321</v>
      </c>
      <c r="C727" t="s">
        <v>73</v>
      </c>
      <c r="D727" t="s">
        <v>2293</v>
      </c>
      <c r="E727" t="s">
        <v>1876</v>
      </c>
      <c r="F727">
        <v>6016</v>
      </c>
    </row>
    <row r="728" spans="1:6" x14ac:dyDescent="0.25">
      <c r="A728" t="s">
        <v>2922</v>
      </c>
      <c r="B728" t="s">
        <v>321</v>
      </c>
      <c r="C728" t="s">
        <v>73</v>
      </c>
      <c r="D728" t="s">
        <v>2533</v>
      </c>
      <c r="E728" t="s">
        <v>1871</v>
      </c>
      <c r="F728">
        <v>11047</v>
      </c>
    </row>
    <row r="729" spans="1:6" x14ac:dyDescent="0.25">
      <c r="A729" t="s">
        <v>2923</v>
      </c>
      <c r="B729" t="s">
        <v>321</v>
      </c>
      <c r="C729" t="s">
        <v>73</v>
      </c>
      <c r="D729" t="s">
        <v>2046</v>
      </c>
      <c r="E729" t="s">
        <v>1915</v>
      </c>
      <c r="F729">
        <v>13200</v>
      </c>
    </row>
    <row r="730" spans="1:6" x14ac:dyDescent="0.25">
      <c r="A730" t="s">
        <v>2924</v>
      </c>
      <c r="B730" t="s">
        <v>321</v>
      </c>
      <c r="C730" t="s">
        <v>73</v>
      </c>
      <c r="D730" t="s">
        <v>2434</v>
      </c>
      <c r="E730" t="s">
        <v>1879</v>
      </c>
      <c r="F730">
        <v>7528</v>
      </c>
    </row>
    <row r="731" spans="1:6" x14ac:dyDescent="0.25">
      <c r="A731" t="s">
        <v>2925</v>
      </c>
      <c r="B731" t="s">
        <v>321</v>
      </c>
      <c r="C731" t="s">
        <v>73</v>
      </c>
      <c r="D731" t="s">
        <v>2179</v>
      </c>
      <c r="E731" t="s">
        <v>1879</v>
      </c>
      <c r="F731">
        <v>16630</v>
      </c>
    </row>
    <row r="732" spans="1:6" x14ac:dyDescent="0.25">
      <c r="A732" t="s">
        <v>2926</v>
      </c>
      <c r="B732" t="s">
        <v>321</v>
      </c>
      <c r="C732" t="s">
        <v>73</v>
      </c>
      <c r="D732" t="s">
        <v>2328</v>
      </c>
      <c r="E732" t="s">
        <v>1915</v>
      </c>
      <c r="F732">
        <v>32911</v>
      </c>
    </row>
    <row r="733" spans="1:6" x14ac:dyDescent="0.25">
      <c r="A733" t="s">
        <v>2927</v>
      </c>
      <c r="B733" t="s">
        <v>321</v>
      </c>
      <c r="C733" t="s">
        <v>73</v>
      </c>
      <c r="D733" t="s">
        <v>1953</v>
      </c>
      <c r="E733" t="s">
        <v>1915</v>
      </c>
      <c r="F733">
        <v>12870</v>
      </c>
    </row>
    <row r="734" spans="1:6" x14ac:dyDescent="0.25">
      <c r="A734" t="s">
        <v>2928</v>
      </c>
      <c r="B734" t="s">
        <v>321</v>
      </c>
      <c r="C734" t="s">
        <v>73</v>
      </c>
      <c r="D734" t="s">
        <v>1881</v>
      </c>
      <c r="E734" t="s">
        <v>1879</v>
      </c>
      <c r="F734">
        <v>16170</v>
      </c>
    </row>
    <row r="735" spans="1:6" x14ac:dyDescent="0.25">
      <c r="A735" t="s">
        <v>2929</v>
      </c>
      <c r="B735" t="s">
        <v>321</v>
      </c>
      <c r="C735" t="s">
        <v>73</v>
      </c>
      <c r="D735" t="s">
        <v>2034</v>
      </c>
      <c r="E735" t="s">
        <v>1876</v>
      </c>
      <c r="F735">
        <v>1160</v>
      </c>
    </row>
    <row r="736" spans="1:6" x14ac:dyDescent="0.25">
      <c r="A736" t="s">
        <v>2930</v>
      </c>
      <c r="B736" t="s">
        <v>321</v>
      </c>
      <c r="C736" t="s">
        <v>73</v>
      </c>
      <c r="D736" t="s">
        <v>1923</v>
      </c>
      <c r="E736" t="s">
        <v>1879</v>
      </c>
      <c r="F736">
        <v>28364</v>
      </c>
    </row>
    <row r="737" spans="1:6" x14ac:dyDescent="0.25">
      <c r="A737" t="s">
        <v>2931</v>
      </c>
      <c r="B737" t="s">
        <v>321</v>
      </c>
      <c r="C737" t="s">
        <v>73</v>
      </c>
      <c r="D737" t="s">
        <v>2399</v>
      </c>
      <c r="E737" t="s">
        <v>1876</v>
      </c>
      <c r="F737">
        <v>3258</v>
      </c>
    </row>
    <row r="738" spans="1:6" x14ac:dyDescent="0.25">
      <c r="A738" t="s">
        <v>2932</v>
      </c>
      <c r="B738" t="s">
        <v>324</v>
      </c>
      <c r="C738" t="s">
        <v>146</v>
      </c>
      <c r="D738" t="s">
        <v>2519</v>
      </c>
      <c r="E738" t="s">
        <v>1915</v>
      </c>
      <c r="F738">
        <v>17852</v>
      </c>
    </row>
    <row r="739" spans="1:6" x14ac:dyDescent="0.25">
      <c r="A739" t="s">
        <v>2933</v>
      </c>
      <c r="B739" t="s">
        <v>324</v>
      </c>
      <c r="C739" t="s">
        <v>146</v>
      </c>
      <c r="D739" t="s">
        <v>2155</v>
      </c>
      <c r="E739" t="s">
        <v>1876</v>
      </c>
      <c r="F739">
        <v>8779</v>
      </c>
    </row>
    <row r="740" spans="1:6" x14ac:dyDescent="0.25">
      <c r="A740" t="s">
        <v>2934</v>
      </c>
      <c r="B740" t="s">
        <v>324</v>
      </c>
      <c r="C740" t="s">
        <v>146</v>
      </c>
      <c r="D740" t="s">
        <v>2849</v>
      </c>
      <c r="E740" t="s">
        <v>1915</v>
      </c>
      <c r="F740">
        <v>22515</v>
      </c>
    </row>
    <row r="741" spans="1:6" x14ac:dyDescent="0.25">
      <c r="A741" t="s">
        <v>2935</v>
      </c>
      <c r="B741" t="s">
        <v>324</v>
      </c>
      <c r="C741" t="s">
        <v>146</v>
      </c>
      <c r="D741" t="s">
        <v>2378</v>
      </c>
      <c r="E741" t="s">
        <v>1879</v>
      </c>
      <c r="F741">
        <v>9014</v>
      </c>
    </row>
    <row r="742" spans="1:6" x14ac:dyDescent="0.25">
      <c r="A742" t="s">
        <v>2936</v>
      </c>
      <c r="B742" t="s">
        <v>324</v>
      </c>
      <c r="C742" t="s">
        <v>146</v>
      </c>
      <c r="D742" t="s">
        <v>2007</v>
      </c>
      <c r="E742" t="s">
        <v>1871</v>
      </c>
      <c r="F742">
        <v>14605</v>
      </c>
    </row>
    <row r="743" spans="1:6" x14ac:dyDescent="0.25">
      <c r="A743" t="s">
        <v>2937</v>
      </c>
      <c r="B743" t="s">
        <v>324</v>
      </c>
      <c r="C743" t="s">
        <v>146</v>
      </c>
      <c r="D743" t="s">
        <v>2747</v>
      </c>
      <c r="E743" t="s">
        <v>1876</v>
      </c>
      <c r="F743">
        <v>3723</v>
      </c>
    </row>
    <row r="744" spans="1:6" x14ac:dyDescent="0.25">
      <c r="A744" t="s">
        <v>2938</v>
      </c>
      <c r="B744" t="s">
        <v>327</v>
      </c>
      <c r="C744" t="s">
        <v>51</v>
      </c>
      <c r="D744" t="s">
        <v>2939</v>
      </c>
      <c r="E744" t="s">
        <v>1871</v>
      </c>
      <c r="F744">
        <v>15389</v>
      </c>
    </row>
    <row r="745" spans="1:6" x14ac:dyDescent="0.25">
      <c r="A745" t="s">
        <v>2940</v>
      </c>
      <c r="B745" t="s">
        <v>327</v>
      </c>
      <c r="C745" t="s">
        <v>51</v>
      </c>
      <c r="D745" t="s">
        <v>2531</v>
      </c>
      <c r="E745" t="s">
        <v>1879</v>
      </c>
      <c r="F745">
        <v>22085</v>
      </c>
    </row>
    <row r="746" spans="1:6" x14ac:dyDescent="0.25">
      <c r="A746" t="s">
        <v>2941</v>
      </c>
      <c r="B746" t="s">
        <v>327</v>
      </c>
      <c r="C746" t="s">
        <v>51</v>
      </c>
      <c r="D746" t="s">
        <v>2038</v>
      </c>
      <c r="E746" t="s">
        <v>1915</v>
      </c>
      <c r="F746">
        <v>30042</v>
      </c>
    </row>
    <row r="747" spans="1:6" x14ac:dyDescent="0.25">
      <c r="A747" t="s">
        <v>2942</v>
      </c>
      <c r="B747" t="s">
        <v>327</v>
      </c>
      <c r="C747" t="s">
        <v>51</v>
      </c>
      <c r="D747" t="s">
        <v>1988</v>
      </c>
      <c r="E747" t="s">
        <v>1915</v>
      </c>
      <c r="F747">
        <v>11420</v>
      </c>
    </row>
    <row r="748" spans="1:6" x14ac:dyDescent="0.25">
      <c r="A748" t="s">
        <v>2943</v>
      </c>
      <c r="B748" t="s">
        <v>327</v>
      </c>
      <c r="C748" t="s">
        <v>51</v>
      </c>
      <c r="D748" t="s">
        <v>2273</v>
      </c>
      <c r="E748" t="s">
        <v>1879</v>
      </c>
      <c r="F748">
        <v>17890</v>
      </c>
    </row>
    <row r="749" spans="1:6" x14ac:dyDescent="0.25">
      <c r="A749" t="s">
        <v>2944</v>
      </c>
      <c r="B749" t="s">
        <v>327</v>
      </c>
      <c r="C749" t="s">
        <v>51</v>
      </c>
      <c r="D749" t="s">
        <v>2720</v>
      </c>
      <c r="E749" t="s">
        <v>1879</v>
      </c>
      <c r="F749">
        <v>24793</v>
      </c>
    </row>
    <row r="750" spans="1:6" x14ac:dyDescent="0.25">
      <c r="A750" t="s">
        <v>2945</v>
      </c>
      <c r="B750" t="s">
        <v>327</v>
      </c>
      <c r="C750" t="s">
        <v>51</v>
      </c>
      <c r="D750" t="s">
        <v>2533</v>
      </c>
      <c r="E750" t="s">
        <v>1915</v>
      </c>
      <c r="F750">
        <v>9556</v>
      </c>
    </row>
    <row r="751" spans="1:6" x14ac:dyDescent="0.25">
      <c r="A751" t="s">
        <v>2946</v>
      </c>
      <c r="B751" t="s">
        <v>327</v>
      </c>
      <c r="C751" t="s">
        <v>51</v>
      </c>
      <c r="D751" t="s">
        <v>2513</v>
      </c>
      <c r="E751" t="s">
        <v>1915</v>
      </c>
      <c r="F751">
        <v>29287</v>
      </c>
    </row>
    <row r="752" spans="1:6" x14ac:dyDescent="0.25">
      <c r="A752" t="s">
        <v>2947</v>
      </c>
      <c r="B752" t="s">
        <v>330</v>
      </c>
      <c r="C752" t="s">
        <v>146</v>
      </c>
      <c r="D752" t="s">
        <v>2007</v>
      </c>
      <c r="E752" t="s">
        <v>1886</v>
      </c>
      <c r="F752">
        <v>21648</v>
      </c>
    </row>
    <row r="753" spans="1:6" x14ac:dyDescent="0.25">
      <c r="A753" t="s">
        <v>2948</v>
      </c>
      <c r="B753" t="s">
        <v>330</v>
      </c>
      <c r="C753" t="s">
        <v>146</v>
      </c>
      <c r="D753" t="s">
        <v>2179</v>
      </c>
      <c r="E753" t="s">
        <v>1876</v>
      </c>
      <c r="F753">
        <v>12642</v>
      </c>
    </row>
    <row r="754" spans="1:6" x14ac:dyDescent="0.25">
      <c r="A754" t="s">
        <v>2949</v>
      </c>
      <c r="B754" t="s">
        <v>330</v>
      </c>
      <c r="C754" t="s">
        <v>146</v>
      </c>
      <c r="D754" t="s">
        <v>2488</v>
      </c>
      <c r="E754" t="s">
        <v>1871</v>
      </c>
      <c r="F754">
        <v>4057</v>
      </c>
    </row>
    <row r="755" spans="1:6" x14ac:dyDescent="0.25">
      <c r="A755" t="s">
        <v>2950</v>
      </c>
      <c r="B755" t="s">
        <v>330</v>
      </c>
      <c r="C755" t="s">
        <v>146</v>
      </c>
      <c r="D755" t="s">
        <v>2430</v>
      </c>
      <c r="E755" t="s">
        <v>1915</v>
      </c>
      <c r="F755">
        <v>23418</v>
      </c>
    </row>
    <row r="756" spans="1:6" x14ac:dyDescent="0.25">
      <c r="A756" t="s">
        <v>2951</v>
      </c>
      <c r="B756" t="s">
        <v>330</v>
      </c>
      <c r="C756" t="s">
        <v>146</v>
      </c>
      <c r="D756" t="s">
        <v>2421</v>
      </c>
      <c r="E756" t="s">
        <v>1871</v>
      </c>
      <c r="F756">
        <v>1358</v>
      </c>
    </row>
    <row r="757" spans="1:6" x14ac:dyDescent="0.25">
      <c r="A757" t="s">
        <v>2952</v>
      </c>
      <c r="B757" t="s">
        <v>330</v>
      </c>
      <c r="C757" t="s">
        <v>146</v>
      </c>
      <c r="D757" t="s">
        <v>2693</v>
      </c>
      <c r="E757" t="s">
        <v>1879</v>
      </c>
      <c r="F757">
        <v>8497</v>
      </c>
    </row>
    <row r="758" spans="1:6" x14ac:dyDescent="0.25">
      <c r="A758" t="s">
        <v>2953</v>
      </c>
      <c r="B758" t="s">
        <v>330</v>
      </c>
      <c r="C758" t="s">
        <v>146</v>
      </c>
      <c r="D758" t="s">
        <v>2954</v>
      </c>
      <c r="E758" t="s">
        <v>1879</v>
      </c>
      <c r="F758">
        <v>18847</v>
      </c>
    </row>
    <row r="759" spans="1:6" x14ac:dyDescent="0.25">
      <c r="A759" t="s">
        <v>2955</v>
      </c>
      <c r="B759" t="s">
        <v>330</v>
      </c>
      <c r="C759" t="s">
        <v>146</v>
      </c>
      <c r="D759" t="s">
        <v>2956</v>
      </c>
      <c r="E759" t="s">
        <v>1915</v>
      </c>
      <c r="F759">
        <v>33394</v>
      </c>
    </row>
    <row r="760" spans="1:6" x14ac:dyDescent="0.25">
      <c r="A760" t="s">
        <v>2957</v>
      </c>
      <c r="B760" t="s">
        <v>330</v>
      </c>
      <c r="C760" t="s">
        <v>146</v>
      </c>
      <c r="D760" t="s">
        <v>2958</v>
      </c>
      <c r="E760" t="s">
        <v>1879</v>
      </c>
      <c r="F760">
        <v>12598</v>
      </c>
    </row>
    <row r="761" spans="1:6" x14ac:dyDescent="0.25">
      <c r="A761" t="s">
        <v>2959</v>
      </c>
      <c r="B761" t="s">
        <v>330</v>
      </c>
      <c r="C761" t="s">
        <v>146</v>
      </c>
      <c r="D761" t="s">
        <v>1902</v>
      </c>
      <c r="E761" t="s">
        <v>1871</v>
      </c>
      <c r="F761">
        <v>11633</v>
      </c>
    </row>
    <row r="762" spans="1:6" x14ac:dyDescent="0.25">
      <c r="A762" t="s">
        <v>2960</v>
      </c>
      <c r="B762" t="s">
        <v>330</v>
      </c>
      <c r="C762" t="s">
        <v>146</v>
      </c>
      <c r="D762" t="s">
        <v>2265</v>
      </c>
      <c r="E762" t="s">
        <v>1871</v>
      </c>
      <c r="F762">
        <v>4499</v>
      </c>
    </row>
    <row r="763" spans="1:6" x14ac:dyDescent="0.25">
      <c r="A763" t="s">
        <v>2961</v>
      </c>
      <c r="B763" t="s">
        <v>330</v>
      </c>
      <c r="C763" t="s">
        <v>146</v>
      </c>
      <c r="D763" t="s">
        <v>2580</v>
      </c>
      <c r="E763" t="s">
        <v>1879</v>
      </c>
      <c r="F763">
        <v>3410</v>
      </c>
    </row>
    <row r="764" spans="1:6" x14ac:dyDescent="0.25">
      <c r="A764" t="s">
        <v>2962</v>
      </c>
      <c r="B764" t="s">
        <v>333</v>
      </c>
      <c r="C764" t="s">
        <v>51</v>
      </c>
      <c r="D764" t="s">
        <v>2143</v>
      </c>
      <c r="E764" t="s">
        <v>1886</v>
      </c>
      <c r="F764">
        <v>21531</v>
      </c>
    </row>
    <row r="765" spans="1:6" x14ac:dyDescent="0.25">
      <c r="A765" t="s">
        <v>2963</v>
      </c>
      <c r="B765" t="s">
        <v>333</v>
      </c>
      <c r="C765" t="s">
        <v>51</v>
      </c>
      <c r="D765" t="s">
        <v>2350</v>
      </c>
      <c r="E765" t="s">
        <v>1876</v>
      </c>
      <c r="F765">
        <v>13184</v>
      </c>
    </row>
    <row r="766" spans="1:6" x14ac:dyDescent="0.25">
      <c r="A766" t="s">
        <v>2964</v>
      </c>
      <c r="B766" t="s">
        <v>333</v>
      </c>
      <c r="C766" t="s">
        <v>51</v>
      </c>
      <c r="D766" t="s">
        <v>2965</v>
      </c>
      <c r="E766" t="s">
        <v>1879</v>
      </c>
      <c r="F766">
        <v>3327</v>
      </c>
    </row>
    <row r="767" spans="1:6" x14ac:dyDescent="0.25">
      <c r="A767" t="s">
        <v>2966</v>
      </c>
      <c r="B767" t="s">
        <v>333</v>
      </c>
      <c r="C767" t="s">
        <v>51</v>
      </c>
      <c r="D767" t="s">
        <v>1923</v>
      </c>
      <c r="E767" t="s">
        <v>1871</v>
      </c>
      <c r="F767">
        <v>3158</v>
      </c>
    </row>
    <row r="768" spans="1:6" x14ac:dyDescent="0.25">
      <c r="A768" t="s">
        <v>2967</v>
      </c>
      <c r="B768" t="s">
        <v>333</v>
      </c>
      <c r="C768" t="s">
        <v>51</v>
      </c>
      <c r="D768" t="s">
        <v>2210</v>
      </c>
      <c r="E768" t="s">
        <v>1871</v>
      </c>
      <c r="F768">
        <v>17099</v>
      </c>
    </row>
    <row r="769" spans="1:6" x14ac:dyDescent="0.25">
      <c r="A769" t="s">
        <v>2968</v>
      </c>
      <c r="B769" t="s">
        <v>333</v>
      </c>
      <c r="C769" t="s">
        <v>51</v>
      </c>
      <c r="D769" t="s">
        <v>2404</v>
      </c>
      <c r="E769" t="s">
        <v>1876</v>
      </c>
      <c r="F769">
        <v>9240</v>
      </c>
    </row>
    <row r="770" spans="1:6" x14ac:dyDescent="0.25">
      <c r="A770" t="s">
        <v>2969</v>
      </c>
      <c r="B770" t="s">
        <v>333</v>
      </c>
      <c r="C770" t="s">
        <v>51</v>
      </c>
      <c r="D770" t="s">
        <v>2533</v>
      </c>
      <c r="E770" t="s">
        <v>1871</v>
      </c>
      <c r="F770">
        <v>3495</v>
      </c>
    </row>
    <row r="771" spans="1:6" x14ac:dyDescent="0.25">
      <c r="A771" t="s">
        <v>2970</v>
      </c>
      <c r="B771" t="s">
        <v>333</v>
      </c>
      <c r="C771" t="s">
        <v>51</v>
      </c>
      <c r="D771" t="s">
        <v>2036</v>
      </c>
      <c r="E771" t="s">
        <v>1915</v>
      </c>
      <c r="F771">
        <v>3690</v>
      </c>
    </row>
    <row r="772" spans="1:6" x14ac:dyDescent="0.25">
      <c r="A772" t="s">
        <v>2971</v>
      </c>
      <c r="B772" t="s">
        <v>336</v>
      </c>
      <c r="C772" t="s">
        <v>87</v>
      </c>
      <c r="D772" t="s">
        <v>2735</v>
      </c>
      <c r="E772" t="s">
        <v>1915</v>
      </c>
      <c r="F772">
        <v>26091</v>
      </c>
    </row>
    <row r="773" spans="1:6" x14ac:dyDescent="0.25">
      <c r="A773" t="s">
        <v>2972</v>
      </c>
      <c r="B773" t="s">
        <v>336</v>
      </c>
      <c r="C773" t="s">
        <v>87</v>
      </c>
      <c r="D773" t="s">
        <v>2756</v>
      </c>
      <c r="E773" t="s">
        <v>1879</v>
      </c>
      <c r="F773">
        <v>24742</v>
      </c>
    </row>
    <row r="774" spans="1:6" x14ac:dyDescent="0.25">
      <c r="A774" t="s">
        <v>2973</v>
      </c>
      <c r="B774" t="s">
        <v>336</v>
      </c>
      <c r="C774" t="s">
        <v>87</v>
      </c>
      <c r="D774" t="s">
        <v>2857</v>
      </c>
      <c r="E774" t="s">
        <v>1879</v>
      </c>
      <c r="F774">
        <v>3756</v>
      </c>
    </row>
    <row r="775" spans="1:6" x14ac:dyDescent="0.25">
      <c r="A775" t="s">
        <v>2974</v>
      </c>
      <c r="B775" t="s">
        <v>336</v>
      </c>
      <c r="C775" t="s">
        <v>87</v>
      </c>
      <c r="D775" t="s">
        <v>2443</v>
      </c>
      <c r="E775" t="s">
        <v>1915</v>
      </c>
      <c r="F775">
        <v>33679</v>
      </c>
    </row>
    <row r="776" spans="1:6" x14ac:dyDescent="0.25">
      <c r="A776" t="s">
        <v>2975</v>
      </c>
      <c r="B776" t="s">
        <v>336</v>
      </c>
      <c r="C776" t="s">
        <v>87</v>
      </c>
      <c r="D776" t="s">
        <v>2284</v>
      </c>
      <c r="E776" t="s">
        <v>1915</v>
      </c>
      <c r="F776">
        <v>29206</v>
      </c>
    </row>
    <row r="777" spans="1:6" x14ac:dyDescent="0.25">
      <c r="A777" t="s">
        <v>2976</v>
      </c>
      <c r="B777" t="s">
        <v>336</v>
      </c>
      <c r="C777" t="s">
        <v>87</v>
      </c>
      <c r="D777" t="s">
        <v>2380</v>
      </c>
      <c r="E777" t="s">
        <v>1886</v>
      </c>
      <c r="F777">
        <v>7208</v>
      </c>
    </row>
    <row r="778" spans="1:6" x14ac:dyDescent="0.25">
      <c r="A778" t="s">
        <v>2977</v>
      </c>
      <c r="B778" t="s">
        <v>336</v>
      </c>
      <c r="C778" t="s">
        <v>87</v>
      </c>
      <c r="D778" t="s">
        <v>2978</v>
      </c>
      <c r="E778" t="s">
        <v>1876</v>
      </c>
      <c r="F778">
        <v>5788</v>
      </c>
    </row>
    <row r="779" spans="1:6" x14ac:dyDescent="0.25">
      <c r="A779" t="s">
        <v>2979</v>
      </c>
      <c r="B779" t="s">
        <v>336</v>
      </c>
      <c r="C779" t="s">
        <v>87</v>
      </c>
      <c r="D779" t="s">
        <v>2316</v>
      </c>
      <c r="E779" t="s">
        <v>1876</v>
      </c>
      <c r="F779">
        <v>25842</v>
      </c>
    </row>
    <row r="780" spans="1:6" x14ac:dyDescent="0.25">
      <c r="A780" t="s">
        <v>2980</v>
      </c>
      <c r="B780" t="s">
        <v>336</v>
      </c>
      <c r="C780" t="s">
        <v>87</v>
      </c>
      <c r="D780" t="s">
        <v>1941</v>
      </c>
      <c r="E780" t="s">
        <v>1879</v>
      </c>
      <c r="F780">
        <v>11047</v>
      </c>
    </row>
    <row r="781" spans="1:6" x14ac:dyDescent="0.25">
      <c r="A781" t="s">
        <v>2981</v>
      </c>
      <c r="B781" t="s">
        <v>336</v>
      </c>
      <c r="C781" t="s">
        <v>87</v>
      </c>
      <c r="D781" t="s">
        <v>2051</v>
      </c>
      <c r="E781" t="s">
        <v>1879</v>
      </c>
      <c r="F781">
        <v>4133</v>
      </c>
    </row>
    <row r="782" spans="1:6" x14ac:dyDescent="0.25">
      <c r="A782" t="s">
        <v>2982</v>
      </c>
      <c r="B782" t="s">
        <v>336</v>
      </c>
      <c r="C782" t="s">
        <v>87</v>
      </c>
      <c r="D782" t="s">
        <v>2104</v>
      </c>
      <c r="E782" t="s">
        <v>1876</v>
      </c>
      <c r="F782">
        <v>18662</v>
      </c>
    </row>
    <row r="783" spans="1:6" x14ac:dyDescent="0.25">
      <c r="A783" t="s">
        <v>2983</v>
      </c>
      <c r="B783" t="s">
        <v>339</v>
      </c>
      <c r="C783" t="s">
        <v>51</v>
      </c>
      <c r="D783" t="s">
        <v>2958</v>
      </c>
      <c r="E783" t="s">
        <v>1886</v>
      </c>
      <c r="F783">
        <v>15561</v>
      </c>
    </row>
    <row r="784" spans="1:6" x14ac:dyDescent="0.25">
      <c r="A784" t="s">
        <v>2984</v>
      </c>
      <c r="B784" t="s">
        <v>339</v>
      </c>
      <c r="C784" t="s">
        <v>51</v>
      </c>
      <c r="D784" t="s">
        <v>2445</v>
      </c>
      <c r="E784" t="s">
        <v>1886</v>
      </c>
      <c r="F784">
        <v>13052</v>
      </c>
    </row>
    <row r="785" spans="1:6" x14ac:dyDescent="0.25">
      <c r="A785" t="s">
        <v>2985</v>
      </c>
      <c r="B785" t="s">
        <v>339</v>
      </c>
      <c r="C785" t="s">
        <v>51</v>
      </c>
      <c r="D785" t="s">
        <v>2061</v>
      </c>
      <c r="E785" t="s">
        <v>1871</v>
      </c>
      <c r="F785">
        <v>16852</v>
      </c>
    </row>
    <row r="786" spans="1:6" x14ac:dyDescent="0.25">
      <c r="A786" t="s">
        <v>2986</v>
      </c>
      <c r="B786" t="s">
        <v>339</v>
      </c>
      <c r="C786" t="s">
        <v>51</v>
      </c>
      <c r="D786" t="s">
        <v>1888</v>
      </c>
      <c r="E786" t="s">
        <v>1876</v>
      </c>
      <c r="F786">
        <v>41612</v>
      </c>
    </row>
    <row r="787" spans="1:6" x14ac:dyDescent="0.25">
      <c r="A787" t="s">
        <v>2987</v>
      </c>
      <c r="B787" t="s">
        <v>339</v>
      </c>
      <c r="C787" t="s">
        <v>51</v>
      </c>
      <c r="D787" t="s">
        <v>1910</v>
      </c>
      <c r="E787" t="s">
        <v>1879</v>
      </c>
      <c r="F787">
        <v>11316</v>
      </c>
    </row>
    <row r="788" spans="1:6" x14ac:dyDescent="0.25">
      <c r="A788" t="s">
        <v>2988</v>
      </c>
      <c r="B788" t="s">
        <v>339</v>
      </c>
      <c r="C788" t="s">
        <v>51</v>
      </c>
      <c r="D788" t="s">
        <v>1978</v>
      </c>
      <c r="E788" t="s">
        <v>1871</v>
      </c>
      <c r="F788">
        <v>7385</v>
      </c>
    </row>
    <row r="789" spans="1:6" x14ac:dyDescent="0.25">
      <c r="A789" t="s">
        <v>2989</v>
      </c>
      <c r="B789" t="s">
        <v>339</v>
      </c>
      <c r="C789" t="s">
        <v>51</v>
      </c>
      <c r="D789" t="s">
        <v>2038</v>
      </c>
      <c r="E789" t="s">
        <v>1879</v>
      </c>
      <c r="F789">
        <v>37211</v>
      </c>
    </row>
    <row r="790" spans="1:6" x14ac:dyDescent="0.25">
      <c r="A790" t="s">
        <v>2990</v>
      </c>
      <c r="B790" t="s">
        <v>339</v>
      </c>
      <c r="C790" t="s">
        <v>51</v>
      </c>
      <c r="D790" t="s">
        <v>2735</v>
      </c>
      <c r="E790" t="s">
        <v>1886</v>
      </c>
      <c r="F790">
        <v>5703</v>
      </c>
    </row>
    <row r="791" spans="1:6" x14ac:dyDescent="0.25">
      <c r="A791" t="s">
        <v>2991</v>
      </c>
      <c r="B791" t="s">
        <v>339</v>
      </c>
      <c r="C791" t="s">
        <v>51</v>
      </c>
      <c r="D791" t="s">
        <v>2604</v>
      </c>
      <c r="E791" t="s">
        <v>1876</v>
      </c>
      <c r="F791">
        <v>35002</v>
      </c>
    </row>
    <row r="792" spans="1:6" x14ac:dyDescent="0.25">
      <c r="A792" t="s">
        <v>2992</v>
      </c>
      <c r="B792" t="s">
        <v>339</v>
      </c>
      <c r="C792" t="s">
        <v>51</v>
      </c>
      <c r="D792" t="s">
        <v>2993</v>
      </c>
      <c r="E792" t="s">
        <v>1879</v>
      </c>
      <c r="F792">
        <v>26148</v>
      </c>
    </row>
    <row r="793" spans="1:6" x14ac:dyDescent="0.25">
      <c r="A793" t="s">
        <v>2994</v>
      </c>
      <c r="B793" t="s">
        <v>339</v>
      </c>
      <c r="C793" t="s">
        <v>51</v>
      </c>
      <c r="D793" t="s">
        <v>2099</v>
      </c>
      <c r="E793" t="s">
        <v>1915</v>
      </c>
      <c r="F793">
        <v>66525</v>
      </c>
    </row>
    <row r="794" spans="1:6" x14ac:dyDescent="0.25">
      <c r="A794" t="s">
        <v>2995</v>
      </c>
      <c r="B794" t="s">
        <v>342</v>
      </c>
      <c r="C794" t="s">
        <v>87</v>
      </c>
      <c r="D794" t="s">
        <v>1697</v>
      </c>
      <c r="E794" t="s">
        <v>1879</v>
      </c>
      <c r="F794">
        <v>20220</v>
      </c>
    </row>
    <row r="795" spans="1:6" x14ac:dyDescent="0.25">
      <c r="A795" t="s">
        <v>2996</v>
      </c>
      <c r="B795" t="s">
        <v>342</v>
      </c>
      <c r="C795" t="s">
        <v>87</v>
      </c>
      <c r="D795" t="s">
        <v>1927</v>
      </c>
      <c r="E795" t="s">
        <v>1915</v>
      </c>
      <c r="F795">
        <v>4351</v>
      </c>
    </row>
    <row r="796" spans="1:6" x14ac:dyDescent="0.25">
      <c r="A796" t="s">
        <v>2997</v>
      </c>
      <c r="B796" t="s">
        <v>342</v>
      </c>
      <c r="C796" t="s">
        <v>87</v>
      </c>
      <c r="D796" t="s">
        <v>2012</v>
      </c>
      <c r="E796" t="s">
        <v>1871</v>
      </c>
      <c r="F796">
        <v>18513</v>
      </c>
    </row>
    <row r="797" spans="1:6" x14ac:dyDescent="0.25">
      <c r="A797" t="s">
        <v>2998</v>
      </c>
      <c r="B797" t="s">
        <v>342</v>
      </c>
      <c r="C797" t="s">
        <v>87</v>
      </c>
      <c r="D797" t="s">
        <v>2175</v>
      </c>
      <c r="E797" t="s">
        <v>1879</v>
      </c>
      <c r="F797">
        <v>7917</v>
      </c>
    </row>
    <row r="798" spans="1:6" x14ac:dyDescent="0.25">
      <c r="A798" t="s">
        <v>2999</v>
      </c>
      <c r="B798" t="s">
        <v>342</v>
      </c>
      <c r="C798" t="s">
        <v>87</v>
      </c>
      <c r="D798" t="s">
        <v>1914</v>
      </c>
      <c r="E798" t="s">
        <v>1879</v>
      </c>
      <c r="F798">
        <v>11022</v>
      </c>
    </row>
    <row r="799" spans="1:6" x14ac:dyDescent="0.25">
      <c r="A799" t="s">
        <v>3000</v>
      </c>
      <c r="B799" t="s">
        <v>342</v>
      </c>
      <c r="C799" t="s">
        <v>87</v>
      </c>
      <c r="D799" t="s">
        <v>2132</v>
      </c>
      <c r="E799" t="s">
        <v>1886</v>
      </c>
      <c r="F799">
        <v>28201</v>
      </c>
    </row>
    <row r="800" spans="1:6" x14ac:dyDescent="0.25">
      <c r="A800" t="s">
        <v>3001</v>
      </c>
      <c r="B800" t="s">
        <v>342</v>
      </c>
      <c r="C800" t="s">
        <v>87</v>
      </c>
      <c r="D800" t="s">
        <v>2849</v>
      </c>
      <c r="E800" t="s">
        <v>1876</v>
      </c>
      <c r="F800">
        <v>15081</v>
      </c>
    </row>
    <row r="801" spans="1:6" x14ac:dyDescent="0.25">
      <c r="A801" t="s">
        <v>3002</v>
      </c>
      <c r="B801" t="s">
        <v>342</v>
      </c>
      <c r="C801" t="s">
        <v>87</v>
      </c>
      <c r="D801" t="s">
        <v>2346</v>
      </c>
      <c r="E801" t="s">
        <v>1879</v>
      </c>
      <c r="F801">
        <v>10968</v>
      </c>
    </row>
    <row r="802" spans="1:6" x14ac:dyDescent="0.25">
      <c r="A802" t="s">
        <v>3003</v>
      </c>
      <c r="B802" t="s">
        <v>342</v>
      </c>
      <c r="C802" t="s">
        <v>87</v>
      </c>
      <c r="D802" t="s">
        <v>1931</v>
      </c>
      <c r="E802" t="s">
        <v>1886</v>
      </c>
      <c r="F802">
        <v>11302</v>
      </c>
    </row>
    <row r="803" spans="1:6" x14ac:dyDescent="0.25">
      <c r="A803" t="s">
        <v>3004</v>
      </c>
      <c r="B803" t="s">
        <v>342</v>
      </c>
      <c r="C803" t="s">
        <v>87</v>
      </c>
      <c r="D803" t="s">
        <v>1933</v>
      </c>
      <c r="E803" t="s">
        <v>1915</v>
      </c>
      <c r="F803">
        <v>29933</v>
      </c>
    </row>
    <row r="804" spans="1:6" x14ac:dyDescent="0.25">
      <c r="A804" t="s">
        <v>3005</v>
      </c>
      <c r="B804" t="s">
        <v>345</v>
      </c>
      <c r="C804" t="s">
        <v>51</v>
      </c>
      <c r="D804" t="s">
        <v>2005</v>
      </c>
      <c r="E804" t="s">
        <v>1871</v>
      </c>
      <c r="F804">
        <v>25837</v>
      </c>
    </row>
    <row r="805" spans="1:6" x14ac:dyDescent="0.25">
      <c r="A805" t="s">
        <v>3006</v>
      </c>
      <c r="B805" t="s">
        <v>345</v>
      </c>
      <c r="C805" t="s">
        <v>51</v>
      </c>
      <c r="D805" t="s">
        <v>2639</v>
      </c>
      <c r="E805" t="s">
        <v>1876</v>
      </c>
      <c r="F805">
        <v>50231</v>
      </c>
    </row>
    <row r="806" spans="1:6" x14ac:dyDescent="0.25">
      <c r="A806" t="s">
        <v>3007</v>
      </c>
      <c r="B806" t="s">
        <v>345</v>
      </c>
      <c r="C806" t="s">
        <v>51</v>
      </c>
      <c r="D806" t="s">
        <v>3008</v>
      </c>
      <c r="E806" t="s">
        <v>1871</v>
      </c>
      <c r="F806">
        <v>37896</v>
      </c>
    </row>
    <row r="807" spans="1:6" x14ac:dyDescent="0.25">
      <c r="A807" t="s">
        <v>3009</v>
      </c>
      <c r="B807" t="s">
        <v>345</v>
      </c>
      <c r="C807" t="s">
        <v>51</v>
      </c>
      <c r="D807" t="s">
        <v>2038</v>
      </c>
      <c r="E807" t="s">
        <v>1915</v>
      </c>
      <c r="F807">
        <v>73618</v>
      </c>
    </row>
    <row r="808" spans="1:6" x14ac:dyDescent="0.25">
      <c r="A808" t="s">
        <v>3010</v>
      </c>
      <c r="B808" t="s">
        <v>345</v>
      </c>
      <c r="C808" t="s">
        <v>51</v>
      </c>
      <c r="D808" t="s">
        <v>2151</v>
      </c>
      <c r="E808" t="s">
        <v>1915</v>
      </c>
      <c r="F808">
        <v>78197</v>
      </c>
    </row>
    <row r="809" spans="1:6" x14ac:dyDescent="0.25">
      <c r="A809" t="s">
        <v>3011</v>
      </c>
      <c r="B809" t="s">
        <v>345</v>
      </c>
      <c r="C809" t="s">
        <v>51</v>
      </c>
      <c r="D809" t="s">
        <v>2048</v>
      </c>
      <c r="E809" t="s">
        <v>1886</v>
      </c>
      <c r="F809">
        <v>22604</v>
      </c>
    </row>
    <row r="810" spans="1:6" x14ac:dyDescent="0.25">
      <c r="A810" t="s">
        <v>3012</v>
      </c>
      <c r="B810" t="s">
        <v>345</v>
      </c>
      <c r="C810" t="s">
        <v>51</v>
      </c>
      <c r="D810" t="s">
        <v>1921</v>
      </c>
      <c r="E810" t="s">
        <v>1871</v>
      </c>
      <c r="F810">
        <v>24740</v>
      </c>
    </row>
    <row r="811" spans="1:6" x14ac:dyDescent="0.25">
      <c r="A811" t="s">
        <v>3013</v>
      </c>
      <c r="B811" t="s">
        <v>348</v>
      </c>
      <c r="C811" t="s">
        <v>146</v>
      </c>
      <c r="D811" t="s">
        <v>1945</v>
      </c>
      <c r="E811" t="s">
        <v>1871</v>
      </c>
      <c r="F811">
        <v>2805</v>
      </c>
    </row>
    <row r="812" spans="1:6" x14ac:dyDescent="0.25">
      <c r="A812" t="s">
        <v>3014</v>
      </c>
      <c r="B812" t="s">
        <v>348</v>
      </c>
      <c r="C812" t="s">
        <v>146</v>
      </c>
      <c r="D812" t="s">
        <v>2034</v>
      </c>
      <c r="E812" t="s">
        <v>1886</v>
      </c>
      <c r="F812">
        <v>6717</v>
      </c>
    </row>
    <row r="813" spans="1:6" x14ac:dyDescent="0.25">
      <c r="A813" t="s">
        <v>3015</v>
      </c>
      <c r="B813" t="s">
        <v>348</v>
      </c>
      <c r="C813" t="s">
        <v>146</v>
      </c>
      <c r="D813" t="s">
        <v>2028</v>
      </c>
      <c r="E813" t="s">
        <v>1879</v>
      </c>
      <c r="F813">
        <v>571</v>
      </c>
    </row>
    <row r="814" spans="1:6" x14ac:dyDescent="0.25">
      <c r="A814" t="s">
        <v>3016</v>
      </c>
      <c r="B814" t="s">
        <v>348</v>
      </c>
      <c r="C814" t="s">
        <v>146</v>
      </c>
      <c r="D814" t="s">
        <v>2491</v>
      </c>
      <c r="E814" t="s">
        <v>1879</v>
      </c>
      <c r="F814">
        <v>2586</v>
      </c>
    </row>
    <row r="815" spans="1:6" x14ac:dyDescent="0.25">
      <c r="A815" t="s">
        <v>3017</v>
      </c>
      <c r="B815" t="s">
        <v>348</v>
      </c>
      <c r="C815" t="s">
        <v>146</v>
      </c>
      <c r="D815" t="s">
        <v>2218</v>
      </c>
      <c r="E815" t="s">
        <v>1876</v>
      </c>
      <c r="F815">
        <v>4223</v>
      </c>
    </row>
    <row r="816" spans="1:6" x14ac:dyDescent="0.25">
      <c r="A816" t="s">
        <v>3018</v>
      </c>
      <c r="B816" t="s">
        <v>348</v>
      </c>
      <c r="C816" t="s">
        <v>146</v>
      </c>
      <c r="D816" t="s">
        <v>2085</v>
      </c>
      <c r="E816" t="s">
        <v>1915</v>
      </c>
      <c r="F816">
        <v>3411</v>
      </c>
    </row>
    <row r="817" spans="1:6" x14ac:dyDescent="0.25">
      <c r="A817" t="s">
        <v>3019</v>
      </c>
      <c r="B817" t="s">
        <v>348</v>
      </c>
      <c r="C817" t="s">
        <v>146</v>
      </c>
      <c r="D817" t="s">
        <v>2488</v>
      </c>
      <c r="E817" t="s">
        <v>1876</v>
      </c>
      <c r="F817">
        <v>5442</v>
      </c>
    </row>
    <row r="818" spans="1:6" x14ac:dyDescent="0.25">
      <c r="A818" t="s">
        <v>3020</v>
      </c>
      <c r="B818" t="s">
        <v>348</v>
      </c>
      <c r="C818" t="s">
        <v>146</v>
      </c>
      <c r="D818" t="s">
        <v>2849</v>
      </c>
      <c r="E818" t="s">
        <v>1879</v>
      </c>
      <c r="F818">
        <v>3831</v>
      </c>
    </row>
    <row r="819" spans="1:6" x14ac:dyDescent="0.25">
      <c r="A819" t="s">
        <v>3021</v>
      </c>
      <c r="B819" t="s">
        <v>348</v>
      </c>
      <c r="C819" t="s">
        <v>146</v>
      </c>
      <c r="D819" t="s">
        <v>2148</v>
      </c>
      <c r="E819" t="s">
        <v>1876</v>
      </c>
      <c r="F819">
        <v>2895</v>
      </c>
    </row>
    <row r="820" spans="1:6" x14ac:dyDescent="0.25">
      <c r="A820" t="s">
        <v>3022</v>
      </c>
      <c r="B820" t="s">
        <v>348</v>
      </c>
      <c r="C820" t="s">
        <v>146</v>
      </c>
      <c r="D820" t="s">
        <v>2533</v>
      </c>
      <c r="E820" t="s">
        <v>1915</v>
      </c>
      <c r="F820">
        <v>7792</v>
      </c>
    </row>
    <row r="821" spans="1:6" x14ac:dyDescent="0.25">
      <c r="A821" t="s">
        <v>3023</v>
      </c>
      <c r="B821" t="s">
        <v>350</v>
      </c>
      <c r="C821" t="s">
        <v>51</v>
      </c>
      <c r="D821" t="s">
        <v>2687</v>
      </c>
      <c r="E821" t="s">
        <v>1915</v>
      </c>
      <c r="F821">
        <v>18639</v>
      </c>
    </row>
    <row r="822" spans="1:6" x14ac:dyDescent="0.25">
      <c r="A822" t="s">
        <v>3024</v>
      </c>
      <c r="B822" t="s">
        <v>350</v>
      </c>
      <c r="C822" t="s">
        <v>51</v>
      </c>
      <c r="D822" t="s">
        <v>2430</v>
      </c>
      <c r="E822" t="s">
        <v>1886</v>
      </c>
      <c r="F822">
        <v>8576</v>
      </c>
    </row>
    <row r="823" spans="1:6" x14ac:dyDescent="0.25">
      <c r="A823" t="s">
        <v>3025</v>
      </c>
      <c r="B823" t="s">
        <v>350</v>
      </c>
      <c r="C823" t="s">
        <v>51</v>
      </c>
      <c r="D823" t="s">
        <v>3026</v>
      </c>
      <c r="E823" t="s">
        <v>1879</v>
      </c>
      <c r="F823">
        <v>15605</v>
      </c>
    </row>
    <row r="824" spans="1:6" x14ac:dyDescent="0.25">
      <c r="A824" t="s">
        <v>3027</v>
      </c>
      <c r="B824" t="s">
        <v>350</v>
      </c>
      <c r="C824" t="s">
        <v>51</v>
      </c>
      <c r="D824" t="s">
        <v>2097</v>
      </c>
      <c r="E824" t="s">
        <v>1879</v>
      </c>
      <c r="F824">
        <v>8297</v>
      </c>
    </row>
    <row r="825" spans="1:6" x14ac:dyDescent="0.25">
      <c r="A825" t="s">
        <v>3028</v>
      </c>
      <c r="B825" t="s">
        <v>350</v>
      </c>
      <c r="C825" t="s">
        <v>51</v>
      </c>
      <c r="D825" t="s">
        <v>2645</v>
      </c>
      <c r="E825" t="s">
        <v>1915</v>
      </c>
      <c r="F825">
        <v>16350</v>
      </c>
    </row>
    <row r="826" spans="1:6" x14ac:dyDescent="0.25">
      <c r="A826" t="s">
        <v>3029</v>
      </c>
      <c r="B826" t="s">
        <v>350</v>
      </c>
      <c r="C826" t="s">
        <v>51</v>
      </c>
      <c r="D826" t="s">
        <v>3030</v>
      </c>
      <c r="E826" t="s">
        <v>1879</v>
      </c>
      <c r="F826">
        <v>9984</v>
      </c>
    </row>
    <row r="827" spans="1:6" x14ac:dyDescent="0.25">
      <c r="A827" t="s">
        <v>3031</v>
      </c>
      <c r="B827" t="s">
        <v>350</v>
      </c>
      <c r="C827" t="s">
        <v>51</v>
      </c>
      <c r="D827" t="s">
        <v>2519</v>
      </c>
      <c r="E827" t="s">
        <v>1876</v>
      </c>
      <c r="F827">
        <v>1585</v>
      </c>
    </row>
    <row r="828" spans="1:6" x14ac:dyDescent="0.25">
      <c r="A828" t="s">
        <v>3032</v>
      </c>
      <c r="B828" t="s">
        <v>350</v>
      </c>
      <c r="C828" t="s">
        <v>51</v>
      </c>
      <c r="D828" t="s">
        <v>2471</v>
      </c>
      <c r="E828" t="s">
        <v>1886</v>
      </c>
      <c r="F828">
        <v>32527</v>
      </c>
    </row>
    <row r="829" spans="1:6" x14ac:dyDescent="0.25">
      <c r="A829" t="s">
        <v>3033</v>
      </c>
      <c r="B829" t="s">
        <v>350</v>
      </c>
      <c r="C829" t="s">
        <v>51</v>
      </c>
      <c r="D829" t="s">
        <v>2346</v>
      </c>
      <c r="E829" t="s">
        <v>1876</v>
      </c>
      <c r="F829">
        <v>4757</v>
      </c>
    </row>
    <row r="830" spans="1:6" x14ac:dyDescent="0.25">
      <c r="A830" t="s">
        <v>3034</v>
      </c>
      <c r="B830" t="s">
        <v>350</v>
      </c>
      <c r="C830" t="s">
        <v>51</v>
      </c>
      <c r="D830" t="s">
        <v>1931</v>
      </c>
      <c r="E830" t="s">
        <v>1886</v>
      </c>
      <c r="F830">
        <v>25631</v>
      </c>
    </row>
    <row r="831" spans="1:6" x14ac:dyDescent="0.25">
      <c r="A831" t="s">
        <v>3035</v>
      </c>
      <c r="B831" t="s">
        <v>353</v>
      </c>
      <c r="C831" t="s">
        <v>96</v>
      </c>
      <c r="D831" t="s">
        <v>1943</v>
      </c>
      <c r="E831" t="s">
        <v>1915</v>
      </c>
      <c r="F831">
        <v>6200</v>
      </c>
    </row>
    <row r="832" spans="1:6" x14ac:dyDescent="0.25">
      <c r="A832" t="s">
        <v>3036</v>
      </c>
      <c r="B832" t="s">
        <v>353</v>
      </c>
      <c r="C832" t="s">
        <v>96</v>
      </c>
      <c r="D832" t="s">
        <v>2732</v>
      </c>
      <c r="E832" t="s">
        <v>1879</v>
      </c>
      <c r="F832">
        <v>18716</v>
      </c>
    </row>
    <row r="833" spans="1:6" x14ac:dyDescent="0.25">
      <c r="A833" t="s">
        <v>3037</v>
      </c>
      <c r="B833" t="s">
        <v>353</v>
      </c>
      <c r="C833" t="s">
        <v>96</v>
      </c>
      <c r="D833" t="s">
        <v>1931</v>
      </c>
      <c r="E833" t="s">
        <v>1915</v>
      </c>
      <c r="F833">
        <v>43833</v>
      </c>
    </row>
    <row r="834" spans="1:6" x14ac:dyDescent="0.25">
      <c r="A834" t="s">
        <v>3038</v>
      </c>
      <c r="B834" t="s">
        <v>353</v>
      </c>
      <c r="C834" t="s">
        <v>96</v>
      </c>
      <c r="D834" t="s">
        <v>2894</v>
      </c>
      <c r="E834" t="s">
        <v>1876</v>
      </c>
      <c r="F834">
        <v>13652</v>
      </c>
    </row>
    <row r="835" spans="1:6" x14ac:dyDescent="0.25">
      <c r="A835" t="s">
        <v>3039</v>
      </c>
      <c r="B835" t="s">
        <v>353</v>
      </c>
      <c r="C835" t="s">
        <v>96</v>
      </c>
      <c r="D835" t="s">
        <v>3040</v>
      </c>
      <c r="E835" t="s">
        <v>1876</v>
      </c>
      <c r="F835">
        <v>15530</v>
      </c>
    </row>
    <row r="836" spans="1:6" x14ac:dyDescent="0.25">
      <c r="A836" t="s">
        <v>3041</v>
      </c>
      <c r="B836" t="s">
        <v>353</v>
      </c>
      <c r="C836" t="s">
        <v>96</v>
      </c>
      <c r="D836" t="s">
        <v>2491</v>
      </c>
      <c r="E836" t="s">
        <v>1915</v>
      </c>
      <c r="F836">
        <v>53757</v>
      </c>
    </row>
    <row r="837" spans="1:6" x14ac:dyDescent="0.25">
      <c r="A837" t="s">
        <v>3042</v>
      </c>
      <c r="B837" t="s">
        <v>356</v>
      </c>
      <c r="C837" t="s">
        <v>146</v>
      </c>
      <c r="D837" t="s">
        <v>2053</v>
      </c>
      <c r="E837" t="s">
        <v>1871</v>
      </c>
      <c r="F837">
        <v>4343</v>
      </c>
    </row>
    <row r="838" spans="1:6" x14ac:dyDescent="0.25">
      <c r="A838" t="s">
        <v>3043</v>
      </c>
      <c r="B838" t="s">
        <v>356</v>
      </c>
      <c r="C838" t="s">
        <v>146</v>
      </c>
      <c r="D838" t="s">
        <v>2593</v>
      </c>
      <c r="E838" t="s">
        <v>1876</v>
      </c>
      <c r="F838">
        <v>13513</v>
      </c>
    </row>
    <row r="839" spans="1:6" x14ac:dyDescent="0.25">
      <c r="A839" t="s">
        <v>3044</v>
      </c>
      <c r="B839" t="s">
        <v>356</v>
      </c>
      <c r="C839" t="s">
        <v>146</v>
      </c>
      <c r="D839" t="s">
        <v>2183</v>
      </c>
      <c r="E839" t="s">
        <v>1879</v>
      </c>
      <c r="F839">
        <v>24129</v>
      </c>
    </row>
    <row r="840" spans="1:6" x14ac:dyDescent="0.25">
      <c r="A840" t="s">
        <v>3045</v>
      </c>
      <c r="B840" t="s">
        <v>356</v>
      </c>
      <c r="C840" t="s">
        <v>146</v>
      </c>
      <c r="D840" t="s">
        <v>2544</v>
      </c>
      <c r="E840" t="s">
        <v>1879</v>
      </c>
      <c r="F840">
        <v>995</v>
      </c>
    </row>
    <row r="841" spans="1:6" x14ac:dyDescent="0.25">
      <c r="A841" t="s">
        <v>3046</v>
      </c>
      <c r="B841" t="s">
        <v>356</v>
      </c>
      <c r="C841" t="s">
        <v>146</v>
      </c>
      <c r="D841" t="s">
        <v>3047</v>
      </c>
      <c r="E841" t="s">
        <v>1876</v>
      </c>
      <c r="F841">
        <v>12311</v>
      </c>
    </row>
    <row r="842" spans="1:6" x14ac:dyDescent="0.25">
      <c r="A842" t="s">
        <v>3048</v>
      </c>
      <c r="B842" t="s">
        <v>356</v>
      </c>
      <c r="C842" t="s">
        <v>146</v>
      </c>
      <c r="D842" t="s">
        <v>2226</v>
      </c>
      <c r="E842" t="s">
        <v>1871</v>
      </c>
      <c r="F842">
        <v>3784</v>
      </c>
    </row>
    <row r="843" spans="1:6" x14ac:dyDescent="0.25">
      <c r="A843" t="s">
        <v>3049</v>
      </c>
      <c r="B843" t="s">
        <v>356</v>
      </c>
      <c r="C843" t="s">
        <v>146</v>
      </c>
      <c r="D843" t="s">
        <v>2494</v>
      </c>
      <c r="E843" t="s">
        <v>1915</v>
      </c>
      <c r="F843">
        <v>29453</v>
      </c>
    </row>
    <row r="844" spans="1:6" x14ac:dyDescent="0.25">
      <c r="A844" t="s">
        <v>3050</v>
      </c>
      <c r="B844" t="s">
        <v>356</v>
      </c>
      <c r="C844" t="s">
        <v>146</v>
      </c>
      <c r="D844" t="s">
        <v>3040</v>
      </c>
      <c r="E844" t="s">
        <v>1886</v>
      </c>
      <c r="F844">
        <v>12441</v>
      </c>
    </row>
    <row r="845" spans="1:6" x14ac:dyDescent="0.25">
      <c r="A845" t="s">
        <v>3051</v>
      </c>
      <c r="B845" t="s">
        <v>356</v>
      </c>
      <c r="C845" t="s">
        <v>146</v>
      </c>
      <c r="D845" t="s">
        <v>2165</v>
      </c>
      <c r="E845" t="s">
        <v>1915</v>
      </c>
      <c r="F845">
        <v>7937</v>
      </c>
    </row>
    <row r="846" spans="1:6" x14ac:dyDescent="0.25">
      <c r="A846" t="s">
        <v>3052</v>
      </c>
      <c r="B846" t="s">
        <v>359</v>
      </c>
      <c r="C846" t="s">
        <v>73</v>
      </c>
      <c r="D846" t="s">
        <v>2016</v>
      </c>
      <c r="E846" t="s">
        <v>1879</v>
      </c>
      <c r="F846">
        <v>5278</v>
      </c>
    </row>
    <row r="847" spans="1:6" x14ac:dyDescent="0.25">
      <c r="A847" t="s">
        <v>3053</v>
      </c>
      <c r="B847" t="s">
        <v>359</v>
      </c>
      <c r="C847" t="s">
        <v>73</v>
      </c>
      <c r="D847" t="s">
        <v>1970</v>
      </c>
      <c r="E847" t="s">
        <v>1871</v>
      </c>
      <c r="F847">
        <v>11863</v>
      </c>
    </row>
    <row r="848" spans="1:6" x14ac:dyDescent="0.25">
      <c r="A848" t="s">
        <v>3054</v>
      </c>
      <c r="B848" t="s">
        <v>359</v>
      </c>
      <c r="C848" t="s">
        <v>73</v>
      </c>
      <c r="D848" t="s">
        <v>2284</v>
      </c>
      <c r="E848" t="s">
        <v>1915</v>
      </c>
      <c r="F848">
        <v>14333</v>
      </c>
    </row>
    <row r="849" spans="1:6" x14ac:dyDescent="0.25">
      <c r="A849" t="s">
        <v>3055</v>
      </c>
      <c r="B849" t="s">
        <v>359</v>
      </c>
      <c r="C849" t="s">
        <v>73</v>
      </c>
      <c r="D849" t="s">
        <v>2252</v>
      </c>
      <c r="E849" t="s">
        <v>1871</v>
      </c>
      <c r="F849">
        <v>10814</v>
      </c>
    </row>
    <row r="850" spans="1:6" x14ac:dyDescent="0.25">
      <c r="A850" t="s">
        <v>3056</v>
      </c>
      <c r="B850" t="s">
        <v>359</v>
      </c>
      <c r="C850" t="s">
        <v>73</v>
      </c>
      <c r="D850" t="s">
        <v>2421</v>
      </c>
      <c r="E850" t="s">
        <v>1871</v>
      </c>
      <c r="F850">
        <v>5862</v>
      </c>
    </row>
    <row r="851" spans="1:6" x14ac:dyDescent="0.25">
      <c r="A851" t="s">
        <v>3057</v>
      </c>
      <c r="B851" t="s">
        <v>359</v>
      </c>
      <c r="C851" t="s">
        <v>73</v>
      </c>
      <c r="D851" t="s">
        <v>1906</v>
      </c>
      <c r="E851" t="s">
        <v>1871</v>
      </c>
      <c r="F851">
        <v>5664</v>
      </c>
    </row>
    <row r="852" spans="1:6" x14ac:dyDescent="0.25">
      <c r="A852" t="s">
        <v>3058</v>
      </c>
      <c r="B852" t="s">
        <v>359</v>
      </c>
      <c r="C852" t="s">
        <v>73</v>
      </c>
      <c r="D852" t="s">
        <v>2165</v>
      </c>
      <c r="E852" t="s">
        <v>1886</v>
      </c>
      <c r="F852">
        <v>8409</v>
      </c>
    </row>
    <row r="853" spans="1:6" x14ac:dyDescent="0.25">
      <c r="A853" t="s">
        <v>3059</v>
      </c>
      <c r="B853" t="s">
        <v>359</v>
      </c>
      <c r="C853" t="s">
        <v>73</v>
      </c>
      <c r="D853" t="s">
        <v>2404</v>
      </c>
      <c r="E853" t="s">
        <v>1871</v>
      </c>
      <c r="F853">
        <v>7912</v>
      </c>
    </row>
    <row r="854" spans="1:6" x14ac:dyDescent="0.25">
      <c r="A854" t="s">
        <v>3060</v>
      </c>
      <c r="B854" t="s">
        <v>359</v>
      </c>
      <c r="C854" t="s">
        <v>73</v>
      </c>
      <c r="D854" t="s">
        <v>1957</v>
      </c>
      <c r="E854" t="s">
        <v>1876</v>
      </c>
      <c r="F854">
        <v>1147</v>
      </c>
    </row>
    <row r="855" spans="1:6" x14ac:dyDescent="0.25">
      <c r="A855" t="s">
        <v>3061</v>
      </c>
      <c r="B855" t="s">
        <v>359</v>
      </c>
      <c r="C855" t="s">
        <v>73</v>
      </c>
      <c r="D855" t="s">
        <v>3062</v>
      </c>
      <c r="E855" t="s">
        <v>1886</v>
      </c>
      <c r="F855">
        <v>30321</v>
      </c>
    </row>
    <row r="856" spans="1:6" x14ac:dyDescent="0.25">
      <c r="A856" t="s">
        <v>3063</v>
      </c>
      <c r="B856" t="s">
        <v>362</v>
      </c>
      <c r="C856" t="s">
        <v>146</v>
      </c>
      <c r="D856" t="s">
        <v>1996</v>
      </c>
      <c r="E856" t="s">
        <v>1915</v>
      </c>
      <c r="F856">
        <v>6049</v>
      </c>
    </row>
    <row r="857" spans="1:6" x14ac:dyDescent="0.25">
      <c r="A857" t="s">
        <v>3064</v>
      </c>
      <c r="B857" t="s">
        <v>362</v>
      </c>
      <c r="C857" t="s">
        <v>146</v>
      </c>
      <c r="D857" t="s">
        <v>2053</v>
      </c>
      <c r="E857" t="s">
        <v>1871</v>
      </c>
      <c r="F857">
        <v>11570</v>
      </c>
    </row>
    <row r="858" spans="1:6" x14ac:dyDescent="0.25">
      <c r="A858" t="s">
        <v>3065</v>
      </c>
      <c r="B858" t="s">
        <v>362</v>
      </c>
      <c r="C858" t="s">
        <v>146</v>
      </c>
      <c r="D858" t="s">
        <v>2993</v>
      </c>
      <c r="E858" t="s">
        <v>1915</v>
      </c>
      <c r="F858">
        <v>2644</v>
      </c>
    </row>
    <row r="859" spans="1:6" x14ac:dyDescent="0.25">
      <c r="A859" t="s">
        <v>3066</v>
      </c>
      <c r="B859" t="s">
        <v>362</v>
      </c>
      <c r="C859" t="s">
        <v>146</v>
      </c>
      <c r="D859" t="s">
        <v>2639</v>
      </c>
      <c r="E859" t="s">
        <v>1876</v>
      </c>
      <c r="F859">
        <v>6931</v>
      </c>
    </row>
    <row r="860" spans="1:6" x14ac:dyDescent="0.25">
      <c r="A860" t="s">
        <v>3067</v>
      </c>
      <c r="B860" t="s">
        <v>362</v>
      </c>
      <c r="C860" t="s">
        <v>146</v>
      </c>
      <c r="D860" t="s">
        <v>1931</v>
      </c>
      <c r="E860" t="s">
        <v>1876</v>
      </c>
      <c r="F860">
        <v>9081</v>
      </c>
    </row>
    <row r="861" spans="1:6" x14ac:dyDescent="0.25">
      <c r="A861" t="s">
        <v>3068</v>
      </c>
      <c r="B861" t="s">
        <v>362</v>
      </c>
      <c r="C861" t="s">
        <v>146</v>
      </c>
      <c r="D861" t="s">
        <v>1937</v>
      </c>
      <c r="E861" t="s">
        <v>1876</v>
      </c>
      <c r="F861">
        <v>8730</v>
      </c>
    </row>
    <row r="862" spans="1:6" x14ac:dyDescent="0.25">
      <c r="A862" t="s">
        <v>3069</v>
      </c>
      <c r="B862" t="s">
        <v>362</v>
      </c>
      <c r="C862" t="s">
        <v>146</v>
      </c>
      <c r="D862" t="s">
        <v>2109</v>
      </c>
      <c r="E862" t="s">
        <v>1886</v>
      </c>
      <c r="F862">
        <v>7211</v>
      </c>
    </row>
    <row r="863" spans="1:6" x14ac:dyDescent="0.25">
      <c r="A863" t="s">
        <v>3070</v>
      </c>
      <c r="B863" t="s">
        <v>365</v>
      </c>
      <c r="C863" t="s">
        <v>87</v>
      </c>
      <c r="D863" t="s">
        <v>2343</v>
      </c>
      <c r="E863" t="s">
        <v>1915</v>
      </c>
      <c r="F863">
        <v>37249</v>
      </c>
    </row>
    <row r="864" spans="1:6" x14ac:dyDescent="0.25">
      <c r="A864" t="s">
        <v>3071</v>
      </c>
      <c r="B864" t="s">
        <v>365</v>
      </c>
      <c r="C864" t="s">
        <v>87</v>
      </c>
      <c r="D864" t="s">
        <v>2612</v>
      </c>
      <c r="E864" t="s">
        <v>1876</v>
      </c>
      <c r="F864">
        <v>31122</v>
      </c>
    </row>
    <row r="865" spans="1:6" x14ac:dyDescent="0.25">
      <c r="A865" t="s">
        <v>3072</v>
      </c>
      <c r="B865" t="s">
        <v>365</v>
      </c>
      <c r="C865" t="s">
        <v>87</v>
      </c>
      <c r="D865" t="s">
        <v>2012</v>
      </c>
      <c r="E865" t="s">
        <v>1876</v>
      </c>
      <c r="F865">
        <v>4815</v>
      </c>
    </row>
    <row r="866" spans="1:6" x14ac:dyDescent="0.25">
      <c r="A866" t="s">
        <v>3073</v>
      </c>
      <c r="B866" t="s">
        <v>365</v>
      </c>
      <c r="C866" t="s">
        <v>87</v>
      </c>
      <c r="D866" t="s">
        <v>3030</v>
      </c>
      <c r="E866" t="s">
        <v>1871</v>
      </c>
      <c r="F866">
        <v>33239</v>
      </c>
    </row>
    <row r="867" spans="1:6" x14ac:dyDescent="0.25">
      <c r="A867" t="s">
        <v>3074</v>
      </c>
      <c r="B867" t="s">
        <v>365</v>
      </c>
      <c r="C867" t="s">
        <v>87</v>
      </c>
      <c r="D867" t="s">
        <v>2338</v>
      </c>
      <c r="E867" t="s">
        <v>1876</v>
      </c>
      <c r="F867">
        <v>38950</v>
      </c>
    </row>
    <row r="868" spans="1:6" x14ac:dyDescent="0.25">
      <c r="A868" t="s">
        <v>3075</v>
      </c>
      <c r="B868" t="s">
        <v>365</v>
      </c>
      <c r="C868" t="s">
        <v>87</v>
      </c>
      <c r="D868" t="s">
        <v>3076</v>
      </c>
      <c r="E868" t="s">
        <v>1876</v>
      </c>
      <c r="F868">
        <v>45235</v>
      </c>
    </row>
    <row r="869" spans="1:6" x14ac:dyDescent="0.25">
      <c r="A869" t="s">
        <v>3077</v>
      </c>
      <c r="B869" t="s">
        <v>365</v>
      </c>
      <c r="C869" t="s">
        <v>87</v>
      </c>
      <c r="D869" t="s">
        <v>2322</v>
      </c>
      <c r="E869" t="s">
        <v>1879</v>
      </c>
      <c r="F869">
        <v>24067</v>
      </c>
    </row>
    <row r="870" spans="1:6" x14ac:dyDescent="0.25">
      <c r="A870" t="s">
        <v>3078</v>
      </c>
      <c r="B870" t="s">
        <v>368</v>
      </c>
      <c r="C870" t="s">
        <v>87</v>
      </c>
      <c r="D870" t="s">
        <v>1998</v>
      </c>
      <c r="E870" t="s">
        <v>1871</v>
      </c>
      <c r="F870">
        <v>13658</v>
      </c>
    </row>
    <row r="871" spans="1:6" x14ac:dyDescent="0.25">
      <c r="A871" t="s">
        <v>3079</v>
      </c>
      <c r="B871" t="s">
        <v>368</v>
      </c>
      <c r="C871" t="s">
        <v>87</v>
      </c>
      <c r="D871" t="s">
        <v>2775</v>
      </c>
      <c r="E871" t="s">
        <v>1871</v>
      </c>
      <c r="F871">
        <v>6501</v>
      </c>
    </row>
    <row r="872" spans="1:6" x14ac:dyDescent="0.25">
      <c r="A872" t="s">
        <v>3080</v>
      </c>
      <c r="B872" t="s">
        <v>368</v>
      </c>
      <c r="C872" t="s">
        <v>87</v>
      </c>
      <c r="D872" t="s">
        <v>2134</v>
      </c>
      <c r="E872" t="s">
        <v>1879</v>
      </c>
      <c r="F872">
        <v>23739</v>
      </c>
    </row>
    <row r="873" spans="1:6" x14ac:dyDescent="0.25">
      <c r="A873" t="s">
        <v>3081</v>
      </c>
      <c r="B873" t="s">
        <v>368</v>
      </c>
      <c r="C873" t="s">
        <v>87</v>
      </c>
      <c r="D873" t="s">
        <v>2234</v>
      </c>
      <c r="E873" t="s">
        <v>1886</v>
      </c>
      <c r="F873">
        <v>10643</v>
      </c>
    </row>
    <row r="874" spans="1:6" x14ac:dyDescent="0.25">
      <c r="A874" t="s">
        <v>3082</v>
      </c>
      <c r="B874" t="s">
        <v>368</v>
      </c>
      <c r="C874" t="s">
        <v>87</v>
      </c>
      <c r="D874" t="s">
        <v>2580</v>
      </c>
      <c r="E874" t="s">
        <v>1886</v>
      </c>
      <c r="F874">
        <v>24499</v>
      </c>
    </row>
    <row r="875" spans="1:6" x14ac:dyDescent="0.25">
      <c r="A875" t="s">
        <v>3083</v>
      </c>
      <c r="B875" t="s">
        <v>368</v>
      </c>
      <c r="C875" t="s">
        <v>87</v>
      </c>
      <c r="D875" t="s">
        <v>2517</v>
      </c>
      <c r="E875" t="s">
        <v>1871</v>
      </c>
      <c r="F875">
        <v>25725</v>
      </c>
    </row>
    <row r="876" spans="1:6" x14ac:dyDescent="0.25">
      <c r="A876" t="s">
        <v>3084</v>
      </c>
      <c r="B876" t="s">
        <v>368</v>
      </c>
      <c r="C876" t="s">
        <v>87</v>
      </c>
      <c r="D876" t="s">
        <v>1953</v>
      </c>
      <c r="E876" t="s">
        <v>1879</v>
      </c>
      <c r="F876">
        <v>30474</v>
      </c>
    </row>
    <row r="877" spans="1:6" x14ac:dyDescent="0.25">
      <c r="A877" t="s">
        <v>3085</v>
      </c>
      <c r="B877" t="s">
        <v>368</v>
      </c>
      <c r="C877" t="s">
        <v>87</v>
      </c>
      <c r="D877" t="s">
        <v>1951</v>
      </c>
      <c r="E877" t="s">
        <v>1876</v>
      </c>
      <c r="F877">
        <v>20530</v>
      </c>
    </row>
    <row r="878" spans="1:6" x14ac:dyDescent="0.25">
      <c r="A878" t="s">
        <v>3086</v>
      </c>
      <c r="B878" t="s">
        <v>368</v>
      </c>
      <c r="C878" t="s">
        <v>87</v>
      </c>
      <c r="D878" t="s">
        <v>2179</v>
      </c>
      <c r="E878" t="s">
        <v>1871</v>
      </c>
      <c r="F878">
        <v>24638</v>
      </c>
    </row>
    <row r="879" spans="1:6" x14ac:dyDescent="0.25">
      <c r="A879" t="s">
        <v>3087</v>
      </c>
      <c r="B879" t="s">
        <v>368</v>
      </c>
      <c r="C879" t="s">
        <v>87</v>
      </c>
      <c r="D879" t="s">
        <v>1947</v>
      </c>
      <c r="E879" t="s">
        <v>1876</v>
      </c>
      <c r="F879">
        <v>13082</v>
      </c>
    </row>
    <row r="880" spans="1:6" x14ac:dyDescent="0.25">
      <c r="A880" t="s">
        <v>3088</v>
      </c>
      <c r="B880" t="s">
        <v>368</v>
      </c>
      <c r="C880" t="s">
        <v>87</v>
      </c>
      <c r="D880" t="s">
        <v>2236</v>
      </c>
      <c r="E880" t="s">
        <v>1886</v>
      </c>
      <c r="F880">
        <v>3684</v>
      </c>
    </row>
    <row r="881" spans="1:6" x14ac:dyDescent="0.25">
      <c r="A881" t="s">
        <v>3089</v>
      </c>
      <c r="B881" t="s">
        <v>368</v>
      </c>
      <c r="C881" t="s">
        <v>87</v>
      </c>
      <c r="D881" t="s">
        <v>1923</v>
      </c>
      <c r="E881" t="s">
        <v>1876</v>
      </c>
      <c r="F881">
        <v>4115</v>
      </c>
    </row>
    <row r="882" spans="1:6" x14ac:dyDescent="0.25">
      <c r="A882" t="s">
        <v>3090</v>
      </c>
      <c r="B882" t="s">
        <v>371</v>
      </c>
      <c r="C882" t="s">
        <v>96</v>
      </c>
      <c r="D882" t="s">
        <v>2615</v>
      </c>
      <c r="E882" t="s">
        <v>1915</v>
      </c>
      <c r="F882">
        <v>37699</v>
      </c>
    </row>
    <row r="883" spans="1:6" x14ac:dyDescent="0.25">
      <c r="A883" t="s">
        <v>3091</v>
      </c>
      <c r="B883" t="s">
        <v>371</v>
      </c>
      <c r="C883" t="s">
        <v>96</v>
      </c>
      <c r="D883" t="s">
        <v>2457</v>
      </c>
      <c r="E883" t="s">
        <v>1915</v>
      </c>
      <c r="F883">
        <v>5493</v>
      </c>
    </row>
    <row r="884" spans="1:6" x14ac:dyDescent="0.25">
      <c r="A884" t="s">
        <v>3092</v>
      </c>
      <c r="B884" t="s">
        <v>371</v>
      </c>
      <c r="C884" t="s">
        <v>96</v>
      </c>
      <c r="D884" t="s">
        <v>3093</v>
      </c>
      <c r="E884" t="s">
        <v>1915</v>
      </c>
      <c r="F884">
        <v>12173</v>
      </c>
    </row>
    <row r="885" spans="1:6" x14ac:dyDescent="0.25">
      <c r="A885" t="s">
        <v>3094</v>
      </c>
      <c r="B885" t="s">
        <v>371</v>
      </c>
      <c r="C885" t="s">
        <v>96</v>
      </c>
      <c r="D885" t="s">
        <v>2190</v>
      </c>
      <c r="E885" t="s">
        <v>1876</v>
      </c>
      <c r="F885">
        <v>18261</v>
      </c>
    </row>
    <row r="886" spans="1:6" x14ac:dyDescent="0.25">
      <c r="A886" t="s">
        <v>3095</v>
      </c>
      <c r="B886" t="s">
        <v>371</v>
      </c>
      <c r="C886" t="s">
        <v>96</v>
      </c>
      <c r="D886" t="s">
        <v>1998</v>
      </c>
      <c r="E886" t="s">
        <v>1871</v>
      </c>
      <c r="F886">
        <v>19217</v>
      </c>
    </row>
    <row r="887" spans="1:6" x14ac:dyDescent="0.25">
      <c r="A887" t="s">
        <v>3096</v>
      </c>
      <c r="B887" t="s">
        <v>371</v>
      </c>
      <c r="C887" t="s">
        <v>96</v>
      </c>
      <c r="D887" t="s">
        <v>2238</v>
      </c>
      <c r="E887" t="s">
        <v>1915</v>
      </c>
      <c r="F887">
        <v>20505</v>
      </c>
    </row>
    <row r="888" spans="1:6" x14ac:dyDescent="0.25">
      <c r="A888" t="s">
        <v>3097</v>
      </c>
      <c r="B888" t="s">
        <v>371</v>
      </c>
      <c r="C888" t="s">
        <v>96</v>
      </c>
      <c r="D888" t="s">
        <v>2208</v>
      </c>
      <c r="E888" t="s">
        <v>1886</v>
      </c>
      <c r="F888">
        <v>4393</v>
      </c>
    </row>
    <row r="889" spans="1:6" x14ac:dyDescent="0.25">
      <c r="A889" t="s">
        <v>3098</v>
      </c>
      <c r="B889" t="s">
        <v>371</v>
      </c>
      <c r="C889" t="s">
        <v>96</v>
      </c>
      <c r="D889" t="s">
        <v>2593</v>
      </c>
      <c r="E889" t="s">
        <v>1915</v>
      </c>
      <c r="F889">
        <v>25642</v>
      </c>
    </row>
    <row r="890" spans="1:6" x14ac:dyDescent="0.25">
      <c r="A890" t="s">
        <v>3099</v>
      </c>
      <c r="B890" t="s">
        <v>371</v>
      </c>
      <c r="C890" t="s">
        <v>96</v>
      </c>
      <c r="D890" t="s">
        <v>2061</v>
      </c>
      <c r="E890" t="s">
        <v>1871</v>
      </c>
      <c r="F890">
        <v>8475</v>
      </c>
    </row>
    <row r="891" spans="1:6" x14ac:dyDescent="0.25">
      <c r="A891" t="s">
        <v>3100</v>
      </c>
      <c r="B891" t="s">
        <v>371</v>
      </c>
      <c r="C891" t="s">
        <v>96</v>
      </c>
      <c r="D891" t="s">
        <v>2488</v>
      </c>
      <c r="E891" t="s">
        <v>1886</v>
      </c>
      <c r="F891">
        <v>6547</v>
      </c>
    </row>
    <row r="892" spans="1:6" x14ac:dyDescent="0.25">
      <c r="A892" t="s">
        <v>3101</v>
      </c>
      <c r="B892" t="s">
        <v>374</v>
      </c>
      <c r="C892" t="s">
        <v>73</v>
      </c>
      <c r="D892" t="s">
        <v>2350</v>
      </c>
      <c r="E892" t="s">
        <v>1879</v>
      </c>
      <c r="F892">
        <v>21725</v>
      </c>
    </row>
    <row r="893" spans="1:6" x14ac:dyDescent="0.25">
      <c r="A893" t="s">
        <v>3102</v>
      </c>
      <c r="B893" t="s">
        <v>374</v>
      </c>
      <c r="C893" t="s">
        <v>73</v>
      </c>
      <c r="D893" t="s">
        <v>3093</v>
      </c>
      <c r="E893" t="s">
        <v>1871</v>
      </c>
      <c r="F893">
        <v>24077</v>
      </c>
    </row>
    <row r="894" spans="1:6" x14ac:dyDescent="0.25">
      <c r="A894" t="s">
        <v>3103</v>
      </c>
      <c r="B894" t="s">
        <v>374</v>
      </c>
      <c r="C894" t="s">
        <v>73</v>
      </c>
      <c r="D894" t="s">
        <v>2046</v>
      </c>
      <c r="E894" t="s">
        <v>1871</v>
      </c>
      <c r="F894">
        <v>21888</v>
      </c>
    </row>
    <row r="895" spans="1:6" x14ac:dyDescent="0.25">
      <c r="A895" t="s">
        <v>3104</v>
      </c>
      <c r="B895" t="s">
        <v>374</v>
      </c>
      <c r="C895" t="s">
        <v>73</v>
      </c>
      <c r="D895" t="s">
        <v>3105</v>
      </c>
      <c r="E895" t="s">
        <v>1915</v>
      </c>
      <c r="F895">
        <v>11955</v>
      </c>
    </row>
    <row r="896" spans="1:6" x14ac:dyDescent="0.25">
      <c r="A896" t="s">
        <v>3106</v>
      </c>
      <c r="B896" t="s">
        <v>374</v>
      </c>
      <c r="C896" t="s">
        <v>73</v>
      </c>
      <c r="D896" t="s">
        <v>2107</v>
      </c>
      <c r="E896" t="s">
        <v>1879</v>
      </c>
      <c r="F896">
        <v>958</v>
      </c>
    </row>
    <row r="897" spans="1:6" x14ac:dyDescent="0.25">
      <c r="A897" t="s">
        <v>3107</v>
      </c>
      <c r="B897" t="s">
        <v>374</v>
      </c>
      <c r="C897" t="s">
        <v>73</v>
      </c>
      <c r="D897" t="s">
        <v>2014</v>
      </c>
      <c r="E897" t="s">
        <v>1879</v>
      </c>
      <c r="F897">
        <v>10263</v>
      </c>
    </row>
    <row r="898" spans="1:6" x14ac:dyDescent="0.25">
      <c r="A898" t="s">
        <v>3108</v>
      </c>
      <c r="B898" t="s">
        <v>377</v>
      </c>
      <c r="C898" t="s">
        <v>96</v>
      </c>
      <c r="D898" t="s">
        <v>2468</v>
      </c>
      <c r="E898" t="s">
        <v>1876</v>
      </c>
      <c r="F898">
        <v>5053</v>
      </c>
    </row>
    <row r="899" spans="1:6" x14ac:dyDescent="0.25">
      <c r="A899" t="s">
        <v>3109</v>
      </c>
      <c r="B899" t="s">
        <v>377</v>
      </c>
      <c r="C899" t="s">
        <v>96</v>
      </c>
      <c r="D899" t="s">
        <v>3110</v>
      </c>
      <c r="E899" t="s">
        <v>1915</v>
      </c>
      <c r="F899">
        <v>16526</v>
      </c>
    </row>
    <row r="900" spans="1:6" x14ac:dyDescent="0.25">
      <c r="A900" t="s">
        <v>3111</v>
      </c>
      <c r="B900" t="s">
        <v>377</v>
      </c>
      <c r="C900" t="s">
        <v>96</v>
      </c>
      <c r="D900" t="s">
        <v>2401</v>
      </c>
      <c r="E900" t="s">
        <v>1879</v>
      </c>
      <c r="F900">
        <v>13585</v>
      </c>
    </row>
    <row r="901" spans="1:6" x14ac:dyDescent="0.25">
      <c r="A901" t="s">
        <v>3112</v>
      </c>
      <c r="B901" t="s">
        <v>377</v>
      </c>
      <c r="C901" t="s">
        <v>96</v>
      </c>
      <c r="D901" t="s">
        <v>2395</v>
      </c>
      <c r="E901" t="s">
        <v>1871</v>
      </c>
      <c r="F901">
        <v>3285</v>
      </c>
    </row>
    <row r="902" spans="1:6" x14ac:dyDescent="0.25">
      <c r="A902" t="s">
        <v>3113</v>
      </c>
      <c r="B902" t="s">
        <v>377</v>
      </c>
      <c r="C902" t="s">
        <v>96</v>
      </c>
      <c r="D902" t="s">
        <v>1949</v>
      </c>
      <c r="E902" t="s">
        <v>1915</v>
      </c>
      <c r="F902">
        <v>4793</v>
      </c>
    </row>
    <row r="903" spans="1:6" x14ac:dyDescent="0.25">
      <c r="A903" t="s">
        <v>3114</v>
      </c>
      <c r="B903" t="s">
        <v>377</v>
      </c>
      <c r="C903" t="s">
        <v>96</v>
      </c>
      <c r="D903" t="s">
        <v>3115</v>
      </c>
      <c r="E903" t="s">
        <v>1871</v>
      </c>
      <c r="F903">
        <v>2870</v>
      </c>
    </row>
    <row r="904" spans="1:6" x14ac:dyDescent="0.25">
      <c r="A904" t="s">
        <v>3116</v>
      </c>
      <c r="B904" t="s">
        <v>380</v>
      </c>
      <c r="C904" t="s">
        <v>51</v>
      </c>
      <c r="D904" t="s">
        <v>2588</v>
      </c>
      <c r="E904" t="s">
        <v>1876</v>
      </c>
      <c r="F904">
        <v>20369</v>
      </c>
    </row>
    <row r="905" spans="1:6" x14ac:dyDescent="0.25">
      <c r="A905" t="s">
        <v>3117</v>
      </c>
      <c r="B905" t="s">
        <v>380</v>
      </c>
      <c r="C905" t="s">
        <v>51</v>
      </c>
      <c r="D905" t="s">
        <v>1998</v>
      </c>
      <c r="E905" t="s">
        <v>1915</v>
      </c>
      <c r="F905">
        <v>34596</v>
      </c>
    </row>
    <row r="906" spans="1:6" x14ac:dyDescent="0.25">
      <c r="A906" t="s">
        <v>3118</v>
      </c>
      <c r="B906" t="s">
        <v>380</v>
      </c>
      <c r="C906" t="s">
        <v>51</v>
      </c>
      <c r="D906" t="s">
        <v>3119</v>
      </c>
      <c r="E906" t="s">
        <v>1879</v>
      </c>
      <c r="F906">
        <v>1176</v>
      </c>
    </row>
    <row r="907" spans="1:6" x14ac:dyDescent="0.25">
      <c r="A907" t="s">
        <v>3120</v>
      </c>
      <c r="B907" t="s">
        <v>380</v>
      </c>
      <c r="C907" t="s">
        <v>51</v>
      </c>
      <c r="D907" t="s">
        <v>2122</v>
      </c>
      <c r="E907" t="s">
        <v>1879</v>
      </c>
      <c r="F907">
        <v>4521</v>
      </c>
    </row>
    <row r="908" spans="1:6" x14ac:dyDescent="0.25">
      <c r="A908" t="s">
        <v>3121</v>
      </c>
      <c r="B908" t="s">
        <v>380</v>
      </c>
      <c r="C908" t="s">
        <v>51</v>
      </c>
      <c r="D908" t="s">
        <v>1933</v>
      </c>
      <c r="E908" t="s">
        <v>1871</v>
      </c>
      <c r="F908">
        <v>9955</v>
      </c>
    </row>
    <row r="909" spans="1:6" x14ac:dyDescent="0.25">
      <c r="A909" t="s">
        <v>3122</v>
      </c>
      <c r="B909" t="s">
        <v>380</v>
      </c>
      <c r="C909" t="s">
        <v>51</v>
      </c>
      <c r="D909" t="s">
        <v>2756</v>
      </c>
      <c r="E909" t="s">
        <v>1915</v>
      </c>
      <c r="F909">
        <v>10643</v>
      </c>
    </row>
    <row r="910" spans="1:6" x14ac:dyDescent="0.25">
      <c r="A910" t="s">
        <v>3123</v>
      </c>
      <c r="B910" t="s">
        <v>383</v>
      </c>
      <c r="C910" t="s">
        <v>51</v>
      </c>
      <c r="D910" t="s">
        <v>2201</v>
      </c>
      <c r="E910" t="s">
        <v>1879</v>
      </c>
      <c r="F910">
        <v>1741</v>
      </c>
    </row>
    <row r="911" spans="1:6" x14ac:dyDescent="0.25">
      <c r="A911" t="s">
        <v>3124</v>
      </c>
      <c r="B911" t="s">
        <v>383</v>
      </c>
      <c r="C911" t="s">
        <v>51</v>
      </c>
      <c r="D911" t="s">
        <v>2427</v>
      </c>
      <c r="E911" t="s">
        <v>1876</v>
      </c>
      <c r="F911">
        <v>6204</v>
      </c>
    </row>
    <row r="912" spans="1:6" x14ac:dyDescent="0.25">
      <c r="A912" t="s">
        <v>3125</v>
      </c>
      <c r="B912" t="s">
        <v>383</v>
      </c>
      <c r="C912" t="s">
        <v>51</v>
      </c>
      <c r="D912" t="s">
        <v>1917</v>
      </c>
      <c r="E912" t="s">
        <v>1886</v>
      </c>
      <c r="F912">
        <v>6701</v>
      </c>
    </row>
    <row r="913" spans="1:6" x14ac:dyDescent="0.25">
      <c r="A913" t="s">
        <v>3126</v>
      </c>
      <c r="B913" t="s">
        <v>383</v>
      </c>
      <c r="C913" t="s">
        <v>51</v>
      </c>
      <c r="D913" t="s">
        <v>1996</v>
      </c>
      <c r="E913" t="s">
        <v>1876</v>
      </c>
      <c r="F913">
        <v>7445</v>
      </c>
    </row>
    <row r="914" spans="1:6" x14ac:dyDescent="0.25">
      <c r="A914" t="s">
        <v>3127</v>
      </c>
      <c r="B914" t="s">
        <v>383</v>
      </c>
      <c r="C914" t="s">
        <v>51</v>
      </c>
      <c r="D914" t="s">
        <v>2107</v>
      </c>
      <c r="E914" t="s">
        <v>1915</v>
      </c>
      <c r="F914">
        <v>10279</v>
      </c>
    </row>
    <row r="915" spans="1:6" x14ac:dyDescent="0.25">
      <c r="A915" t="s">
        <v>3128</v>
      </c>
      <c r="B915" t="s">
        <v>383</v>
      </c>
      <c r="C915" t="s">
        <v>51</v>
      </c>
      <c r="D915" t="s">
        <v>3129</v>
      </c>
      <c r="E915" t="s">
        <v>1871</v>
      </c>
      <c r="F915">
        <v>19147</v>
      </c>
    </row>
    <row r="916" spans="1:6" x14ac:dyDescent="0.25">
      <c r="A916" t="s">
        <v>3130</v>
      </c>
      <c r="B916" t="s">
        <v>386</v>
      </c>
      <c r="C916" t="s">
        <v>87</v>
      </c>
      <c r="D916" t="s">
        <v>2537</v>
      </c>
      <c r="E916" t="s">
        <v>1886</v>
      </c>
      <c r="F916">
        <v>15611</v>
      </c>
    </row>
    <row r="917" spans="1:6" x14ac:dyDescent="0.25">
      <c r="A917" t="s">
        <v>3131</v>
      </c>
      <c r="B917" t="s">
        <v>386</v>
      </c>
      <c r="C917" t="s">
        <v>87</v>
      </c>
      <c r="D917" t="s">
        <v>2544</v>
      </c>
      <c r="E917" t="s">
        <v>1876</v>
      </c>
      <c r="F917">
        <v>28511</v>
      </c>
    </row>
    <row r="918" spans="1:6" x14ac:dyDescent="0.25">
      <c r="A918" t="s">
        <v>3132</v>
      </c>
      <c r="B918" t="s">
        <v>386</v>
      </c>
      <c r="C918" t="s">
        <v>87</v>
      </c>
      <c r="D918" t="s">
        <v>2036</v>
      </c>
      <c r="E918" t="s">
        <v>1886</v>
      </c>
      <c r="F918">
        <v>34112</v>
      </c>
    </row>
    <row r="919" spans="1:6" x14ac:dyDescent="0.25">
      <c r="A919" t="s">
        <v>3133</v>
      </c>
      <c r="B919" t="s">
        <v>386</v>
      </c>
      <c r="C919" t="s">
        <v>87</v>
      </c>
      <c r="D919" t="s">
        <v>2101</v>
      </c>
      <c r="E919" t="s">
        <v>1886</v>
      </c>
      <c r="F919">
        <v>19382</v>
      </c>
    </row>
    <row r="920" spans="1:6" x14ac:dyDescent="0.25">
      <c r="A920" t="s">
        <v>3134</v>
      </c>
      <c r="B920" t="s">
        <v>386</v>
      </c>
      <c r="C920" t="s">
        <v>87</v>
      </c>
      <c r="D920" t="s">
        <v>2137</v>
      </c>
      <c r="E920" t="s">
        <v>1915</v>
      </c>
      <c r="F920">
        <v>45994</v>
      </c>
    </row>
    <row r="921" spans="1:6" x14ac:dyDescent="0.25">
      <c r="A921" t="s">
        <v>3135</v>
      </c>
      <c r="B921" t="s">
        <v>386</v>
      </c>
      <c r="C921" t="s">
        <v>87</v>
      </c>
      <c r="D921" t="s">
        <v>1984</v>
      </c>
      <c r="E921" t="s">
        <v>1879</v>
      </c>
      <c r="F921">
        <v>18486</v>
      </c>
    </row>
    <row r="922" spans="1:6" x14ac:dyDescent="0.25">
      <c r="A922" t="s">
        <v>3136</v>
      </c>
      <c r="B922" t="s">
        <v>386</v>
      </c>
      <c r="C922" t="s">
        <v>87</v>
      </c>
      <c r="D922" t="s">
        <v>2171</v>
      </c>
      <c r="E922" t="s">
        <v>1871</v>
      </c>
      <c r="F922">
        <v>14535</v>
      </c>
    </row>
    <row r="923" spans="1:6" x14ac:dyDescent="0.25">
      <c r="A923" t="s">
        <v>3137</v>
      </c>
      <c r="B923" t="s">
        <v>386</v>
      </c>
      <c r="C923" t="s">
        <v>87</v>
      </c>
      <c r="D923" t="s">
        <v>2362</v>
      </c>
      <c r="E923" t="s">
        <v>1876</v>
      </c>
      <c r="F923">
        <v>7866</v>
      </c>
    </row>
    <row r="924" spans="1:6" x14ac:dyDescent="0.25">
      <c r="A924" t="s">
        <v>3138</v>
      </c>
      <c r="B924" t="s">
        <v>386</v>
      </c>
      <c r="C924" t="s">
        <v>87</v>
      </c>
      <c r="D924" t="s">
        <v>2181</v>
      </c>
      <c r="E924" t="s">
        <v>1886</v>
      </c>
      <c r="F924">
        <v>4555</v>
      </c>
    </row>
    <row r="925" spans="1:6" x14ac:dyDescent="0.25">
      <c r="A925" t="s">
        <v>3139</v>
      </c>
      <c r="B925" t="s">
        <v>386</v>
      </c>
      <c r="C925" t="s">
        <v>87</v>
      </c>
      <c r="D925" t="s">
        <v>2312</v>
      </c>
      <c r="E925" t="s">
        <v>1886</v>
      </c>
      <c r="F925">
        <v>12371</v>
      </c>
    </row>
    <row r="926" spans="1:6" x14ac:dyDescent="0.25">
      <c r="A926" t="s">
        <v>3140</v>
      </c>
      <c r="B926" t="s">
        <v>389</v>
      </c>
      <c r="C926" t="s">
        <v>146</v>
      </c>
      <c r="D926" t="s">
        <v>2544</v>
      </c>
      <c r="E926" t="s">
        <v>1915</v>
      </c>
      <c r="F926">
        <v>19604</v>
      </c>
    </row>
    <row r="927" spans="1:6" x14ac:dyDescent="0.25">
      <c r="A927" t="s">
        <v>3141</v>
      </c>
      <c r="B927" t="s">
        <v>389</v>
      </c>
      <c r="C927" t="s">
        <v>146</v>
      </c>
      <c r="D927" t="s">
        <v>3142</v>
      </c>
      <c r="E927" t="s">
        <v>1871</v>
      </c>
      <c r="F927">
        <v>19720</v>
      </c>
    </row>
    <row r="928" spans="1:6" x14ac:dyDescent="0.25">
      <c r="A928" t="s">
        <v>3143</v>
      </c>
      <c r="B928" t="s">
        <v>389</v>
      </c>
      <c r="C928" t="s">
        <v>146</v>
      </c>
      <c r="D928" t="s">
        <v>2421</v>
      </c>
      <c r="E928" t="s">
        <v>1871</v>
      </c>
      <c r="F928">
        <v>21122</v>
      </c>
    </row>
    <row r="929" spans="1:6" x14ac:dyDescent="0.25">
      <c r="A929" t="s">
        <v>3144</v>
      </c>
      <c r="B929" t="s">
        <v>389</v>
      </c>
      <c r="C929" t="s">
        <v>146</v>
      </c>
      <c r="D929" t="s">
        <v>2666</v>
      </c>
      <c r="E929" t="s">
        <v>1871</v>
      </c>
      <c r="F929">
        <v>4399</v>
      </c>
    </row>
    <row r="930" spans="1:6" x14ac:dyDescent="0.25">
      <c r="A930" t="s">
        <v>3145</v>
      </c>
      <c r="B930" t="s">
        <v>389</v>
      </c>
      <c r="C930" t="s">
        <v>146</v>
      </c>
      <c r="D930" t="s">
        <v>2713</v>
      </c>
      <c r="E930" t="s">
        <v>1915</v>
      </c>
      <c r="F930">
        <v>6952</v>
      </c>
    </row>
    <row r="931" spans="1:6" x14ac:dyDescent="0.25">
      <c r="A931" t="s">
        <v>3146</v>
      </c>
      <c r="B931" t="s">
        <v>389</v>
      </c>
      <c r="C931" t="s">
        <v>146</v>
      </c>
      <c r="D931" t="s">
        <v>3142</v>
      </c>
      <c r="E931" t="s">
        <v>1871</v>
      </c>
      <c r="F931">
        <v>25163</v>
      </c>
    </row>
    <row r="932" spans="1:6" x14ac:dyDescent="0.25">
      <c r="A932" t="s">
        <v>3147</v>
      </c>
      <c r="B932" t="s">
        <v>389</v>
      </c>
      <c r="C932" t="s">
        <v>146</v>
      </c>
      <c r="D932" t="s">
        <v>2498</v>
      </c>
      <c r="E932" t="s">
        <v>1871</v>
      </c>
      <c r="F932">
        <v>6073</v>
      </c>
    </row>
    <row r="933" spans="1:6" x14ac:dyDescent="0.25">
      <c r="A933" t="s">
        <v>3148</v>
      </c>
      <c r="B933" t="s">
        <v>389</v>
      </c>
      <c r="C933" t="s">
        <v>146</v>
      </c>
      <c r="D933" t="s">
        <v>2488</v>
      </c>
      <c r="E933" t="s">
        <v>1886</v>
      </c>
      <c r="F933">
        <v>15322</v>
      </c>
    </row>
    <row r="934" spans="1:6" x14ac:dyDescent="0.25">
      <c r="A934" t="s">
        <v>3149</v>
      </c>
      <c r="B934" t="s">
        <v>389</v>
      </c>
      <c r="C934" t="s">
        <v>146</v>
      </c>
      <c r="D934" t="s">
        <v>2527</v>
      </c>
      <c r="E934" t="s">
        <v>1886</v>
      </c>
      <c r="F934">
        <v>3162</v>
      </c>
    </row>
    <row r="935" spans="1:6" x14ac:dyDescent="0.25">
      <c r="A935" t="s">
        <v>3150</v>
      </c>
      <c r="B935" t="s">
        <v>389</v>
      </c>
      <c r="C935" t="s">
        <v>146</v>
      </c>
      <c r="D935" t="s">
        <v>2672</v>
      </c>
      <c r="E935" t="s">
        <v>1915</v>
      </c>
      <c r="F935">
        <v>17950</v>
      </c>
    </row>
    <row r="936" spans="1:6" x14ac:dyDescent="0.25">
      <c r="A936" t="s">
        <v>3151</v>
      </c>
      <c r="B936" t="s">
        <v>389</v>
      </c>
      <c r="C936" t="s">
        <v>146</v>
      </c>
      <c r="D936" t="s">
        <v>2079</v>
      </c>
      <c r="E936" t="s">
        <v>1915</v>
      </c>
      <c r="F936">
        <v>20389</v>
      </c>
    </row>
    <row r="937" spans="1:6" x14ac:dyDescent="0.25">
      <c r="A937" t="s">
        <v>3152</v>
      </c>
      <c r="B937" t="s">
        <v>392</v>
      </c>
      <c r="C937" t="s">
        <v>96</v>
      </c>
      <c r="D937" t="s">
        <v>2224</v>
      </c>
      <c r="E937" t="s">
        <v>1871</v>
      </c>
      <c r="F937">
        <v>14335</v>
      </c>
    </row>
    <row r="938" spans="1:6" x14ac:dyDescent="0.25">
      <c r="A938" t="s">
        <v>3153</v>
      </c>
      <c r="B938" t="s">
        <v>392</v>
      </c>
      <c r="C938" t="s">
        <v>96</v>
      </c>
      <c r="D938" t="s">
        <v>2095</v>
      </c>
      <c r="E938" t="s">
        <v>1879</v>
      </c>
      <c r="F938">
        <v>11364</v>
      </c>
    </row>
    <row r="939" spans="1:6" x14ac:dyDescent="0.25">
      <c r="A939" t="s">
        <v>3154</v>
      </c>
      <c r="B939" t="s">
        <v>392</v>
      </c>
      <c r="C939" t="s">
        <v>96</v>
      </c>
      <c r="D939" t="s">
        <v>2032</v>
      </c>
      <c r="E939" t="s">
        <v>1879</v>
      </c>
      <c r="F939">
        <v>15697</v>
      </c>
    </row>
    <row r="940" spans="1:6" x14ac:dyDescent="0.25">
      <c r="A940" t="s">
        <v>3155</v>
      </c>
      <c r="B940" t="s">
        <v>392</v>
      </c>
      <c r="C940" t="s">
        <v>96</v>
      </c>
      <c r="D940" t="s">
        <v>2055</v>
      </c>
      <c r="E940" t="s">
        <v>1886</v>
      </c>
      <c r="F940">
        <v>26416</v>
      </c>
    </row>
    <row r="941" spans="1:6" x14ac:dyDescent="0.25">
      <c r="A941" t="s">
        <v>3156</v>
      </c>
      <c r="B941" t="s">
        <v>392</v>
      </c>
      <c r="C941" t="s">
        <v>96</v>
      </c>
      <c r="D941" t="s">
        <v>2042</v>
      </c>
      <c r="E941" t="s">
        <v>1915</v>
      </c>
      <c r="F941">
        <v>7737</v>
      </c>
    </row>
    <row r="942" spans="1:6" x14ac:dyDescent="0.25">
      <c r="A942" t="s">
        <v>3157</v>
      </c>
      <c r="B942" t="s">
        <v>392</v>
      </c>
      <c r="C942" t="s">
        <v>96</v>
      </c>
      <c r="D942" t="s">
        <v>2364</v>
      </c>
      <c r="E942" t="s">
        <v>1879</v>
      </c>
      <c r="F942">
        <v>5951</v>
      </c>
    </row>
    <row r="943" spans="1:6" x14ac:dyDescent="0.25">
      <c r="A943" t="s">
        <v>3158</v>
      </c>
      <c r="B943" t="s">
        <v>392</v>
      </c>
      <c r="C943" t="s">
        <v>96</v>
      </c>
      <c r="D943" t="s">
        <v>1937</v>
      </c>
      <c r="E943" t="s">
        <v>1876</v>
      </c>
      <c r="F943">
        <v>7128</v>
      </c>
    </row>
    <row r="944" spans="1:6" x14ac:dyDescent="0.25">
      <c r="A944" t="s">
        <v>3159</v>
      </c>
      <c r="B944" t="s">
        <v>392</v>
      </c>
      <c r="C944" t="s">
        <v>96</v>
      </c>
      <c r="D944" t="s">
        <v>2357</v>
      </c>
      <c r="E944" t="s">
        <v>1871</v>
      </c>
      <c r="F944">
        <v>12058</v>
      </c>
    </row>
    <row r="945" spans="1:6" x14ac:dyDescent="0.25">
      <c r="A945" t="s">
        <v>3160</v>
      </c>
      <c r="B945" t="s">
        <v>392</v>
      </c>
      <c r="C945" t="s">
        <v>96</v>
      </c>
      <c r="D945" t="s">
        <v>1873</v>
      </c>
      <c r="E945" t="s">
        <v>1879</v>
      </c>
      <c r="F945">
        <v>2383</v>
      </c>
    </row>
    <row r="946" spans="1:6" x14ac:dyDescent="0.25">
      <c r="A946" t="s">
        <v>3161</v>
      </c>
      <c r="B946" t="s">
        <v>392</v>
      </c>
      <c r="C946" t="s">
        <v>96</v>
      </c>
      <c r="D946" t="s">
        <v>1951</v>
      </c>
      <c r="E946" t="s">
        <v>1886</v>
      </c>
      <c r="F946">
        <v>26012</v>
      </c>
    </row>
    <row r="947" spans="1:6" x14ac:dyDescent="0.25">
      <c r="A947" t="s">
        <v>3162</v>
      </c>
      <c r="B947" t="s">
        <v>392</v>
      </c>
      <c r="C947" t="s">
        <v>96</v>
      </c>
      <c r="D947" t="s">
        <v>2291</v>
      </c>
      <c r="E947" t="s">
        <v>1915</v>
      </c>
      <c r="F947">
        <v>4880</v>
      </c>
    </row>
    <row r="948" spans="1:6" x14ac:dyDescent="0.25">
      <c r="A948" t="s">
        <v>3163</v>
      </c>
      <c r="B948" t="s">
        <v>395</v>
      </c>
      <c r="C948" t="s">
        <v>51</v>
      </c>
      <c r="D948" t="s">
        <v>3164</v>
      </c>
      <c r="E948" t="s">
        <v>1876</v>
      </c>
      <c r="F948">
        <v>49974</v>
      </c>
    </row>
    <row r="949" spans="1:6" x14ac:dyDescent="0.25">
      <c r="A949" t="s">
        <v>3165</v>
      </c>
      <c r="B949" t="s">
        <v>395</v>
      </c>
      <c r="C949" t="s">
        <v>51</v>
      </c>
      <c r="D949" t="s">
        <v>2593</v>
      </c>
      <c r="E949" t="s">
        <v>1915</v>
      </c>
      <c r="F949">
        <v>117344</v>
      </c>
    </row>
    <row r="950" spans="1:6" x14ac:dyDescent="0.25">
      <c r="A950" t="s">
        <v>3166</v>
      </c>
      <c r="B950" t="s">
        <v>395</v>
      </c>
      <c r="C950" t="s">
        <v>51</v>
      </c>
      <c r="D950" t="s">
        <v>3119</v>
      </c>
      <c r="E950" t="s">
        <v>1879</v>
      </c>
      <c r="F950">
        <v>63073</v>
      </c>
    </row>
    <row r="951" spans="1:6" x14ac:dyDescent="0.25">
      <c r="A951" t="s">
        <v>3167</v>
      </c>
      <c r="B951" t="s">
        <v>395</v>
      </c>
      <c r="C951" t="s">
        <v>51</v>
      </c>
      <c r="D951" t="s">
        <v>2030</v>
      </c>
      <c r="E951" t="s">
        <v>1915</v>
      </c>
      <c r="F951">
        <v>61401</v>
      </c>
    </row>
    <row r="952" spans="1:6" x14ac:dyDescent="0.25">
      <c r="A952" t="s">
        <v>3168</v>
      </c>
      <c r="B952" t="s">
        <v>395</v>
      </c>
      <c r="C952" t="s">
        <v>51</v>
      </c>
      <c r="D952" t="s">
        <v>2333</v>
      </c>
      <c r="E952" t="s">
        <v>1886</v>
      </c>
      <c r="F952">
        <v>33229</v>
      </c>
    </row>
    <row r="953" spans="1:6" x14ac:dyDescent="0.25">
      <c r="A953" t="s">
        <v>3169</v>
      </c>
      <c r="B953" t="s">
        <v>395</v>
      </c>
      <c r="C953" t="s">
        <v>51</v>
      </c>
      <c r="D953" t="s">
        <v>2016</v>
      </c>
      <c r="E953" t="s">
        <v>1876</v>
      </c>
      <c r="F953">
        <v>51401</v>
      </c>
    </row>
    <row r="954" spans="1:6" x14ac:dyDescent="0.25">
      <c r="A954" t="s">
        <v>3170</v>
      </c>
      <c r="B954" t="s">
        <v>395</v>
      </c>
      <c r="C954" t="s">
        <v>51</v>
      </c>
      <c r="D954" t="s">
        <v>1955</v>
      </c>
      <c r="E954" t="s">
        <v>1871</v>
      </c>
      <c r="F954">
        <v>18926</v>
      </c>
    </row>
    <row r="955" spans="1:6" x14ac:dyDescent="0.25">
      <c r="A955" t="s">
        <v>3171</v>
      </c>
      <c r="B955" t="s">
        <v>395</v>
      </c>
      <c r="C955" t="s">
        <v>51</v>
      </c>
      <c r="D955" t="s">
        <v>2527</v>
      </c>
      <c r="E955" t="s">
        <v>1879</v>
      </c>
      <c r="F955">
        <v>72157</v>
      </c>
    </row>
    <row r="956" spans="1:6" x14ac:dyDescent="0.25">
      <c r="A956" t="s">
        <v>3172</v>
      </c>
      <c r="B956" t="s">
        <v>395</v>
      </c>
      <c r="C956" t="s">
        <v>51</v>
      </c>
      <c r="D956" t="s">
        <v>3040</v>
      </c>
      <c r="E956" t="s">
        <v>1915</v>
      </c>
      <c r="F956">
        <v>71166</v>
      </c>
    </row>
    <row r="957" spans="1:6" x14ac:dyDescent="0.25">
      <c r="A957" t="s">
        <v>3173</v>
      </c>
      <c r="B957" t="s">
        <v>395</v>
      </c>
      <c r="C957" t="s">
        <v>51</v>
      </c>
      <c r="D957" t="s">
        <v>3174</v>
      </c>
      <c r="E957" t="s">
        <v>1876</v>
      </c>
      <c r="F957">
        <v>24320</v>
      </c>
    </row>
    <row r="958" spans="1:6" x14ac:dyDescent="0.25">
      <c r="A958" t="s">
        <v>3175</v>
      </c>
      <c r="B958" t="s">
        <v>398</v>
      </c>
      <c r="C958" t="s">
        <v>87</v>
      </c>
      <c r="D958" t="s">
        <v>2343</v>
      </c>
      <c r="E958" t="s">
        <v>1886</v>
      </c>
      <c r="F958">
        <v>21356</v>
      </c>
    </row>
    <row r="959" spans="1:6" x14ac:dyDescent="0.25">
      <c r="A959" t="s">
        <v>3176</v>
      </c>
      <c r="B959" t="s">
        <v>398</v>
      </c>
      <c r="C959" t="s">
        <v>87</v>
      </c>
      <c r="D959" t="s">
        <v>1978</v>
      </c>
      <c r="E959" t="s">
        <v>1879</v>
      </c>
      <c r="F959">
        <v>27953</v>
      </c>
    </row>
    <row r="960" spans="1:6" x14ac:dyDescent="0.25">
      <c r="A960" t="s">
        <v>3177</v>
      </c>
      <c r="B960" t="s">
        <v>398</v>
      </c>
      <c r="C960" t="s">
        <v>87</v>
      </c>
      <c r="D960" t="s">
        <v>2539</v>
      </c>
      <c r="E960" t="s">
        <v>1886</v>
      </c>
      <c r="F960">
        <v>19147</v>
      </c>
    </row>
    <row r="961" spans="1:6" x14ac:dyDescent="0.25">
      <c r="A961" t="s">
        <v>3178</v>
      </c>
      <c r="B961" t="s">
        <v>398</v>
      </c>
      <c r="C961" t="s">
        <v>87</v>
      </c>
      <c r="D961" t="s">
        <v>2432</v>
      </c>
      <c r="E961" t="s">
        <v>1879</v>
      </c>
      <c r="F961">
        <v>24831</v>
      </c>
    </row>
    <row r="962" spans="1:6" x14ac:dyDescent="0.25">
      <c r="A962" t="s">
        <v>3179</v>
      </c>
      <c r="B962" t="s">
        <v>398</v>
      </c>
      <c r="C962" t="s">
        <v>87</v>
      </c>
      <c r="D962" t="s">
        <v>1943</v>
      </c>
      <c r="E962" t="s">
        <v>1879</v>
      </c>
      <c r="F962">
        <v>28148</v>
      </c>
    </row>
    <row r="963" spans="1:6" x14ac:dyDescent="0.25">
      <c r="A963" t="s">
        <v>3180</v>
      </c>
      <c r="B963" t="s">
        <v>398</v>
      </c>
      <c r="C963" t="s">
        <v>87</v>
      </c>
      <c r="D963" t="s">
        <v>2513</v>
      </c>
      <c r="E963" t="s">
        <v>1879</v>
      </c>
      <c r="F963">
        <v>20092</v>
      </c>
    </row>
    <row r="964" spans="1:6" x14ac:dyDescent="0.25">
      <c r="A964" t="s">
        <v>3181</v>
      </c>
      <c r="B964" t="s">
        <v>398</v>
      </c>
      <c r="C964" t="s">
        <v>87</v>
      </c>
      <c r="D964" t="s">
        <v>2519</v>
      </c>
      <c r="E964" t="s">
        <v>1886</v>
      </c>
      <c r="F964">
        <v>34557</v>
      </c>
    </row>
    <row r="965" spans="1:6" x14ac:dyDescent="0.25">
      <c r="A965" t="s">
        <v>3182</v>
      </c>
      <c r="B965" t="s">
        <v>401</v>
      </c>
      <c r="C965" t="s">
        <v>96</v>
      </c>
      <c r="D965" t="s">
        <v>1933</v>
      </c>
      <c r="E965" t="s">
        <v>1915</v>
      </c>
      <c r="F965">
        <v>11716</v>
      </c>
    </row>
    <row r="966" spans="1:6" x14ac:dyDescent="0.25">
      <c r="A966" t="s">
        <v>3183</v>
      </c>
      <c r="B966" t="s">
        <v>401</v>
      </c>
      <c r="C966" t="s">
        <v>96</v>
      </c>
      <c r="D966" t="s">
        <v>2012</v>
      </c>
      <c r="E966" t="s">
        <v>1876</v>
      </c>
      <c r="F966">
        <v>20558</v>
      </c>
    </row>
    <row r="967" spans="1:6" x14ac:dyDescent="0.25">
      <c r="A967" t="s">
        <v>3184</v>
      </c>
      <c r="B967" t="s">
        <v>401</v>
      </c>
      <c r="C967" t="s">
        <v>96</v>
      </c>
      <c r="D967" t="s">
        <v>2432</v>
      </c>
      <c r="E967" t="s">
        <v>1871</v>
      </c>
      <c r="F967">
        <v>21617</v>
      </c>
    </row>
    <row r="968" spans="1:6" x14ac:dyDescent="0.25">
      <c r="A968" t="s">
        <v>3185</v>
      </c>
      <c r="B968" t="s">
        <v>401</v>
      </c>
      <c r="C968" t="s">
        <v>96</v>
      </c>
      <c r="D968" t="s">
        <v>2014</v>
      </c>
      <c r="E968" t="s">
        <v>1915</v>
      </c>
      <c r="F968">
        <v>34203</v>
      </c>
    </row>
    <row r="969" spans="1:6" x14ac:dyDescent="0.25">
      <c r="A969" t="s">
        <v>3186</v>
      </c>
      <c r="B969" t="s">
        <v>401</v>
      </c>
      <c r="C969" t="s">
        <v>96</v>
      </c>
      <c r="D969" t="s">
        <v>2143</v>
      </c>
      <c r="E969" t="s">
        <v>1879</v>
      </c>
      <c r="F969">
        <v>12724</v>
      </c>
    </row>
    <row r="970" spans="1:6" x14ac:dyDescent="0.25">
      <c r="A970" t="s">
        <v>3187</v>
      </c>
      <c r="B970" t="s">
        <v>401</v>
      </c>
      <c r="C970" t="s">
        <v>96</v>
      </c>
      <c r="D970" t="s">
        <v>3188</v>
      </c>
      <c r="E970" t="s">
        <v>1886</v>
      </c>
      <c r="F970">
        <v>9695</v>
      </c>
    </row>
    <row r="971" spans="1:6" x14ac:dyDescent="0.25">
      <c r="A971" t="s">
        <v>3189</v>
      </c>
      <c r="B971" t="s">
        <v>401</v>
      </c>
      <c r="C971" t="s">
        <v>96</v>
      </c>
      <c r="D971" t="s">
        <v>2263</v>
      </c>
      <c r="E971" t="s">
        <v>1879</v>
      </c>
      <c r="F971">
        <v>575</v>
      </c>
    </row>
    <row r="972" spans="1:6" x14ac:dyDescent="0.25">
      <c r="A972" t="s">
        <v>3190</v>
      </c>
      <c r="B972" t="s">
        <v>401</v>
      </c>
      <c r="C972" t="s">
        <v>96</v>
      </c>
      <c r="D972" t="s">
        <v>3119</v>
      </c>
      <c r="E972" t="s">
        <v>1915</v>
      </c>
      <c r="F972">
        <v>12258</v>
      </c>
    </row>
    <row r="973" spans="1:6" x14ac:dyDescent="0.25">
      <c r="A973" t="s">
        <v>3191</v>
      </c>
      <c r="B973" t="s">
        <v>401</v>
      </c>
      <c r="C973" t="s">
        <v>96</v>
      </c>
      <c r="D973" t="s">
        <v>2914</v>
      </c>
      <c r="E973" t="s">
        <v>1886</v>
      </c>
      <c r="F973">
        <v>28771</v>
      </c>
    </row>
    <row r="974" spans="1:6" x14ac:dyDescent="0.25">
      <c r="A974" t="s">
        <v>3192</v>
      </c>
      <c r="B974" t="s">
        <v>404</v>
      </c>
      <c r="C974" t="s">
        <v>96</v>
      </c>
      <c r="D974" t="s">
        <v>2336</v>
      </c>
      <c r="E974" t="s">
        <v>1871</v>
      </c>
      <c r="F974">
        <v>22509</v>
      </c>
    </row>
    <row r="975" spans="1:6" x14ac:dyDescent="0.25">
      <c r="A975" t="s">
        <v>3193</v>
      </c>
      <c r="B975" t="s">
        <v>404</v>
      </c>
      <c r="C975" t="s">
        <v>96</v>
      </c>
      <c r="D975" t="s">
        <v>2059</v>
      </c>
      <c r="E975" t="s">
        <v>1871</v>
      </c>
      <c r="F975">
        <v>3751</v>
      </c>
    </row>
    <row r="976" spans="1:6" x14ac:dyDescent="0.25">
      <c r="A976" t="s">
        <v>3194</v>
      </c>
      <c r="B976" t="s">
        <v>404</v>
      </c>
      <c r="C976" t="s">
        <v>96</v>
      </c>
      <c r="D976" t="s">
        <v>2878</v>
      </c>
      <c r="E976" t="s">
        <v>1915</v>
      </c>
      <c r="F976">
        <v>23093</v>
      </c>
    </row>
    <row r="977" spans="1:6" x14ac:dyDescent="0.25">
      <c r="A977" t="s">
        <v>3195</v>
      </c>
      <c r="B977" t="s">
        <v>404</v>
      </c>
      <c r="C977" t="s">
        <v>96</v>
      </c>
      <c r="D977" t="s">
        <v>2198</v>
      </c>
      <c r="E977" t="s">
        <v>1886</v>
      </c>
      <c r="F977">
        <v>2393</v>
      </c>
    </row>
    <row r="978" spans="1:6" x14ac:dyDescent="0.25">
      <c r="A978" t="s">
        <v>3196</v>
      </c>
      <c r="B978" t="s">
        <v>404</v>
      </c>
      <c r="C978" t="s">
        <v>96</v>
      </c>
      <c r="D978" t="s">
        <v>2111</v>
      </c>
      <c r="E978" t="s">
        <v>1879</v>
      </c>
      <c r="F978">
        <v>22586</v>
      </c>
    </row>
    <row r="979" spans="1:6" x14ac:dyDescent="0.25">
      <c r="A979" t="s">
        <v>3197</v>
      </c>
      <c r="B979" t="s">
        <v>404</v>
      </c>
      <c r="C979" t="s">
        <v>96</v>
      </c>
      <c r="D979" t="s">
        <v>2657</v>
      </c>
      <c r="E979" t="s">
        <v>1879</v>
      </c>
      <c r="F979">
        <v>2466</v>
      </c>
    </row>
    <row r="980" spans="1:6" x14ac:dyDescent="0.25">
      <c r="A980" t="s">
        <v>3198</v>
      </c>
      <c r="B980" t="s">
        <v>407</v>
      </c>
      <c r="C980" t="s">
        <v>87</v>
      </c>
      <c r="D980" t="s">
        <v>2252</v>
      </c>
      <c r="E980" t="s">
        <v>1876</v>
      </c>
      <c r="F980">
        <v>4204</v>
      </c>
    </row>
    <row r="981" spans="1:6" x14ac:dyDescent="0.25">
      <c r="A981" t="s">
        <v>3199</v>
      </c>
      <c r="B981" t="s">
        <v>407</v>
      </c>
      <c r="C981" t="s">
        <v>87</v>
      </c>
      <c r="D981" t="s">
        <v>2088</v>
      </c>
      <c r="E981" t="s">
        <v>1879</v>
      </c>
      <c r="F981">
        <v>26098</v>
      </c>
    </row>
    <row r="982" spans="1:6" x14ac:dyDescent="0.25">
      <c r="A982" t="s">
        <v>3200</v>
      </c>
      <c r="B982" t="s">
        <v>407</v>
      </c>
      <c r="C982" t="s">
        <v>87</v>
      </c>
      <c r="D982" t="s">
        <v>2331</v>
      </c>
      <c r="E982" t="s">
        <v>1876</v>
      </c>
      <c r="F982">
        <v>33717</v>
      </c>
    </row>
    <row r="983" spans="1:6" x14ac:dyDescent="0.25">
      <c r="A983" t="s">
        <v>3201</v>
      </c>
      <c r="B983" t="s">
        <v>407</v>
      </c>
      <c r="C983" t="s">
        <v>87</v>
      </c>
      <c r="D983" t="s">
        <v>2193</v>
      </c>
      <c r="E983" t="s">
        <v>1879</v>
      </c>
      <c r="F983">
        <v>5008</v>
      </c>
    </row>
    <row r="984" spans="1:6" x14ac:dyDescent="0.25">
      <c r="A984" t="s">
        <v>3202</v>
      </c>
      <c r="B984" t="s">
        <v>407</v>
      </c>
      <c r="C984" t="s">
        <v>87</v>
      </c>
      <c r="D984" t="s">
        <v>2477</v>
      </c>
      <c r="E984" t="s">
        <v>1915</v>
      </c>
      <c r="F984">
        <v>20890</v>
      </c>
    </row>
    <row r="985" spans="1:6" x14ac:dyDescent="0.25">
      <c r="A985" t="s">
        <v>3203</v>
      </c>
      <c r="B985" t="s">
        <v>407</v>
      </c>
      <c r="C985" t="s">
        <v>87</v>
      </c>
      <c r="D985" t="s">
        <v>2014</v>
      </c>
      <c r="E985" t="s">
        <v>1879</v>
      </c>
      <c r="F985">
        <v>1262</v>
      </c>
    </row>
    <row r="986" spans="1:6" x14ac:dyDescent="0.25">
      <c r="A986" t="s">
        <v>3204</v>
      </c>
      <c r="B986" t="s">
        <v>407</v>
      </c>
      <c r="C986" t="s">
        <v>87</v>
      </c>
      <c r="D986" t="s">
        <v>2095</v>
      </c>
      <c r="E986" t="s">
        <v>1915</v>
      </c>
      <c r="F986">
        <v>30997</v>
      </c>
    </row>
    <row r="987" spans="1:6" x14ac:dyDescent="0.25">
      <c r="A987" t="s">
        <v>3205</v>
      </c>
      <c r="B987" t="s">
        <v>407</v>
      </c>
      <c r="C987" t="s">
        <v>87</v>
      </c>
      <c r="D987" t="s">
        <v>2053</v>
      </c>
      <c r="E987" t="s">
        <v>1879</v>
      </c>
      <c r="F987">
        <v>992</v>
      </c>
    </row>
    <row r="988" spans="1:6" x14ac:dyDescent="0.25">
      <c r="A988" t="s">
        <v>3206</v>
      </c>
      <c r="B988" t="s">
        <v>407</v>
      </c>
      <c r="C988" t="s">
        <v>87</v>
      </c>
      <c r="D988" t="s">
        <v>2735</v>
      </c>
      <c r="E988" t="s">
        <v>1879</v>
      </c>
      <c r="F988">
        <v>30036</v>
      </c>
    </row>
    <row r="989" spans="1:6" x14ac:dyDescent="0.25">
      <c r="A989" t="s">
        <v>3207</v>
      </c>
      <c r="B989" t="s">
        <v>410</v>
      </c>
      <c r="C989" t="s">
        <v>146</v>
      </c>
      <c r="D989" t="s">
        <v>1978</v>
      </c>
      <c r="E989" t="s">
        <v>1879</v>
      </c>
      <c r="F989">
        <v>4352</v>
      </c>
    </row>
    <row r="990" spans="1:6" x14ac:dyDescent="0.25">
      <c r="A990" t="s">
        <v>3208</v>
      </c>
      <c r="B990" t="s">
        <v>410</v>
      </c>
      <c r="C990" t="s">
        <v>146</v>
      </c>
      <c r="D990" t="s">
        <v>2263</v>
      </c>
      <c r="E990" t="s">
        <v>1879</v>
      </c>
      <c r="F990">
        <v>7836</v>
      </c>
    </row>
    <row r="991" spans="1:6" x14ac:dyDescent="0.25">
      <c r="A991" t="s">
        <v>3209</v>
      </c>
      <c r="B991" t="s">
        <v>410</v>
      </c>
      <c r="C991" t="s">
        <v>146</v>
      </c>
      <c r="D991" t="s">
        <v>2423</v>
      </c>
      <c r="E991" t="s">
        <v>1876</v>
      </c>
      <c r="F991">
        <v>27627</v>
      </c>
    </row>
    <row r="992" spans="1:6" x14ac:dyDescent="0.25">
      <c r="A992" t="s">
        <v>3210</v>
      </c>
      <c r="B992" t="s">
        <v>410</v>
      </c>
      <c r="C992" t="s">
        <v>146</v>
      </c>
      <c r="D992" t="s">
        <v>2018</v>
      </c>
      <c r="E992" t="s">
        <v>1871</v>
      </c>
      <c r="F992">
        <v>29411</v>
      </c>
    </row>
    <row r="993" spans="1:6" x14ac:dyDescent="0.25">
      <c r="A993" t="s">
        <v>3211</v>
      </c>
      <c r="B993" t="s">
        <v>410</v>
      </c>
      <c r="C993" t="s">
        <v>146</v>
      </c>
      <c r="D993" t="s">
        <v>2430</v>
      </c>
      <c r="E993" t="s">
        <v>1871</v>
      </c>
      <c r="F993">
        <v>29177</v>
      </c>
    </row>
    <row r="994" spans="1:6" x14ac:dyDescent="0.25">
      <c r="A994" t="s">
        <v>3212</v>
      </c>
      <c r="B994" t="s">
        <v>410</v>
      </c>
      <c r="C994" t="s">
        <v>146</v>
      </c>
      <c r="D994" t="s">
        <v>2044</v>
      </c>
      <c r="E994" t="s">
        <v>1871</v>
      </c>
      <c r="F994">
        <v>10017</v>
      </c>
    </row>
    <row r="995" spans="1:6" x14ac:dyDescent="0.25">
      <c r="A995" t="s">
        <v>3213</v>
      </c>
      <c r="B995" t="s">
        <v>410</v>
      </c>
      <c r="C995" t="s">
        <v>146</v>
      </c>
      <c r="D995" t="s">
        <v>2525</v>
      </c>
      <c r="E995" t="s">
        <v>1886</v>
      </c>
      <c r="F995">
        <v>31843</v>
      </c>
    </row>
    <row r="996" spans="1:6" x14ac:dyDescent="0.25">
      <c r="A996" t="s">
        <v>3214</v>
      </c>
      <c r="B996" t="s">
        <v>410</v>
      </c>
      <c r="C996" t="s">
        <v>146</v>
      </c>
      <c r="D996" t="s">
        <v>3008</v>
      </c>
      <c r="E996" t="s">
        <v>1915</v>
      </c>
      <c r="F996">
        <v>4236</v>
      </c>
    </row>
    <row r="997" spans="1:6" x14ac:dyDescent="0.25">
      <c r="A997" t="s">
        <v>3215</v>
      </c>
      <c r="B997" t="s">
        <v>410</v>
      </c>
      <c r="C997" t="s">
        <v>146</v>
      </c>
      <c r="D997" t="s">
        <v>2095</v>
      </c>
      <c r="E997" t="s">
        <v>1879</v>
      </c>
      <c r="F997">
        <v>15218</v>
      </c>
    </row>
    <row r="998" spans="1:6" x14ac:dyDescent="0.25">
      <c r="A998" t="s">
        <v>3216</v>
      </c>
      <c r="B998" t="s">
        <v>410</v>
      </c>
      <c r="C998" t="s">
        <v>146</v>
      </c>
      <c r="D998" t="s">
        <v>1870</v>
      </c>
      <c r="E998" t="s">
        <v>1879</v>
      </c>
      <c r="F998">
        <v>17395</v>
      </c>
    </row>
    <row r="999" spans="1:6" x14ac:dyDescent="0.25">
      <c r="A999" t="s">
        <v>3217</v>
      </c>
      <c r="B999" t="s">
        <v>413</v>
      </c>
      <c r="C999" t="s">
        <v>96</v>
      </c>
      <c r="D999" t="s">
        <v>1966</v>
      </c>
      <c r="E999" t="s">
        <v>1879</v>
      </c>
      <c r="F999">
        <v>23998</v>
      </c>
    </row>
    <row r="1000" spans="1:6" x14ac:dyDescent="0.25">
      <c r="A1000" t="s">
        <v>3218</v>
      </c>
      <c r="B1000" t="s">
        <v>413</v>
      </c>
      <c r="C1000" t="s">
        <v>96</v>
      </c>
      <c r="D1000" t="s">
        <v>2539</v>
      </c>
      <c r="E1000" t="s">
        <v>1871</v>
      </c>
      <c r="F1000">
        <v>16133</v>
      </c>
    </row>
    <row r="1001" spans="1:6" x14ac:dyDescent="0.25">
      <c r="A1001" t="s">
        <v>3219</v>
      </c>
      <c r="B1001" t="s">
        <v>413</v>
      </c>
      <c r="C1001" t="s">
        <v>96</v>
      </c>
      <c r="D1001" t="s">
        <v>2439</v>
      </c>
      <c r="E1001" t="s">
        <v>1915</v>
      </c>
      <c r="F1001">
        <v>73335</v>
      </c>
    </row>
    <row r="1002" spans="1:6" x14ac:dyDescent="0.25">
      <c r="A1002" t="s">
        <v>3220</v>
      </c>
      <c r="B1002" t="s">
        <v>413</v>
      </c>
      <c r="C1002" t="s">
        <v>96</v>
      </c>
      <c r="D1002" t="s">
        <v>2085</v>
      </c>
      <c r="E1002" t="s">
        <v>1879</v>
      </c>
      <c r="F1002">
        <v>12015</v>
      </c>
    </row>
    <row r="1003" spans="1:6" x14ac:dyDescent="0.25">
      <c r="A1003" t="s">
        <v>3221</v>
      </c>
      <c r="B1003" t="s">
        <v>413</v>
      </c>
      <c r="C1003" t="s">
        <v>96</v>
      </c>
      <c r="D1003" t="s">
        <v>2179</v>
      </c>
      <c r="E1003" t="s">
        <v>1915</v>
      </c>
      <c r="F1003">
        <v>35687</v>
      </c>
    </row>
    <row r="1004" spans="1:6" x14ac:dyDescent="0.25">
      <c r="A1004" t="s">
        <v>3222</v>
      </c>
      <c r="B1004" t="s">
        <v>413</v>
      </c>
      <c r="C1004" t="s">
        <v>96</v>
      </c>
      <c r="D1004" t="s">
        <v>2293</v>
      </c>
      <c r="E1004" t="s">
        <v>1876</v>
      </c>
      <c r="F1004">
        <v>39714</v>
      </c>
    </row>
    <row r="1005" spans="1:6" x14ac:dyDescent="0.25">
      <c r="A1005" t="s">
        <v>3223</v>
      </c>
      <c r="B1005" t="s">
        <v>413</v>
      </c>
      <c r="C1005" t="s">
        <v>96</v>
      </c>
      <c r="D1005" t="s">
        <v>1939</v>
      </c>
      <c r="E1005" t="s">
        <v>1886</v>
      </c>
      <c r="F1005">
        <v>13054</v>
      </c>
    </row>
    <row r="1006" spans="1:6" x14ac:dyDescent="0.25">
      <c r="A1006" t="s">
        <v>3224</v>
      </c>
      <c r="B1006" t="s">
        <v>413</v>
      </c>
      <c r="C1006" t="s">
        <v>96</v>
      </c>
      <c r="D1006" t="s">
        <v>1917</v>
      </c>
      <c r="E1006" t="s">
        <v>1879</v>
      </c>
      <c r="F1006">
        <v>32161</v>
      </c>
    </row>
    <row r="1007" spans="1:6" x14ac:dyDescent="0.25">
      <c r="A1007" t="s">
        <v>3225</v>
      </c>
      <c r="B1007" t="s">
        <v>413</v>
      </c>
      <c r="C1007" t="s">
        <v>96</v>
      </c>
      <c r="D1007" t="s">
        <v>2068</v>
      </c>
      <c r="E1007" t="s">
        <v>1871</v>
      </c>
      <c r="F1007">
        <v>19635</v>
      </c>
    </row>
    <row r="1008" spans="1:6" x14ac:dyDescent="0.25">
      <c r="A1008" t="s">
        <v>3226</v>
      </c>
      <c r="B1008" t="s">
        <v>413</v>
      </c>
      <c r="C1008" t="s">
        <v>96</v>
      </c>
      <c r="D1008" t="s">
        <v>2201</v>
      </c>
      <c r="E1008" t="s">
        <v>1871</v>
      </c>
      <c r="F1008">
        <v>37857</v>
      </c>
    </row>
    <row r="1009" spans="1:6" x14ac:dyDescent="0.25">
      <c r="A1009" t="s">
        <v>3227</v>
      </c>
      <c r="B1009" t="s">
        <v>413</v>
      </c>
      <c r="C1009" t="s">
        <v>96</v>
      </c>
      <c r="D1009" t="s">
        <v>1878</v>
      </c>
      <c r="E1009" t="s">
        <v>1915</v>
      </c>
      <c r="F1009">
        <v>45494</v>
      </c>
    </row>
    <row r="1010" spans="1:6" x14ac:dyDescent="0.25">
      <c r="A1010" t="s">
        <v>3228</v>
      </c>
      <c r="B1010" t="s">
        <v>413</v>
      </c>
      <c r="C1010" t="s">
        <v>96</v>
      </c>
      <c r="D1010" t="s">
        <v>2352</v>
      </c>
      <c r="E1010" t="s">
        <v>1871</v>
      </c>
      <c r="F1010">
        <v>17882</v>
      </c>
    </row>
    <row r="1011" spans="1:6" x14ac:dyDescent="0.25">
      <c r="A1011" t="s">
        <v>3229</v>
      </c>
      <c r="B1011" t="s">
        <v>416</v>
      </c>
      <c r="C1011" t="s">
        <v>87</v>
      </c>
      <c r="D1011" t="s">
        <v>2517</v>
      </c>
      <c r="E1011" t="s">
        <v>1915</v>
      </c>
      <c r="F1011">
        <v>12807</v>
      </c>
    </row>
    <row r="1012" spans="1:6" x14ac:dyDescent="0.25">
      <c r="A1012" t="s">
        <v>3230</v>
      </c>
      <c r="B1012" t="s">
        <v>416</v>
      </c>
      <c r="C1012" t="s">
        <v>87</v>
      </c>
      <c r="D1012" t="s">
        <v>1902</v>
      </c>
      <c r="E1012" t="s">
        <v>1915</v>
      </c>
      <c r="F1012">
        <v>46073</v>
      </c>
    </row>
    <row r="1013" spans="1:6" x14ac:dyDescent="0.25">
      <c r="A1013" t="s">
        <v>3231</v>
      </c>
      <c r="B1013" t="s">
        <v>416</v>
      </c>
      <c r="C1013" t="s">
        <v>87</v>
      </c>
      <c r="D1013" t="s">
        <v>2535</v>
      </c>
      <c r="E1013" t="s">
        <v>1915</v>
      </c>
      <c r="F1013">
        <v>27480</v>
      </c>
    </row>
    <row r="1014" spans="1:6" x14ac:dyDescent="0.25">
      <c r="A1014" t="s">
        <v>3232</v>
      </c>
      <c r="B1014" t="s">
        <v>416</v>
      </c>
      <c r="C1014" t="s">
        <v>87</v>
      </c>
      <c r="D1014" t="s">
        <v>3233</v>
      </c>
      <c r="E1014" t="s">
        <v>1886</v>
      </c>
      <c r="F1014">
        <v>5435</v>
      </c>
    </row>
    <row r="1015" spans="1:6" x14ac:dyDescent="0.25">
      <c r="A1015" t="s">
        <v>3234</v>
      </c>
      <c r="B1015" t="s">
        <v>416</v>
      </c>
      <c r="C1015" t="s">
        <v>87</v>
      </c>
      <c r="D1015" t="s">
        <v>2401</v>
      </c>
      <c r="E1015" t="s">
        <v>1886</v>
      </c>
      <c r="F1015">
        <v>3033</v>
      </c>
    </row>
    <row r="1016" spans="1:6" x14ac:dyDescent="0.25">
      <c r="A1016" t="s">
        <v>3235</v>
      </c>
      <c r="B1016" t="s">
        <v>416</v>
      </c>
      <c r="C1016" t="s">
        <v>87</v>
      </c>
      <c r="D1016" t="s">
        <v>1904</v>
      </c>
      <c r="E1016" t="s">
        <v>1879</v>
      </c>
      <c r="F1016">
        <v>23964</v>
      </c>
    </row>
    <row r="1017" spans="1:6" x14ac:dyDescent="0.25">
      <c r="A1017" t="s">
        <v>3236</v>
      </c>
      <c r="B1017" t="s">
        <v>416</v>
      </c>
      <c r="C1017" t="s">
        <v>87</v>
      </c>
      <c r="D1017" t="s">
        <v>2522</v>
      </c>
      <c r="E1017" t="s">
        <v>1879</v>
      </c>
      <c r="F1017">
        <v>22910</v>
      </c>
    </row>
    <row r="1018" spans="1:6" x14ac:dyDescent="0.25">
      <c r="A1018" t="s">
        <v>3237</v>
      </c>
      <c r="B1018" t="s">
        <v>416</v>
      </c>
      <c r="C1018" t="s">
        <v>87</v>
      </c>
      <c r="D1018" t="s">
        <v>2628</v>
      </c>
      <c r="E1018" t="s">
        <v>1871</v>
      </c>
      <c r="F1018">
        <v>19621</v>
      </c>
    </row>
    <row r="1019" spans="1:6" x14ac:dyDescent="0.25">
      <c r="A1019" t="s">
        <v>3238</v>
      </c>
      <c r="B1019" t="s">
        <v>419</v>
      </c>
      <c r="C1019" t="s">
        <v>96</v>
      </c>
      <c r="D1019" t="s">
        <v>2580</v>
      </c>
      <c r="E1019" t="s">
        <v>1915</v>
      </c>
      <c r="F1019">
        <v>7921</v>
      </c>
    </row>
    <row r="1020" spans="1:6" x14ac:dyDescent="0.25">
      <c r="A1020" t="s">
        <v>3239</v>
      </c>
      <c r="B1020" t="s">
        <v>419</v>
      </c>
      <c r="C1020" t="s">
        <v>96</v>
      </c>
      <c r="D1020" t="s">
        <v>2143</v>
      </c>
      <c r="E1020" t="s">
        <v>1915</v>
      </c>
      <c r="F1020">
        <v>21205</v>
      </c>
    </row>
    <row r="1021" spans="1:6" x14ac:dyDescent="0.25">
      <c r="A1021" t="s">
        <v>3240</v>
      </c>
      <c r="B1021" t="s">
        <v>419</v>
      </c>
      <c r="C1021" t="s">
        <v>96</v>
      </c>
      <c r="D1021" t="s">
        <v>2203</v>
      </c>
      <c r="E1021" t="s">
        <v>1879</v>
      </c>
      <c r="F1021">
        <v>9714</v>
      </c>
    </row>
    <row r="1022" spans="1:6" x14ac:dyDescent="0.25">
      <c r="A1022" t="s">
        <v>3241</v>
      </c>
      <c r="B1022" t="s">
        <v>419</v>
      </c>
      <c r="C1022" t="s">
        <v>96</v>
      </c>
      <c r="D1022" t="s">
        <v>3242</v>
      </c>
      <c r="E1022" t="s">
        <v>1871</v>
      </c>
      <c r="F1022">
        <v>10842</v>
      </c>
    </row>
    <row r="1023" spans="1:6" x14ac:dyDescent="0.25">
      <c r="A1023" t="s">
        <v>3243</v>
      </c>
      <c r="B1023" t="s">
        <v>419</v>
      </c>
      <c r="C1023" t="s">
        <v>96</v>
      </c>
      <c r="D1023" t="s">
        <v>3062</v>
      </c>
      <c r="E1023" t="s">
        <v>1871</v>
      </c>
      <c r="F1023">
        <v>11099</v>
      </c>
    </row>
    <row r="1024" spans="1:6" x14ac:dyDescent="0.25">
      <c r="A1024" t="s">
        <v>3244</v>
      </c>
      <c r="B1024" t="s">
        <v>419</v>
      </c>
      <c r="C1024" t="s">
        <v>96</v>
      </c>
      <c r="D1024" t="s">
        <v>2513</v>
      </c>
      <c r="E1024" t="s">
        <v>1879</v>
      </c>
      <c r="F1024">
        <v>9022</v>
      </c>
    </row>
    <row r="1025" spans="1:6" x14ac:dyDescent="0.25">
      <c r="A1025" t="s">
        <v>3245</v>
      </c>
      <c r="B1025" t="s">
        <v>419</v>
      </c>
      <c r="C1025" t="s">
        <v>96</v>
      </c>
      <c r="D1025" t="s">
        <v>1923</v>
      </c>
      <c r="E1025" t="s">
        <v>1879</v>
      </c>
      <c r="F1025">
        <v>3089</v>
      </c>
    </row>
    <row r="1026" spans="1:6" x14ac:dyDescent="0.25">
      <c r="A1026" t="s">
        <v>3246</v>
      </c>
      <c r="B1026" t="s">
        <v>419</v>
      </c>
      <c r="C1026" t="s">
        <v>96</v>
      </c>
      <c r="D1026" t="s">
        <v>1949</v>
      </c>
      <c r="E1026" t="s">
        <v>1915</v>
      </c>
      <c r="F1026">
        <v>21048</v>
      </c>
    </row>
    <row r="1027" spans="1:6" x14ac:dyDescent="0.25">
      <c r="A1027" t="s">
        <v>3247</v>
      </c>
      <c r="B1027" t="s">
        <v>419</v>
      </c>
      <c r="C1027" t="s">
        <v>96</v>
      </c>
      <c r="D1027" t="s">
        <v>3248</v>
      </c>
      <c r="E1027" t="s">
        <v>1871</v>
      </c>
      <c r="F1027">
        <v>8824</v>
      </c>
    </row>
    <row r="1028" spans="1:6" x14ac:dyDescent="0.25">
      <c r="A1028" t="s">
        <v>3249</v>
      </c>
      <c r="B1028" t="s">
        <v>419</v>
      </c>
      <c r="C1028" t="s">
        <v>96</v>
      </c>
      <c r="D1028" t="s">
        <v>1939</v>
      </c>
      <c r="E1028" t="s">
        <v>1871</v>
      </c>
      <c r="F1028">
        <v>11211</v>
      </c>
    </row>
    <row r="1029" spans="1:6" x14ac:dyDescent="0.25">
      <c r="A1029" t="s">
        <v>3250</v>
      </c>
      <c r="B1029" t="s">
        <v>419</v>
      </c>
      <c r="C1029" t="s">
        <v>96</v>
      </c>
      <c r="D1029" t="s">
        <v>1875</v>
      </c>
      <c r="E1029" t="s">
        <v>1879</v>
      </c>
      <c r="F1029">
        <v>696</v>
      </c>
    </row>
    <row r="1030" spans="1:6" x14ac:dyDescent="0.25">
      <c r="A1030" t="s">
        <v>3251</v>
      </c>
      <c r="B1030" t="s">
        <v>419</v>
      </c>
      <c r="C1030" t="s">
        <v>96</v>
      </c>
      <c r="D1030" t="s">
        <v>3252</v>
      </c>
      <c r="E1030" t="s">
        <v>1915</v>
      </c>
      <c r="F1030">
        <v>5485</v>
      </c>
    </row>
    <row r="1031" spans="1:6" x14ac:dyDescent="0.25">
      <c r="A1031" t="s">
        <v>3253</v>
      </c>
      <c r="B1031" t="s">
        <v>422</v>
      </c>
      <c r="C1031" t="s">
        <v>51</v>
      </c>
      <c r="D1031" t="s">
        <v>2185</v>
      </c>
      <c r="E1031" t="s">
        <v>1886</v>
      </c>
      <c r="F1031">
        <v>16172</v>
      </c>
    </row>
    <row r="1032" spans="1:6" x14ac:dyDescent="0.25">
      <c r="A1032" t="s">
        <v>3254</v>
      </c>
      <c r="B1032" t="s">
        <v>422</v>
      </c>
      <c r="C1032" t="s">
        <v>51</v>
      </c>
      <c r="D1032" t="s">
        <v>2293</v>
      </c>
      <c r="E1032" t="s">
        <v>1879</v>
      </c>
      <c r="F1032">
        <v>21575</v>
      </c>
    </row>
    <row r="1033" spans="1:6" x14ac:dyDescent="0.25">
      <c r="A1033" t="s">
        <v>3255</v>
      </c>
      <c r="B1033" t="s">
        <v>422</v>
      </c>
      <c r="C1033" t="s">
        <v>51</v>
      </c>
      <c r="D1033" t="s">
        <v>2747</v>
      </c>
      <c r="E1033" t="s">
        <v>1879</v>
      </c>
      <c r="F1033">
        <v>10304</v>
      </c>
    </row>
    <row r="1034" spans="1:6" x14ac:dyDescent="0.25">
      <c r="A1034" t="s">
        <v>3256</v>
      </c>
      <c r="B1034" t="s">
        <v>422</v>
      </c>
      <c r="C1034" t="s">
        <v>51</v>
      </c>
      <c r="D1034" t="s">
        <v>2221</v>
      </c>
      <c r="E1034" t="s">
        <v>1876</v>
      </c>
      <c r="F1034">
        <v>15581</v>
      </c>
    </row>
    <row r="1035" spans="1:6" x14ac:dyDescent="0.25">
      <c r="A1035" t="s">
        <v>3257</v>
      </c>
      <c r="B1035" t="s">
        <v>422</v>
      </c>
      <c r="C1035" t="s">
        <v>51</v>
      </c>
      <c r="D1035" t="s">
        <v>2002</v>
      </c>
      <c r="E1035" t="s">
        <v>1886</v>
      </c>
      <c r="F1035">
        <v>13737</v>
      </c>
    </row>
    <row r="1036" spans="1:6" x14ac:dyDescent="0.25">
      <c r="A1036" t="s">
        <v>3258</v>
      </c>
      <c r="B1036" t="s">
        <v>422</v>
      </c>
      <c r="C1036" t="s">
        <v>51</v>
      </c>
      <c r="D1036" t="s">
        <v>2533</v>
      </c>
      <c r="E1036" t="s">
        <v>1876</v>
      </c>
      <c r="F1036">
        <v>17004</v>
      </c>
    </row>
    <row r="1037" spans="1:6" x14ac:dyDescent="0.25">
      <c r="A1037" t="s">
        <v>3259</v>
      </c>
      <c r="B1037" t="s">
        <v>422</v>
      </c>
      <c r="C1037" t="s">
        <v>51</v>
      </c>
      <c r="D1037" t="s">
        <v>2183</v>
      </c>
      <c r="E1037" t="s">
        <v>1886</v>
      </c>
      <c r="F1037">
        <v>34493</v>
      </c>
    </row>
    <row r="1038" spans="1:6" x14ac:dyDescent="0.25">
      <c r="A1038" t="s">
        <v>3260</v>
      </c>
      <c r="B1038" t="s">
        <v>422</v>
      </c>
      <c r="C1038" t="s">
        <v>51</v>
      </c>
      <c r="D1038" t="s">
        <v>2378</v>
      </c>
      <c r="E1038" t="s">
        <v>1876</v>
      </c>
      <c r="F1038">
        <v>31004</v>
      </c>
    </row>
    <row r="1039" spans="1:6" x14ac:dyDescent="0.25">
      <c r="A1039" t="s">
        <v>3261</v>
      </c>
      <c r="B1039" t="s">
        <v>425</v>
      </c>
      <c r="C1039" t="s">
        <v>146</v>
      </c>
      <c r="D1039" t="s">
        <v>2145</v>
      </c>
      <c r="E1039" t="s">
        <v>1879</v>
      </c>
      <c r="F1039">
        <v>22729</v>
      </c>
    </row>
    <row r="1040" spans="1:6" x14ac:dyDescent="0.25">
      <c r="A1040" t="s">
        <v>3262</v>
      </c>
      <c r="B1040" t="s">
        <v>425</v>
      </c>
      <c r="C1040" t="s">
        <v>146</v>
      </c>
      <c r="D1040" t="s">
        <v>2894</v>
      </c>
      <c r="E1040" t="s">
        <v>1879</v>
      </c>
      <c r="F1040">
        <v>26853</v>
      </c>
    </row>
    <row r="1041" spans="1:6" x14ac:dyDescent="0.25">
      <c r="A1041" t="s">
        <v>3263</v>
      </c>
      <c r="B1041" t="s">
        <v>425</v>
      </c>
      <c r="C1041" t="s">
        <v>146</v>
      </c>
      <c r="D1041" t="s">
        <v>1949</v>
      </c>
      <c r="E1041" t="s">
        <v>1886</v>
      </c>
      <c r="F1041">
        <v>17111</v>
      </c>
    </row>
    <row r="1042" spans="1:6" x14ac:dyDescent="0.25">
      <c r="A1042" t="s">
        <v>3264</v>
      </c>
      <c r="B1042" t="s">
        <v>425</v>
      </c>
      <c r="C1042" t="s">
        <v>146</v>
      </c>
      <c r="D1042" t="s">
        <v>2745</v>
      </c>
      <c r="E1042" t="s">
        <v>1915</v>
      </c>
      <c r="F1042">
        <v>49967</v>
      </c>
    </row>
    <row r="1043" spans="1:6" x14ac:dyDescent="0.25">
      <c r="A1043" t="s">
        <v>3265</v>
      </c>
      <c r="B1043" t="s">
        <v>425</v>
      </c>
      <c r="C1043" t="s">
        <v>146</v>
      </c>
      <c r="D1043" t="s">
        <v>2322</v>
      </c>
      <c r="E1043" t="s">
        <v>1879</v>
      </c>
      <c r="F1043">
        <v>11010</v>
      </c>
    </row>
    <row r="1044" spans="1:6" x14ac:dyDescent="0.25">
      <c r="A1044" t="s">
        <v>3266</v>
      </c>
      <c r="B1044" t="s">
        <v>425</v>
      </c>
      <c r="C1044" t="s">
        <v>146</v>
      </c>
      <c r="D1044" t="s">
        <v>1896</v>
      </c>
      <c r="E1044" t="s">
        <v>1886</v>
      </c>
      <c r="F1044">
        <v>10132</v>
      </c>
    </row>
    <row r="1045" spans="1:6" x14ac:dyDescent="0.25">
      <c r="A1045" t="s">
        <v>3267</v>
      </c>
      <c r="B1045" t="s">
        <v>428</v>
      </c>
      <c r="C1045" t="s">
        <v>87</v>
      </c>
      <c r="D1045" t="s">
        <v>2242</v>
      </c>
      <c r="E1045" t="s">
        <v>1915</v>
      </c>
      <c r="F1045">
        <v>72742</v>
      </c>
    </row>
    <row r="1046" spans="1:6" x14ac:dyDescent="0.25">
      <c r="A1046" t="s">
        <v>3268</v>
      </c>
      <c r="B1046" t="s">
        <v>428</v>
      </c>
      <c r="C1046" t="s">
        <v>87</v>
      </c>
      <c r="D1046" t="s">
        <v>2198</v>
      </c>
      <c r="E1046" t="s">
        <v>1876</v>
      </c>
      <c r="F1046">
        <v>37161</v>
      </c>
    </row>
    <row r="1047" spans="1:6" x14ac:dyDescent="0.25">
      <c r="A1047" t="s">
        <v>3269</v>
      </c>
      <c r="B1047" t="s">
        <v>428</v>
      </c>
      <c r="C1047" t="s">
        <v>87</v>
      </c>
      <c r="D1047" t="s">
        <v>1935</v>
      </c>
      <c r="E1047" t="s">
        <v>1879</v>
      </c>
      <c r="F1047">
        <v>47888</v>
      </c>
    </row>
    <row r="1048" spans="1:6" x14ac:dyDescent="0.25">
      <c r="A1048" t="s">
        <v>3270</v>
      </c>
      <c r="B1048" t="s">
        <v>428</v>
      </c>
      <c r="C1048" t="s">
        <v>87</v>
      </c>
      <c r="D1048" t="s">
        <v>2114</v>
      </c>
      <c r="E1048" t="s">
        <v>1915</v>
      </c>
      <c r="F1048">
        <v>70310</v>
      </c>
    </row>
    <row r="1049" spans="1:6" x14ac:dyDescent="0.25">
      <c r="A1049" t="s">
        <v>3271</v>
      </c>
      <c r="B1049" t="s">
        <v>428</v>
      </c>
      <c r="C1049" t="s">
        <v>87</v>
      </c>
      <c r="D1049" t="s">
        <v>2517</v>
      </c>
      <c r="E1049" t="s">
        <v>1871</v>
      </c>
      <c r="F1049">
        <v>39780</v>
      </c>
    </row>
    <row r="1050" spans="1:6" x14ac:dyDescent="0.25">
      <c r="A1050" t="s">
        <v>3272</v>
      </c>
      <c r="B1050" t="s">
        <v>428</v>
      </c>
      <c r="C1050" t="s">
        <v>87</v>
      </c>
      <c r="D1050" t="s">
        <v>2494</v>
      </c>
      <c r="E1050" t="s">
        <v>1879</v>
      </c>
      <c r="F1050">
        <v>14868</v>
      </c>
    </row>
    <row r="1051" spans="1:6" x14ac:dyDescent="0.25">
      <c r="A1051" t="s">
        <v>3273</v>
      </c>
      <c r="B1051" t="s">
        <v>431</v>
      </c>
      <c r="C1051" t="s">
        <v>51</v>
      </c>
      <c r="D1051" t="s">
        <v>1898</v>
      </c>
      <c r="E1051" t="s">
        <v>1876</v>
      </c>
      <c r="F1051">
        <v>1536</v>
      </c>
    </row>
    <row r="1052" spans="1:6" x14ac:dyDescent="0.25">
      <c r="A1052" t="s">
        <v>3274</v>
      </c>
      <c r="B1052" t="s">
        <v>431</v>
      </c>
      <c r="C1052" t="s">
        <v>51</v>
      </c>
      <c r="D1052" t="s">
        <v>2173</v>
      </c>
      <c r="E1052" t="s">
        <v>1915</v>
      </c>
      <c r="F1052">
        <v>18467</v>
      </c>
    </row>
    <row r="1053" spans="1:6" x14ac:dyDescent="0.25">
      <c r="A1053" t="s">
        <v>3275</v>
      </c>
      <c r="B1053" t="s">
        <v>431</v>
      </c>
      <c r="C1053" t="s">
        <v>51</v>
      </c>
      <c r="D1053" t="s">
        <v>2042</v>
      </c>
      <c r="E1053" t="s">
        <v>1915</v>
      </c>
      <c r="F1053">
        <v>4380</v>
      </c>
    </row>
    <row r="1054" spans="1:6" x14ac:dyDescent="0.25">
      <c r="A1054" t="s">
        <v>3276</v>
      </c>
      <c r="B1054" t="s">
        <v>431</v>
      </c>
      <c r="C1054" t="s">
        <v>51</v>
      </c>
      <c r="D1054" t="s">
        <v>2502</v>
      </c>
      <c r="E1054" t="s">
        <v>1871</v>
      </c>
      <c r="F1054">
        <v>11554</v>
      </c>
    </row>
    <row r="1055" spans="1:6" x14ac:dyDescent="0.25">
      <c r="A1055" t="s">
        <v>3277</v>
      </c>
      <c r="B1055" t="s">
        <v>431</v>
      </c>
      <c r="C1055" t="s">
        <v>51</v>
      </c>
      <c r="D1055" t="s">
        <v>1875</v>
      </c>
      <c r="E1055" t="s">
        <v>1876</v>
      </c>
      <c r="F1055">
        <v>14032</v>
      </c>
    </row>
    <row r="1056" spans="1:6" x14ac:dyDescent="0.25">
      <c r="A1056" t="s">
        <v>3278</v>
      </c>
      <c r="B1056" t="s">
        <v>431</v>
      </c>
      <c r="C1056" t="s">
        <v>51</v>
      </c>
      <c r="D1056" t="s">
        <v>2137</v>
      </c>
      <c r="E1056" t="s">
        <v>1871</v>
      </c>
      <c r="F1056">
        <v>8312</v>
      </c>
    </row>
    <row r="1057" spans="1:6" x14ac:dyDescent="0.25">
      <c r="A1057" t="s">
        <v>3279</v>
      </c>
      <c r="B1057" t="s">
        <v>431</v>
      </c>
      <c r="C1057" t="s">
        <v>51</v>
      </c>
      <c r="D1057" t="s">
        <v>2765</v>
      </c>
      <c r="E1057" t="s">
        <v>1915</v>
      </c>
      <c r="F1057">
        <v>13994</v>
      </c>
    </row>
    <row r="1058" spans="1:6" x14ac:dyDescent="0.25">
      <c r="A1058" t="s">
        <v>3280</v>
      </c>
      <c r="B1058" t="s">
        <v>431</v>
      </c>
      <c r="C1058" t="s">
        <v>51</v>
      </c>
      <c r="D1058" t="s">
        <v>1933</v>
      </c>
      <c r="E1058" t="s">
        <v>1886</v>
      </c>
      <c r="F1058">
        <v>24252</v>
      </c>
    </row>
    <row r="1059" spans="1:6" x14ac:dyDescent="0.25">
      <c r="A1059" t="s">
        <v>3281</v>
      </c>
      <c r="B1059" t="s">
        <v>431</v>
      </c>
      <c r="C1059" t="s">
        <v>51</v>
      </c>
      <c r="D1059" t="s">
        <v>2978</v>
      </c>
      <c r="E1059" t="s">
        <v>1871</v>
      </c>
      <c r="F1059">
        <v>9622</v>
      </c>
    </row>
    <row r="1060" spans="1:6" x14ac:dyDescent="0.25">
      <c r="A1060" t="s">
        <v>3282</v>
      </c>
      <c r="B1060" t="s">
        <v>431</v>
      </c>
      <c r="C1060" t="s">
        <v>51</v>
      </c>
      <c r="D1060" t="s">
        <v>2040</v>
      </c>
      <c r="E1060" t="s">
        <v>1871</v>
      </c>
      <c r="F1060">
        <v>6603</v>
      </c>
    </row>
    <row r="1061" spans="1:6" x14ac:dyDescent="0.25">
      <c r="A1061" t="s">
        <v>3283</v>
      </c>
      <c r="B1061" t="s">
        <v>434</v>
      </c>
      <c r="C1061" t="s">
        <v>87</v>
      </c>
      <c r="D1061" t="s">
        <v>2198</v>
      </c>
      <c r="E1061" t="s">
        <v>1879</v>
      </c>
      <c r="F1061">
        <v>18654</v>
      </c>
    </row>
    <row r="1062" spans="1:6" x14ac:dyDescent="0.25">
      <c r="A1062" t="s">
        <v>3284</v>
      </c>
      <c r="B1062" t="s">
        <v>434</v>
      </c>
      <c r="C1062" t="s">
        <v>87</v>
      </c>
      <c r="D1062" t="s">
        <v>2141</v>
      </c>
      <c r="E1062" t="s">
        <v>1871</v>
      </c>
      <c r="F1062">
        <v>16013</v>
      </c>
    </row>
    <row r="1063" spans="1:6" x14ac:dyDescent="0.25">
      <c r="A1063" t="s">
        <v>3285</v>
      </c>
      <c r="B1063" t="s">
        <v>434</v>
      </c>
      <c r="C1063" t="s">
        <v>87</v>
      </c>
      <c r="D1063" t="s">
        <v>2210</v>
      </c>
      <c r="E1063" t="s">
        <v>1886</v>
      </c>
      <c r="F1063">
        <v>34834</v>
      </c>
    </row>
    <row r="1064" spans="1:6" x14ac:dyDescent="0.25">
      <c r="A1064" t="s">
        <v>3286</v>
      </c>
      <c r="B1064" t="s">
        <v>434</v>
      </c>
      <c r="C1064" t="s">
        <v>87</v>
      </c>
      <c r="D1064" t="s">
        <v>2693</v>
      </c>
      <c r="E1064" t="s">
        <v>1871</v>
      </c>
      <c r="F1064">
        <v>21683</v>
      </c>
    </row>
    <row r="1065" spans="1:6" x14ac:dyDescent="0.25">
      <c r="A1065" t="s">
        <v>3287</v>
      </c>
      <c r="B1065" t="s">
        <v>434</v>
      </c>
      <c r="C1065" t="s">
        <v>87</v>
      </c>
      <c r="D1065" t="s">
        <v>2878</v>
      </c>
      <c r="E1065" t="s">
        <v>1879</v>
      </c>
      <c r="F1065">
        <v>21515</v>
      </c>
    </row>
    <row r="1066" spans="1:6" x14ac:dyDescent="0.25">
      <c r="A1066" t="s">
        <v>3288</v>
      </c>
      <c r="B1066" t="s">
        <v>434</v>
      </c>
      <c r="C1066" t="s">
        <v>87</v>
      </c>
      <c r="D1066" t="s">
        <v>2519</v>
      </c>
      <c r="E1066" t="s">
        <v>1876</v>
      </c>
      <c r="F1066">
        <v>30661</v>
      </c>
    </row>
    <row r="1067" spans="1:6" x14ac:dyDescent="0.25">
      <c r="A1067" t="s">
        <v>3289</v>
      </c>
      <c r="B1067" t="s">
        <v>437</v>
      </c>
      <c r="C1067" t="s">
        <v>73</v>
      </c>
      <c r="D1067" t="s">
        <v>2173</v>
      </c>
      <c r="E1067" t="s">
        <v>1915</v>
      </c>
      <c r="F1067">
        <v>44434</v>
      </c>
    </row>
    <row r="1068" spans="1:6" x14ac:dyDescent="0.25">
      <c r="A1068" t="s">
        <v>3290</v>
      </c>
      <c r="B1068" t="s">
        <v>437</v>
      </c>
      <c r="C1068" t="s">
        <v>73</v>
      </c>
      <c r="D1068" t="s">
        <v>2230</v>
      </c>
      <c r="E1068" t="s">
        <v>1879</v>
      </c>
      <c r="F1068">
        <v>25618</v>
      </c>
    </row>
    <row r="1069" spans="1:6" x14ac:dyDescent="0.25">
      <c r="A1069" t="s">
        <v>3291</v>
      </c>
      <c r="B1069" t="s">
        <v>437</v>
      </c>
      <c r="C1069" t="s">
        <v>73</v>
      </c>
      <c r="D1069" t="s">
        <v>2706</v>
      </c>
      <c r="E1069" t="s">
        <v>1886</v>
      </c>
      <c r="F1069">
        <v>7012</v>
      </c>
    </row>
    <row r="1070" spans="1:6" x14ac:dyDescent="0.25">
      <c r="A1070" t="s">
        <v>3292</v>
      </c>
      <c r="B1070" t="s">
        <v>437</v>
      </c>
      <c r="C1070" t="s">
        <v>73</v>
      </c>
      <c r="D1070" t="s">
        <v>3076</v>
      </c>
      <c r="E1070" t="s">
        <v>1915</v>
      </c>
      <c r="F1070">
        <v>45878</v>
      </c>
    </row>
    <row r="1071" spans="1:6" x14ac:dyDescent="0.25">
      <c r="A1071" t="s">
        <v>3293</v>
      </c>
      <c r="B1071" t="s">
        <v>437</v>
      </c>
      <c r="C1071" t="s">
        <v>73</v>
      </c>
      <c r="D1071" t="s">
        <v>2434</v>
      </c>
      <c r="E1071" t="s">
        <v>1871</v>
      </c>
      <c r="F1071">
        <v>22499</v>
      </c>
    </row>
    <row r="1072" spans="1:6" x14ac:dyDescent="0.25">
      <c r="A1072" t="s">
        <v>3294</v>
      </c>
      <c r="B1072" t="s">
        <v>437</v>
      </c>
      <c r="C1072" t="s">
        <v>73</v>
      </c>
      <c r="D1072" t="s">
        <v>2531</v>
      </c>
      <c r="E1072" t="s">
        <v>1879</v>
      </c>
      <c r="F1072">
        <v>30585</v>
      </c>
    </row>
    <row r="1073" spans="1:6" x14ac:dyDescent="0.25">
      <c r="A1073" t="s">
        <v>3295</v>
      </c>
      <c r="B1073" t="s">
        <v>437</v>
      </c>
      <c r="C1073" t="s">
        <v>73</v>
      </c>
      <c r="D1073" t="s">
        <v>2119</v>
      </c>
      <c r="E1073" t="s">
        <v>1876</v>
      </c>
      <c r="F1073">
        <v>40780</v>
      </c>
    </row>
    <row r="1074" spans="1:6" x14ac:dyDescent="0.25">
      <c r="A1074" t="s">
        <v>3296</v>
      </c>
      <c r="B1074" t="s">
        <v>437</v>
      </c>
      <c r="C1074" t="s">
        <v>73</v>
      </c>
      <c r="D1074" t="s">
        <v>1919</v>
      </c>
      <c r="E1074" t="s">
        <v>1915</v>
      </c>
      <c r="F1074">
        <v>56563</v>
      </c>
    </row>
    <row r="1075" spans="1:6" x14ac:dyDescent="0.25">
      <c r="A1075" t="s">
        <v>3297</v>
      </c>
      <c r="B1075" t="s">
        <v>437</v>
      </c>
      <c r="C1075" t="s">
        <v>73</v>
      </c>
      <c r="D1075" t="s">
        <v>2068</v>
      </c>
      <c r="E1075" t="s">
        <v>1871</v>
      </c>
      <c r="F1075">
        <v>40721</v>
      </c>
    </row>
    <row r="1076" spans="1:6" x14ac:dyDescent="0.25">
      <c r="A1076" t="s">
        <v>3298</v>
      </c>
      <c r="B1076" t="s">
        <v>437</v>
      </c>
      <c r="C1076" t="s">
        <v>73</v>
      </c>
      <c r="D1076" t="s">
        <v>2155</v>
      </c>
      <c r="E1076" t="s">
        <v>1876</v>
      </c>
      <c r="F1076">
        <v>29269</v>
      </c>
    </row>
    <row r="1077" spans="1:6" x14ac:dyDescent="0.25">
      <c r="A1077" t="s">
        <v>3299</v>
      </c>
      <c r="B1077" t="s">
        <v>437</v>
      </c>
      <c r="C1077" t="s">
        <v>73</v>
      </c>
      <c r="D1077" t="s">
        <v>1975</v>
      </c>
      <c r="E1077" t="s">
        <v>1871</v>
      </c>
      <c r="F1077">
        <v>3401</v>
      </c>
    </row>
    <row r="1078" spans="1:6" x14ac:dyDescent="0.25">
      <c r="A1078" t="s">
        <v>3300</v>
      </c>
      <c r="B1078" t="s">
        <v>437</v>
      </c>
      <c r="C1078" t="s">
        <v>73</v>
      </c>
      <c r="D1078" t="s">
        <v>2230</v>
      </c>
      <c r="E1078" t="s">
        <v>1915</v>
      </c>
      <c r="F1078">
        <v>39959</v>
      </c>
    </row>
    <row r="1079" spans="1:6" x14ac:dyDescent="0.25">
      <c r="A1079" t="s">
        <v>3301</v>
      </c>
      <c r="B1079" t="s">
        <v>440</v>
      </c>
      <c r="C1079" t="s">
        <v>146</v>
      </c>
      <c r="D1079" t="s">
        <v>3093</v>
      </c>
      <c r="E1079" t="s">
        <v>1879</v>
      </c>
      <c r="F1079">
        <v>13306</v>
      </c>
    </row>
    <row r="1080" spans="1:6" x14ac:dyDescent="0.25">
      <c r="A1080" t="s">
        <v>3302</v>
      </c>
      <c r="B1080" t="s">
        <v>440</v>
      </c>
      <c r="C1080" t="s">
        <v>146</v>
      </c>
      <c r="D1080" t="s">
        <v>2312</v>
      </c>
      <c r="E1080" t="s">
        <v>1879</v>
      </c>
      <c r="F1080">
        <v>12885</v>
      </c>
    </row>
    <row r="1081" spans="1:6" x14ac:dyDescent="0.25">
      <c r="A1081" t="s">
        <v>3303</v>
      </c>
      <c r="B1081" t="s">
        <v>440</v>
      </c>
      <c r="C1081" t="s">
        <v>146</v>
      </c>
      <c r="D1081" t="s">
        <v>2491</v>
      </c>
      <c r="E1081" t="s">
        <v>1915</v>
      </c>
      <c r="F1081">
        <v>17012</v>
      </c>
    </row>
    <row r="1082" spans="1:6" x14ac:dyDescent="0.25">
      <c r="A1082" t="s">
        <v>3304</v>
      </c>
      <c r="B1082" t="s">
        <v>440</v>
      </c>
      <c r="C1082" t="s">
        <v>146</v>
      </c>
      <c r="D1082" t="s">
        <v>2070</v>
      </c>
      <c r="E1082" t="s">
        <v>1915</v>
      </c>
      <c r="F1082">
        <v>10646</v>
      </c>
    </row>
    <row r="1083" spans="1:6" x14ac:dyDescent="0.25">
      <c r="A1083" t="s">
        <v>3305</v>
      </c>
      <c r="B1083" t="s">
        <v>440</v>
      </c>
      <c r="C1083" t="s">
        <v>146</v>
      </c>
      <c r="D1083" t="s">
        <v>1937</v>
      </c>
      <c r="E1083" t="s">
        <v>1871</v>
      </c>
      <c r="F1083">
        <v>4329</v>
      </c>
    </row>
    <row r="1084" spans="1:6" x14ac:dyDescent="0.25">
      <c r="A1084" t="s">
        <v>3306</v>
      </c>
      <c r="B1084" t="s">
        <v>440</v>
      </c>
      <c r="C1084" t="s">
        <v>146</v>
      </c>
      <c r="D1084" t="s">
        <v>3119</v>
      </c>
      <c r="E1084" t="s">
        <v>1886</v>
      </c>
      <c r="F1084">
        <v>2342</v>
      </c>
    </row>
    <row r="1085" spans="1:6" x14ac:dyDescent="0.25">
      <c r="A1085" t="s">
        <v>3307</v>
      </c>
      <c r="B1085" t="s">
        <v>440</v>
      </c>
      <c r="C1085" t="s">
        <v>146</v>
      </c>
      <c r="D1085" t="s">
        <v>2464</v>
      </c>
      <c r="E1085" t="s">
        <v>1879</v>
      </c>
      <c r="F1085">
        <v>6412</v>
      </c>
    </row>
    <row r="1086" spans="1:6" x14ac:dyDescent="0.25">
      <c r="A1086" t="s">
        <v>3308</v>
      </c>
      <c r="B1086" t="s">
        <v>443</v>
      </c>
      <c r="C1086" t="s">
        <v>51</v>
      </c>
      <c r="D1086" t="s">
        <v>2034</v>
      </c>
      <c r="E1086" t="s">
        <v>1879</v>
      </c>
      <c r="F1086">
        <v>10306</v>
      </c>
    </row>
    <row r="1087" spans="1:6" x14ac:dyDescent="0.25">
      <c r="A1087" t="s">
        <v>3309</v>
      </c>
      <c r="B1087" t="s">
        <v>443</v>
      </c>
      <c r="C1087" t="s">
        <v>51</v>
      </c>
      <c r="D1087" t="s">
        <v>2057</v>
      </c>
      <c r="E1087" t="s">
        <v>1871</v>
      </c>
      <c r="F1087">
        <v>9645</v>
      </c>
    </row>
    <row r="1088" spans="1:6" x14ac:dyDescent="0.25">
      <c r="A1088" t="s">
        <v>3310</v>
      </c>
      <c r="B1088" t="s">
        <v>443</v>
      </c>
      <c r="C1088" t="s">
        <v>51</v>
      </c>
      <c r="D1088" t="s">
        <v>2232</v>
      </c>
      <c r="E1088" t="s">
        <v>1879</v>
      </c>
      <c r="F1088">
        <v>10545</v>
      </c>
    </row>
    <row r="1089" spans="1:6" x14ac:dyDescent="0.25">
      <c r="A1089" t="s">
        <v>3311</v>
      </c>
      <c r="B1089" t="s">
        <v>443</v>
      </c>
      <c r="C1089" t="s">
        <v>51</v>
      </c>
      <c r="D1089" t="s">
        <v>2012</v>
      </c>
      <c r="E1089" t="s">
        <v>1876</v>
      </c>
      <c r="F1089">
        <v>5810</v>
      </c>
    </row>
    <row r="1090" spans="1:6" x14ac:dyDescent="0.25">
      <c r="A1090" t="s">
        <v>3312</v>
      </c>
      <c r="B1090" t="s">
        <v>443</v>
      </c>
      <c r="C1090" t="s">
        <v>51</v>
      </c>
      <c r="D1090" t="s">
        <v>3313</v>
      </c>
      <c r="E1090" t="s">
        <v>1915</v>
      </c>
      <c r="F1090">
        <v>7192</v>
      </c>
    </row>
    <row r="1091" spans="1:6" x14ac:dyDescent="0.25">
      <c r="A1091" t="s">
        <v>3314</v>
      </c>
      <c r="B1091" t="s">
        <v>443</v>
      </c>
      <c r="C1091" t="s">
        <v>51</v>
      </c>
      <c r="D1091" t="s">
        <v>2425</v>
      </c>
      <c r="E1091" t="s">
        <v>1915</v>
      </c>
      <c r="F1091">
        <v>5260</v>
      </c>
    </row>
    <row r="1092" spans="1:6" x14ac:dyDescent="0.25">
      <c r="A1092" t="s">
        <v>3315</v>
      </c>
      <c r="B1092" t="s">
        <v>443</v>
      </c>
      <c r="C1092" t="s">
        <v>51</v>
      </c>
      <c r="D1092" t="s">
        <v>1904</v>
      </c>
      <c r="E1092" t="s">
        <v>1879</v>
      </c>
      <c r="F1092">
        <v>6853</v>
      </c>
    </row>
    <row r="1093" spans="1:6" x14ac:dyDescent="0.25">
      <c r="A1093" t="s">
        <v>3316</v>
      </c>
      <c r="B1093" t="s">
        <v>443</v>
      </c>
      <c r="C1093" t="s">
        <v>51</v>
      </c>
      <c r="D1093" t="s">
        <v>2046</v>
      </c>
      <c r="E1093" t="s">
        <v>1915</v>
      </c>
      <c r="F1093">
        <v>14983</v>
      </c>
    </row>
    <row r="1094" spans="1:6" x14ac:dyDescent="0.25">
      <c r="A1094" t="s">
        <v>3317</v>
      </c>
      <c r="B1094" t="s">
        <v>443</v>
      </c>
      <c r="C1094" t="s">
        <v>51</v>
      </c>
      <c r="D1094" t="s">
        <v>2032</v>
      </c>
      <c r="E1094" t="s">
        <v>1876</v>
      </c>
      <c r="F1094">
        <v>3694</v>
      </c>
    </row>
    <row r="1095" spans="1:6" x14ac:dyDescent="0.25">
      <c r="A1095" t="s">
        <v>3318</v>
      </c>
      <c r="B1095" t="s">
        <v>443</v>
      </c>
      <c r="C1095" t="s">
        <v>51</v>
      </c>
      <c r="D1095" t="s">
        <v>2221</v>
      </c>
      <c r="E1095" t="s">
        <v>1879</v>
      </c>
      <c r="F1095">
        <v>5708</v>
      </c>
    </row>
    <row r="1096" spans="1:6" x14ac:dyDescent="0.25">
      <c r="A1096" t="s">
        <v>3319</v>
      </c>
      <c r="B1096" t="s">
        <v>446</v>
      </c>
      <c r="C1096" t="s">
        <v>146</v>
      </c>
      <c r="D1096" t="s">
        <v>2498</v>
      </c>
      <c r="E1096" t="s">
        <v>1915</v>
      </c>
      <c r="F1096">
        <v>26260</v>
      </c>
    </row>
    <row r="1097" spans="1:6" x14ac:dyDescent="0.25">
      <c r="A1097" t="s">
        <v>3320</v>
      </c>
      <c r="B1097" t="s">
        <v>446</v>
      </c>
      <c r="C1097" t="s">
        <v>146</v>
      </c>
      <c r="D1097" t="s">
        <v>2722</v>
      </c>
      <c r="E1097" t="s">
        <v>1879</v>
      </c>
      <c r="F1097">
        <v>18081</v>
      </c>
    </row>
    <row r="1098" spans="1:6" x14ac:dyDescent="0.25">
      <c r="A1098" t="s">
        <v>3321</v>
      </c>
      <c r="B1098" t="s">
        <v>446</v>
      </c>
      <c r="C1098" t="s">
        <v>146</v>
      </c>
      <c r="D1098" t="s">
        <v>1986</v>
      </c>
      <c r="E1098" t="s">
        <v>1915</v>
      </c>
      <c r="F1098">
        <v>28832</v>
      </c>
    </row>
    <row r="1099" spans="1:6" x14ac:dyDescent="0.25">
      <c r="A1099" t="s">
        <v>3322</v>
      </c>
      <c r="B1099" t="s">
        <v>446</v>
      </c>
      <c r="C1099" t="s">
        <v>146</v>
      </c>
      <c r="D1099" t="s">
        <v>2661</v>
      </c>
      <c r="E1099" t="s">
        <v>1879</v>
      </c>
      <c r="F1099">
        <v>3107</v>
      </c>
    </row>
    <row r="1100" spans="1:6" x14ac:dyDescent="0.25">
      <c r="A1100" t="s">
        <v>3323</v>
      </c>
      <c r="B1100" t="s">
        <v>446</v>
      </c>
      <c r="C1100" t="s">
        <v>146</v>
      </c>
      <c r="D1100" t="s">
        <v>2117</v>
      </c>
      <c r="E1100" t="s">
        <v>1876</v>
      </c>
      <c r="F1100">
        <v>20175</v>
      </c>
    </row>
    <row r="1101" spans="1:6" x14ac:dyDescent="0.25">
      <c r="A1101" t="s">
        <v>3324</v>
      </c>
      <c r="B1101" t="s">
        <v>446</v>
      </c>
      <c r="C1101" t="s">
        <v>146</v>
      </c>
      <c r="D1101" t="s">
        <v>2030</v>
      </c>
      <c r="E1101" t="s">
        <v>1915</v>
      </c>
      <c r="F1101">
        <v>28637</v>
      </c>
    </row>
    <row r="1102" spans="1:6" x14ac:dyDescent="0.25">
      <c r="A1102" t="s">
        <v>3325</v>
      </c>
      <c r="B1102" t="s">
        <v>446</v>
      </c>
      <c r="C1102" t="s">
        <v>146</v>
      </c>
      <c r="D1102" t="s">
        <v>1912</v>
      </c>
      <c r="E1102" t="s">
        <v>1915</v>
      </c>
      <c r="F1102">
        <v>25568</v>
      </c>
    </row>
    <row r="1103" spans="1:6" x14ac:dyDescent="0.25">
      <c r="A1103" t="s">
        <v>3326</v>
      </c>
      <c r="B1103" t="s">
        <v>449</v>
      </c>
      <c r="C1103" t="s">
        <v>146</v>
      </c>
      <c r="D1103" t="s">
        <v>2527</v>
      </c>
      <c r="E1103" t="s">
        <v>1915</v>
      </c>
      <c r="F1103">
        <v>19030</v>
      </c>
    </row>
    <row r="1104" spans="1:6" x14ac:dyDescent="0.25">
      <c r="A1104" t="s">
        <v>3327</v>
      </c>
      <c r="B1104" t="s">
        <v>449</v>
      </c>
      <c r="C1104" t="s">
        <v>146</v>
      </c>
      <c r="D1104" t="s">
        <v>2302</v>
      </c>
      <c r="E1104" t="s">
        <v>1871</v>
      </c>
      <c r="F1104">
        <v>11694</v>
      </c>
    </row>
    <row r="1105" spans="1:6" x14ac:dyDescent="0.25">
      <c r="A1105" t="s">
        <v>3328</v>
      </c>
      <c r="B1105" t="s">
        <v>449</v>
      </c>
      <c r="C1105" t="s">
        <v>146</v>
      </c>
      <c r="D1105" t="s">
        <v>2328</v>
      </c>
      <c r="E1105" t="s">
        <v>1871</v>
      </c>
      <c r="F1105">
        <v>25474</v>
      </c>
    </row>
    <row r="1106" spans="1:6" x14ac:dyDescent="0.25">
      <c r="A1106" t="s">
        <v>3329</v>
      </c>
      <c r="B1106" t="s">
        <v>449</v>
      </c>
      <c r="C1106" t="s">
        <v>146</v>
      </c>
      <c r="D1106" t="s">
        <v>2318</v>
      </c>
      <c r="E1106" t="s">
        <v>1879</v>
      </c>
      <c r="F1106">
        <v>12718</v>
      </c>
    </row>
    <row r="1107" spans="1:6" x14ac:dyDescent="0.25">
      <c r="A1107" t="s">
        <v>3330</v>
      </c>
      <c r="B1107" t="s">
        <v>449</v>
      </c>
      <c r="C1107" t="s">
        <v>146</v>
      </c>
      <c r="D1107" t="s">
        <v>2198</v>
      </c>
      <c r="E1107" t="s">
        <v>1915</v>
      </c>
      <c r="F1107">
        <v>22519</v>
      </c>
    </row>
    <row r="1108" spans="1:6" x14ac:dyDescent="0.25">
      <c r="A1108" t="s">
        <v>3331</v>
      </c>
      <c r="B1108" t="s">
        <v>449</v>
      </c>
      <c r="C1108" t="s">
        <v>146</v>
      </c>
      <c r="D1108" t="s">
        <v>1904</v>
      </c>
      <c r="E1108" t="s">
        <v>1915</v>
      </c>
      <c r="F1108">
        <v>5527</v>
      </c>
    </row>
    <row r="1109" spans="1:6" x14ac:dyDescent="0.25">
      <c r="A1109" t="s">
        <v>3332</v>
      </c>
      <c r="B1109" t="s">
        <v>449</v>
      </c>
      <c r="C1109" t="s">
        <v>146</v>
      </c>
      <c r="D1109" t="s">
        <v>2612</v>
      </c>
      <c r="E1109" t="s">
        <v>1879</v>
      </c>
      <c r="F1109">
        <v>14701</v>
      </c>
    </row>
    <row r="1110" spans="1:6" x14ac:dyDescent="0.25">
      <c r="A1110" t="s">
        <v>3333</v>
      </c>
      <c r="B1110" t="s">
        <v>449</v>
      </c>
      <c r="C1110" t="s">
        <v>146</v>
      </c>
      <c r="D1110" t="s">
        <v>1919</v>
      </c>
      <c r="E1110" t="s">
        <v>1915</v>
      </c>
      <c r="F1110">
        <v>22546</v>
      </c>
    </row>
    <row r="1111" spans="1:6" x14ac:dyDescent="0.25">
      <c r="A1111" t="s">
        <v>3334</v>
      </c>
      <c r="B1111" t="s">
        <v>449</v>
      </c>
      <c r="C1111" t="s">
        <v>146</v>
      </c>
      <c r="D1111" t="s">
        <v>2028</v>
      </c>
      <c r="E1111" t="s">
        <v>1871</v>
      </c>
      <c r="F1111">
        <v>24211</v>
      </c>
    </row>
    <row r="1112" spans="1:6" x14ac:dyDescent="0.25">
      <c r="A1112" t="s">
        <v>3335</v>
      </c>
      <c r="B1112" t="s">
        <v>449</v>
      </c>
      <c r="C1112" t="s">
        <v>146</v>
      </c>
      <c r="D1112" t="s">
        <v>2404</v>
      </c>
      <c r="E1112" t="s">
        <v>1915</v>
      </c>
      <c r="F1112">
        <v>6432</v>
      </c>
    </row>
    <row r="1113" spans="1:6" x14ac:dyDescent="0.25">
      <c r="A1113" t="s">
        <v>3336</v>
      </c>
      <c r="B1113" t="s">
        <v>452</v>
      </c>
      <c r="C1113" t="s">
        <v>96</v>
      </c>
      <c r="D1113" t="s">
        <v>2395</v>
      </c>
      <c r="E1113" t="s">
        <v>1879</v>
      </c>
      <c r="F1113">
        <v>18712</v>
      </c>
    </row>
    <row r="1114" spans="1:6" x14ac:dyDescent="0.25">
      <c r="A1114" t="s">
        <v>3337</v>
      </c>
      <c r="B1114" t="s">
        <v>452</v>
      </c>
      <c r="C1114" t="s">
        <v>96</v>
      </c>
      <c r="D1114" t="s">
        <v>1904</v>
      </c>
      <c r="E1114" t="s">
        <v>1879</v>
      </c>
      <c r="F1114">
        <v>1934</v>
      </c>
    </row>
    <row r="1115" spans="1:6" x14ac:dyDescent="0.25">
      <c r="A1115" t="s">
        <v>3338</v>
      </c>
      <c r="B1115" t="s">
        <v>452</v>
      </c>
      <c r="C1115" t="s">
        <v>96</v>
      </c>
      <c r="D1115" t="s">
        <v>1984</v>
      </c>
      <c r="E1115" t="s">
        <v>1871</v>
      </c>
      <c r="F1115">
        <v>553</v>
      </c>
    </row>
    <row r="1116" spans="1:6" x14ac:dyDescent="0.25">
      <c r="A1116" t="s">
        <v>3339</v>
      </c>
      <c r="B1116" t="s">
        <v>452</v>
      </c>
      <c r="C1116" t="s">
        <v>96</v>
      </c>
      <c r="D1116" t="s">
        <v>3164</v>
      </c>
      <c r="E1116" t="s">
        <v>1876</v>
      </c>
      <c r="F1116">
        <v>17016</v>
      </c>
    </row>
    <row r="1117" spans="1:6" x14ac:dyDescent="0.25">
      <c r="A1117" t="s">
        <v>3340</v>
      </c>
      <c r="B1117" t="s">
        <v>452</v>
      </c>
      <c r="C1117" t="s">
        <v>96</v>
      </c>
      <c r="D1117" t="s">
        <v>2745</v>
      </c>
      <c r="E1117" t="s">
        <v>1886</v>
      </c>
      <c r="F1117">
        <v>4732</v>
      </c>
    </row>
    <row r="1118" spans="1:6" x14ac:dyDescent="0.25">
      <c r="A1118" t="s">
        <v>3341</v>
      </c>
      <c r="B1118" t="s">
        <v>452</v>
      </c>
      <c r="C1118" t="s">
        <v>96</v>
      </c>
      <c r="D1118" t="s">
        <v>2364</v>
      </c>
      <c r="E1118" t="s">
        <v>1915</v>
      </c>
      <c r="F1118">
        <v>9892</v>
      </c>
    </row>
    <row r="1119" spans="1:6" x14ac:dyDescent="0.25">
      <c r="A1119" t="s">
        <v>3342</v>
      </c>
      <c r="B1119" t="s">
        <v>452</v>
      </c>
      <c r="C1119" t="s">
        <v>96</v>
      </c>
      <c r="D1119" t="s">
        <v>2193</v>
      </c>
      <c r="E1119" t="s">
        <v>1871</v>
      </c>
      <c r="F1119">
        <v>6354</v>
      </c>
    </row>
    <row r="1120" spans="1:6" x14ac:dyDescent="0.25">
      <c r="A1120" t="s">
        <v>3343</v>
      </c>
      <c r="B1120" t="s">
        <v>455</v>
      </c>
      <c r="C1120" t="s">
        <v>73</v>
      </c>
      <c r="D1120" t="s">
        <v>2005</v>
      </c>
      <c r="E1120" t="s">
        <v>1879</v>
      </c>
      <c r="F1120">
        <v>9121</v>
      </c>
    </row>
    <row r="1121" spans="1:6" x14ac:dyDescent="0.25">
      <c r="A1121" t="s">
        <v>3344</v>
      </c>
      <c r="B1121" t="s">
        <v>455</v>
      </c>
      <c r="C1121" t="s">
        <v>73</v>
      </c>
      <c r="D1121" t="s">
        <v>2048</v>
      </c>
      <c r="E1121" t="s">
        <v>1886</v>
      </c>
      <c r="F1121">
        <v>31919</v>
      </c>
    </row>
    <row r="1122" spans="1:6" x14ac:dyDescent="0.25">
      <c r="A1122" t="s">
        <v>3345</v>
      </c>
      <c r="B1122" t="s">
        <v>455</v>
      </c>
      <c r="C1122" t="s">
        <v>73</v>
      </c>
      <c r="D1122" t="s">
        <v>2401</v>
      </c>
      <c r="E1122" t="s">
        <v>1915</v>
      </c>
      <c r="F1122">
        <v>58813</v>
      </c>
    </row>
    <row r="1123" spans="1:6" x14ac:dyDescent="0.25">
      <c r="A1123" t="s">
        <v>3346</v>
      </c>
      <c r="B1123" t="s">
        <v>455</v>
      </c>
      <c r="C1123" t="s">
        <v>73</v>
      </c>
      <c r="D1123" t="s">
        <v>2095</v>
      </c>
      <c r="E1123" t="s">
        <v>1879</v>
      </c>
      <c r="F1123">
        <v>7608</v>
      </c>
    </row>
    <row r="1124" spans="1:6" x14ac:dyDescent="0.25">
      <c r="A1124" t="s">
        <v>3347</v>
      </c>
      <c r="B1124" t="s">
        <v>455</v>
      </c>
      <c r="C1124" t="s">
        <v>73</v>
      </c>
      <c r="D1124" t="s">
        <v>2230</v>
      </c>
      <c r="E1124" t="s">
        <v>1871</v>
      </c>
      <c r="F1124">
        <v>31641</v>
      </c>
    </row>
    <row r="1125" spans="1:6" x14ac:dyDescent="0.25">
      <c r="A1125" t="s">
        <v>3348</v>
      </c>
      <c r="B1125" t="s">
        <v>455</v>
      </c>
      <c r="C1125" t="s">
        <v>73</v>
      </c>
      <c r="D1125" t="s">
        <v>3115</v>
      </c>
      <c r="E1125" t="s">
        <v>1915</v>
      </c>
      <c r="F1125">
        <v>45631</v>
      </c>
    </row>
    <row r="1126" spans="1:6" x14ac:dyDescent="0.25">
      <c r="A1126" t="s">
        <v>3349</v>
      </c>
      <c r="B1126" t="s">
        <v>455</v>
      </c>
      <c r="C1126" t="s">
        <v>73</v>
      </c>
      <c r="D1126" t="s">
        <v>2171</v>
      </c>
      <c r="E1126" t="s">
        <v>1879</v>
      </c>
      <c r="F1126">
        <v>51238</v>
      </c>
    </row>
    <row r="1127" spans="1:6" x14ac:dyDescent="0.25">
      <c r="A1127" t="s">
        <v>3350</v>
      </c>
      <c r="B1127" t="s">
        <v>455</v>
      </c>
      <c r="C1127" t="s">
        <v>73</v>
      </c>
      <c r="D1127" t="s">
        <v>2099</v>
      </c>
      <c r="E1127" t="s">
        <v>1871</v>
      </c>
      <c r="F1127">
        <v>44292</v>
      </c>
    </row>
    <row r="1128" spans="1:6" x14ac:dyDescent="0.25">
      <c r="A1128" t="s">
        <v>3351</v>
      </c>
      <c r="B1128" t="s">
        <v>455</v>
      </c>
      <c r="C1128" t="s">
        <v>73</v>
      </c>
      <c r="D1128" t="s">
        <v>1885</v>
      </c>
      <c r="E1128" t="s">
        <v>1871</v>
      </c>
      <c r="F1128">
        <v>6002</v>
      </c>
    </row>
    <row r="1129" spans="1:6" x14ac:dyDescent="0.25">
      <c r="A1129" t="s">
        <v>3352</v>
      </c>
      <c r="B1129" t="s">
        <v>455</v>
      </c>
      <c r="C1129" t="s">
        <v>73</v>
      </c>
      <c r="D1129" t="s">
        <v>2346</v>
      </c>
      <c r="E1129" t="s">
        <v>1915</v>
      </c>
      <c r="F1129">
        <v>64055</v>
      </c>
    </row>
    <row r="1130" spans="1:6" x14ac:dyDescent="0.25">
      <c r="A1130" t="s">
        <v>3353</v>
      </c>
      <c r="B1130" t="s">
        <v>455</v>
      </c>
      <c r="C1130" t="s">
        <v>73</v>
      </c>
      <c r="D1130" t="s">
        <v>2672</v>
      </c>
      <c r="E1130" t="s">
        <v>1876</v>
      </c>
      <c r="F1130">
        <v>3431</v>
      </c>
    </row>
    <row r="1131" spans="1:6" x14ac:dyDescent="0.25">
      <c r="A1131" t="s">
        <v>3354</v>
      </c>
      <c r="B1131" t="s">
        <v>458</v>
      </c>
      <c r="C1131" t="s">
        <v>51</v>
      </c>
      <c r="D1131" t="s">
        <v>1883</v>
      </c>
      <c r="E1131" t="s">
        <v>1876</v>
      </c>
      <c r="F1131">
        <v>8668</v>
      </c>
    </row>
    <row r="1132" spans="1:6" x14ac:dyDescent="0.25">
      <c r="A1132" t="s">
        <v>3355</v>
      </c>
      <c r="B1132" t="s">
        <v>458</v>
      </c>
      <c r="C1132" t="s">
        <v>51</v>
      </c>
      <c r="D1132" t="s">
        <v>1881</v>
      </c>
      <c r="E1132" t="s">
        <v>1871</v>
      </c>
      <c r="F1132">
        <v>5807</v>
      </c>
    </row>
    <row r="1133" spans="1:6" x14ac:dyDescent="0.25">
      <c r="A1133" t="s">
        <v>3356</v>
      </c>
      <c r="B1133" t="s">
        <v>458</v>
      </c>
      <c r="C1133" t="s">
        <v>51</v>
      </c>
      <c r="D1133" t="s">
        <v>2273</v>
      </c>
      <c r="E1133" t="s">
        <v>1915</v>
      </c>
      <c r="F1133">
        <v>7650</v>
      </c>
    </row>
    <row r="1134" spans="1:6" x14ac:dyDescent="0.25">
      <c r="A1134" t="s">
        <v>3357</v>
      </c>
      <c r="B1134" t="s">
        <v>458</v>
      </c>
      <c r="C1134" t="s">
        <v>51</v>
      </c>
      <c r="D1134" t="s">
        <v>2779</v>
      </c>
      <c r="E1134" t="s">
        <v>1915</v>
      </c>
      <c r="F1134">
        <v>23931</v>
      </c>
    </row>
    <row r="1135" spans="1:6" x14ac:dyDescent="0.25">
      <c r="A1135" t="s">
        <v>3358</v>
      </c>
      <c r="B1135" t="s">
        <v>458</v>
      </c>
      <c r="C1135" t="s">
        <v>51</v>
      </c>
      <c r="D1135" t="s">
        <v>2093</v>
      </c>
      <c r="E1135" t="s">
        <v>1876</v>
      </c>
      <c r="F1135">
        <v>6778</v>
      </c>
    </row>
    <row r="1136" spans="1:6" x14ac:dyDescent="0.25">
      <c r="A1136" t="s">
        <v>3359</v>
      </c>
      <c r="B1136" t="s">
        <v>458</v>
      </c>
      <c r="C1136" t="s">
        <v>51</v>
      </c>
      <c r="D1136" t="s">
        <v>3115</v>
      </c>
      <c r="E1136" t="s">
        <v>1915</v>
      </c>
      <c r="F1136">
        <v>37615</v>
      </c>
    </row>
    <row r="1137" spans="1:6" x14ac:dyDescent="0.25">
      <c r="A1137" t="s">
        <v>3360</v>
      </c>
      <c r="B1137" t="s">
        <v>458</v>
      </c>
      <c r="C1137" t="s">
        <v>51</v>
      </c>
      <c r="D1137" t="s">
        <v>2074</v>
      </c>
      <c r="E1137" t="s">
        <v>1871</v>
      </c>
      <c r="F1137">
        <v>6139</v>
      </c>
    </row>
    <row r="1138" spans="1:6" x14ac:dyDescent="0.25">
      <c r="A1138" t="s">
        <v>3361</v>
      </c>
      <c r="B1138" t="s">
        <v>458</v>
      </c>
      <c r="C1138" t="s">
        <v>51</v>
      </c>
      <c r="D1138" t="s">
        <v>1947</v>
      </c>
      <c r="E1138" t="s">
        <v>1915</v>
      </c>
      <c r="F1138">
        <v>9376</v>
      </c>
    </row>
    <row r="1139" spans="1:6" x14ac:dyDescent="0.25">
      <c r="A1139" t="s">
        <v>3362</v>
      </c>
      <c r="B1139" t="s">
        <v>458</v>
      </c>
      <c r="C1139" t="s">
        <v>51</v>
      </c>
      <c r="D1139" t="s">
        <v>2812</v>
      </c>
      <c r="E1139" t="s">
        <v>1915</v>
      </c>
      <c r="F1139">
        <v>36415</v>
      </c>
    </row>
    <row r="1140" spans="1:6" x14ac:dyDescent="0.25">
      <c r="A1140" t="s">
        <v>3363</v>
      </c>
      <c r="B1140" t="s">
        <v>458</v>
      </c>
      <c r="C1140" t="s">
        <v>51</v>
      </c>
      <c r="D1140" t="s">
        <v>1908</v>
      </c>
      <c r="E1140" t="s">
        <v>1871</v>
      </c>
      <c r="F1140">
        <v>2015</v>
      </c>
    </row>
    <row r="1141" spans="1:6" x14ac:dyDescent="0.25">
      <c r="A1141" t="s">
        <v>3364</v>
      </c>
      <c r="B1141" t="s">
        <v>458</v>
      </c>
      <c r="C1141" t="s">
        <v>51</v>
      </c>
      <c r="D1141" t="s">
        <v>2097</v>
      </c>
      <c r="E1141" t="s">
        <v>1876</v>
      </c>
      <c r="F1141">
        <v>1518</v>
      </c>
    </row>
    <row r="1142" spans="1:6" x14ac:dyDescent="0.25">
      <c r="A1142" t="s">
        <v>3365</v>
      </c>
      <c r="B1142" t="s">
        <v>461</v>
      </c>
      <c r="C1142" t="s">
        <v>87</v>
      </c>
      <c r="D1142" t="s">
        <v>2491</v>
      </c>
      <c r="E1142" t="s">
        <v>1879</v>
      </c>
      <c r="F1142">
        <v>24305</v>
      </c>
    </row>
    <row r="1143" spans="1:6" x14ac:dyDescent="0.25">
      <c r="A1143" t="s">
        <v>3366</v>
      </c>
      <c r="B1143" t="s">
        <v>461</v>
      </c>
      <c r="C1143" t="s">
        <v>87</v>
      </c>
      <c r="D1143" t="s">
        <v>3026</v>
      </c>
      <c r="E1143" t="s">
        <v>1886</v>
      </c>
      <c r="F1143">
        <v>18761</v>
      </c>
    </row>
    <row r="1144" spans="1:6" x14ac:dyDescent="0.25">
      <c r="A1144" t="s">
        <v>3367</v>
      </c>
      <c r="B1144" t="s">
        <v>461</v>
      </c>
      <c r="C1144" t="s">
        <v>87</v>
      </c>
      <c r="D1144" t="s">
        <v>2099</v>
      </c>
      <c r="E1144" t="s">
        <v>1879</v>
      </c>
      <c r="F1144">
        <v>387</v>
      </c>
    </row>
    <row r="1145" spans="1:6" x14ac:dyDescent="0.25">
      <c r="A1145" t="s">
        <v>3368</v>
      </c>
      <c r="B1145" t="s">
        <v>461</v>
      </c>
      <c r="C1145" t="s">
        <v>87</v>
      </c>
      <c r="D1145" t="s">
        <v>2956</v>
      </c>
      <c r="E1145" t="s">
        <v>1915</v>
      </c>
      <c r="F1145">
        <v>1588</v>
      </c>
    </row>
    <row r="1146" spans="1:6" x14ac:dyDescent="0.25">
      <c r="A1146" t="s">
        <v>3369</v>
      </c>
      <c r="B1146" t="s">
        <v>461</v>
      </c>
      <c r="C1146" t="s">
        <v>87</v>
      </c>
      <c r="D1146" t="s">
        <v>1908</v>
      </c>
      <c r="E1146" t="s">
        <v>1876</v>
      </c>
      <c r="F1146">
        <v>6720</v>
      </c>
    </row>
    <row r="1147" spans="1:6" x14ac:dyDescent="0.25">
      <c r="A1147" t="s">
        <v>3370</v>
      </c>
      <c r="B1147" t="s">
        <v>461</v>
      </c>
      <c r="C1147" t="s">
        <v>87</v>
      </c>
      <c r="D1147" t="s">
        <v>2032</v>
      </c>
      <c r="E1147" t="s">
        <v>1879</v>
      </c>
      <c r="F1147">
        <v>20837</v>
      </c>
    </row>
    <row r="1148" spans="1:6" x14ac:dyDescent="0.25">
      <c r="A1148" t="s">
        <v>3371</v>
      </c>
      <c r="B1148" t="s">
        <v>464</v>
      </c>
      <c r="C1148" t="s">
        <v>146</v>
      </c>
      <c r="D1148" t="s">
        <v>2615</v>
      </c>
      <c r="E1148" t="s">
        <v>1876</v>
      </c>
      <c r="F1148">
        <v>22290</v>
      </c>
    </row>
    <row r="1149" spans="1:6" x14ac:dyDescent="0.25">
      <c r="A1149" t="s">
        <v>3372</v>
      </c>
      <c r="B1149" t="s">
        <v>464</v>
      </c>
      <c r="C1149" t="s">
        <v>146</v>
      </c>
      <c r="D1149" t="s">
        <v>2221</v>
      </c>
      <c r="E1149" t="s">
        <v>1876</v>
      </c>
      <c r="F1149">
        <v>1408</v>
      </c>
    </row>
    <row r="1150" spans="1:6" x14ac:dyDescent="0.25">
      <c r="A1150" t="s">
        <v>3373</v>
      </c>
      <c r="B1150" t="s">
        <v>464</v>
      </c>
      <c r="C1150" t="s">
        <v>146</v>
      </c>
      <c r="D1150" t="s">
        <v>1984</v>
      </c>
      <c r="E1150" t="s">
        <v>1879</v>
      </c>
      <c r="F1150">
        <v>12607</v>
      </c>
    </row>
    <row r="1151" spans="1:6" x14ac:dyDescent="0.25">
      <c r="A1151" t="s">
        <v>3374</v>
      </c>
      <c r="B1151" t="s">
        <v>464</v>
      </c>
      <c r="C1151" t="s">
        <v>146</v>
      </c>
      <c r="D1151" t="s">
        <v>2293</v>
      </c>
      <c r="E1151" t="s">
        <v>1879</v>
      </c>
      <c r="F1151">
        <v>25496</v>
      </c>
    </row>
    <row r="1152" spans="1:6" x14ac:dyDescent="0.25">
      <c r="A1152" t="s">
        <v>3375</v>
      </c>
      <c r="B1152" t="s">
        <v>464</v>
      </c>
      <c r="C1152" t="s">
        <v>146</v>
      </c>
      <c r="D1152" t="s">
        <v>2139</v>
      </c>
      <c r="E1152" t="s">
        <v>1871</v>
      </c>
      <c r="F1152">
        <v>26278</v>
      </c>
    </row>
    <row r="1153" spans="1:6" x14ac:dyDescent="0.25">
      <c r="A1153" t="s">
        <v>3376</v>
      </c>
      <c r="B1153" t="s">
        <v>464</v>
      </c>
      <c r="C1153" t="s">
        <v>146</v>
      </c>
      <c r="D1153" t="s">
        <v>2894</v>
      </c>
      <c r="E1153" t="s">
        <v>1876</v>
      </c>
      <c r="F1153">
        <v>982</v>
      </c>
    </row>
    <row r="1154" spans="1:6" x14ac:dyDescent="0.25">
      <c r="A1154" t="s">
        <v>3377</v>
      </c>
      <c r="B1154" t="s">
        <v>464</v>
      </c>
      <c r="C1154" t="s">
        <v>146</v>
      </c>
      <c r="D1154" t="s">
        <v>3252</v>
      </c>
      <c r="E1154" t="s">
        <v>1871</v>
      </c>
      <c r="F1154">
        <v>7009</v>
      </c>
    </row>
    <row r="1155" spans="1:6" x14ac:dyDescent="0.25">
      <c r="A1155" t="s">
        <v>3378</v>
      </c>
      <c r="B1155" t="s">
        <v>464</v>
      </c>
      <c r="C1155" t="s">
        <v>146</v>
      </c>
      <c r="D1155" t="s">
        <v>2267</v>
      </c>
      <c r="E1155" t="s">
        <v>1879</v>
      </c>
      <c r="F1155">
        <v>9104</v>
      </c>
    </row>
    <row r="1156" spans="1:6" x14ac:dyDescent="0.25">
      <c r="A1156" t="s">
        <v>3379</v>
      </c>
      <c r="B1156" t="s">
        <v>464</v>
      </c>
      <c r="C1156" t="s">
        <v>146</v>
      </c>
      <c r="D1156" t="s">
        <v>2666</v>
      </c>
      <c r="E1156" t="s">
        <v>1876</v>
      </c>
      <c r="F1156">
        <v>10076</v>
      </c>
    </row>
    <row r="1157" spans="1:6" x14ac:dyDescent="0.25">
      <c r="A1157" t="s">
        <v>3380</v>
      </c>
      <c r="B1157" t="s">
        <v>464</v>
      </c>
      <c r="C1157" t="s">
        <v>146</v>
      </c>
      <c r="D1157" t="s">
        <v>1925</v>
      </c>
      <c r="E1157" t="s">
        <v>1879</v>
      </c>
      <c r="F1157">
        <v>13987</v>
      </c>
    </row>
    <row r="1158" spans="1:6" x14ac:dyDescent="0.25">
      <c r="A1158" t="s">
        <v>3381</v>
      </c>
      <c r="B1158" t="s">
        <v>464</v>
      </c>
      <c r="C1158" t="s">
        <v>146</v>
      </c>
      <c r="D1158" t="s">
        <v>2095</v>
      </c>
      <c r="E1158" t="s">
        <v>1886</v>
      </c>
      <c r="F1158">
        <v>27827</v>
      </c>
    </row>
    <row r="1159" spans="1:6" x14ac:dyDescent="0.25">
      <c r="A1159" t="s">
        <v>3382</v>
      </c>
      <c r="B1159" t="s">
        <v>467</v>
      </c>
      <c r="C1159" t="s">
        <v>51</v>
      </c>
      <c r="D1159" t="s">
        <v>2343</v>
      </c>
      <c r="E1159" t="s">
        <v>1879</v>
      </c>
      <c r="F1159">
        <v>2984</v>
      </c>
    </row>
    <row r="1160" spans="1:6" x14ac:dyDescent="0.25">
      <c r="A1160" t="s">
        <v>3383</v>
      </c>
      <c r="B1160" t="s">
        <v>467</v>
      </c>
      <c r="C1160" t="s">
        <v>51</v>
      </c>
      <c r="D1160" t="s">
        <v>2171</v>
      </c>
      <c r="E1160" t="s">
        <v>1871</v>
      </c>
      <c r="F1160">
        <v>14347</v>
      </c>
    </row>
    <row r="1161" spans="1:6" x14ac:dyDescent="0.25">
      <c r="A1161" t="s">
        <v>3384</v>
      </c>
      <c r="B1161" t="s">
        <v>467</v>
      </c>
      <c r="C1161" t="s">
        <v>51</v>
      </c>
      <c r="D1161" t="s">
        <v>2119</v>
      </c>
      <c r="E1161" t="s">
        <v>1886</v>
      </c>
      <c r="F1161">
        <v>6340</v>
      </c>
    </row>
    <row r="1162" spans="1:6" x14ac:dyDescent="0.25">
      <c r="A1162" t="s">
        <v>3385</v>
      </c>
      <c r="B1162" t="s">
        <v>467</v>
      </c>
      <c r="C1162" t="s">
        <v>51</v>
      </c>
      <c r="D1162" t="s">
        <v>2747</v>
      </c>
      <c r="E1162" t="s">
        <v>1915</v>
      </c>
      <c r="F1162">
        <v>6772</v>
      </c>
    </row>
    <row r="1163" spans="1:6" x14ac:dyDescent="0.25">
      <c r="A1163" t="s">
        <v>3386</v>
      </c>
      <c r="B1163" t="s">
        <v>467</v>
      </c>
      <c r="C1163" t="s">
        <v>51</v>
      </c>
      <c r="D1163" t="s">
        <v>2057</v>
      </c>
      <c r="E1163" t="s">
        <v>1871</v>
      </c>
      <c r="F1163">
        <v>6735</v>
      </c>
    </row>
    <row r="1164" spans="1:6" x14ac:dyDescent="0.25">
      <c r="A1164" t="s">
        <v>3387</v>
      </c>
      <c r="B1164" t="s">
        <v>467</v>
      </c>
      <c r="C1164" t="s">
        <v>51</v>
      </c>
      <c r="D1164" t="s">
        <v>2355</v>
      </c>
      <c r="E1164" t="s">
        <v>1879</v>
      </c>
      <c r="F1164">
        <v>10828</v>
      </c>
    </row>
    <row r="1165" spans="1:6" x14ac:dyDescent="0.25">
      <c r="A1165" t="s">
        <v>3388</v>
      </c>
      <c r="B1165" t="s">
        <v>467</v>
      </c>
      <c r="C1165" t="s">
        <v>51</v>
      </c>
      <c r="D1165" t="s">
        <v>2346</v>
      </c>
      <c r="E1165" t="s">
        <v>1871</v>
      </c>
      <c r="F1165">
        <v>21773</v>
      </c>
    </row>
    <row r="1166" spans="1:6" x14ac:dyDescent="0.25">
      <c r="A1166" t="s">
        <v>3389</v>
      </c>
      <c r="B1166" t="s">
        <v>467</v>
      </c>
      <c r="C1166" t="s">
        <v>51</v>
      </c>
      <c r="D1166" t="s">
        <v>2557</v>
      </c>
      <c r="E1166" t="s">
        <v>1915</v>
      </c>
      <c r="F1166">
        <v>8142</v>
      </c>
    </row>
    <row r="1167" spans="1:6" x14ac:dyDescent="0.25">
      <c r="A1167" t="s">
        <v>3390</v>
      </c>
      <c r="B1167" t="s">
        <v>467</v>
      </c>
      <c r="C1167" t="s">
        <v>51</v>
      </c>
      <c r="D1167" t="s">
        <v>2357</v>
      </c>
      <c r="E1167" t="s">
        <v>1871</v>
      </c>
      <c r="F1167">
        <v>5509</v>
      </c>
    </row>
    <row r="1168" spans="1:6" x14ac:dyDescent="0.25">
      <c r="A1168" t="s">
        <v>3391</v>
      </c>
      <c r="B1168" t="s">
        <v>467</v>
      </c>
      <c r="C1168" t="s">
        <v>51</v>
      </c>
      <c r="D1168" t="s">
        <v>2756</v>
      </c>
      <c r="E1168" t="s">
        <v>1886</v>
      </c>
      <c r="F1168">
        <v>13534</v>
      </c>
    </row>
    <row r="1169" spans="1:6" x14ac:dyDescent="0.25">
      <c r="A1169" t="s">
        <v>3392</v>
      </c>
      <c r="B1169" t="s">
        <v>467</v>
      </c>
      <c r="C1169" t="s">
        <v>51</v>
      </c>
      <c r="D1169" t="s">
        <v>2561</v>
      </c>
      <c r="E1169" t="s">
        <v>1915</v>
      </c>
      <c r="F1169">
        <v>50528</v>
      </c>
    </row>
    <row r="1170" spans="1:6" x14ac:dyDescent="0.25">
      <c r="A1170" t="s">
        <v>3393</v>
      </c>
      <c r="B1170" t="s">
        <v>467</v>
      </c>
      <c r="C1170" t="s">
        <v>51</v>
      </c>
      <c r="D1170" t="s">
        <v>2314</v>
      </c>
      <c r="E1170" t="s">
        <v>1879</v>
      </c>
      <c r="F1170">
        <v>4472</v>
      </c>
    </row>
    <row r="1171" spans="1:6" x14ac:dyDescent="0.25">
      <c r="A1171" t="s">
        <v>3394</v>
      </c>
      <c r="B1171" t="s">
        <v>470</v>
      </c>
      <c r="C1171" t="s">
        <v>146</v>
      </c>
      <c r="D1171" t="s">
        <v>3395</v>
      </c>
      <c r="E1171" t="s">
        <v>1879</v>
      </c>
      <c r="F1171">
        <v>33205</v>
      </c>
    </row>
    <row r="1172" spans="1:6" x14ac:dyDescent="0.25">
      <c r="A1172" t="s">
        <v>3396</v>
      </c>
      <c r="B1172" t="s">
        <v>470</v>
      </c>
      <c r="C1172" t="s">
        <v>146</v>
      </c>
      <c r="D1172" t="s">
        <v>2066</v>
      </c>
      <c r="E1172" t="s">
        <v>1886</v>
      </c>
      <c r="F1172">
        <v>1829</v>
      </c>
    </row>
    <row r="1173" spans="1:6" x14ac:dyDescent="0.25">
      <c r="A1173" t="s">
        <v>3397</v>
      </c>
      <c r="B1173" t="s">
        <v>470</v>
      </c>
      <c r="C1173" t="s">
        <v>146</v>
      </c>
      <c r="D1173" t="s">
        <v>1996</v>
      </c>
      <c r="E1173" t="s">
        <v>1915</v>
      </c>
      <c r="F1173">
        <v>41090</v>
      </c>
    </row>
    <row r="1174" spans="1:6" x14ac:dyDescent="0.25">
      <c r="A1174" t="s">
        <v>3398</v>
      </c>
      <c r="B1174" t="s">
        <v>470</v>
      </c>
      <c r="C1174" t="s">
        <v>146</v>
      </c>
      <c r="D1174" t="s">
        <v>3062</v>
      </c>
      <c r="E1174" t="s">
        <v>1915</v>
      </c>
      <c r="F1174">
        <v>19884</v>
      </c>
    </row>
    <row r="1175" spans="1:6" x14ac:dyDescent="0.25">
      <c r="A1175" t="s">
        <v>3399</v>
      </c>
      <c r="B1175" t="s">
        <v>470</v>
      </c>
      <c r="C1175" t="s">
        <v>146</v>
      </c>
      <c r="D1175" t="s">
        <v>2894</v>
      </c>
      <c r="E1175" t="s">
        <v>1879</v>
      </c>
      <c r="F1175">
        <v>25294</v>
      </c>
    </row>
    <row r="1176" spans="1:6" x14ac:dyDescent="0.25">
      <c r="A1176" t="s">
        <v>3400</v>
      </c>
      <c r="B1176" t="s">
        <v>470</v>
      </c>
      <c r="C1176" t="s">
        <v>146</v>
      </c>
      <c r="D1176" t="s">
        <v>1957</v>
      </c>
      <c r="E1176" t="s">
        <v>1915</v>
      </c>
      <c r="F1176">
        <v>30188</v>
      </c>
    </row>
    <row r="1177" spans="1:6" x14ac:dyDescent="0.25">
      <c r="A1177" t="s">
        <v>3401</v>
      </c>
      <c r="B1177" t="s">
        <v>470</v>
      </c>
      <c r="C1177" t="s">
        <v>146</v>
      </c>
      <c r="D1177" t="s">
        <v>2382</v>
      </c>
      <c r="E1177" t="s">
        <v>1876</v>
      </c>
      <c r="F1177">
        <v>26463</v>
      </c>
    </row>
    <row r="1178" spans="1:6" x14ac:dyDescent="0.25">
      <c r="A1178" t="s">
        <v>3402</v>
      </c>
      <c r="B1178" t="s">
        <v>470</v>
      </c>
      <c r="C1178" t="s">
        <v>146</v>
      </c>
      <c r="D1178" t="s">
        <v>1870</v>
      </c>
      <c r="E1178" t="s">
        <v>1915</v>
      </c>
      <c r="F1178">
        <v>10126</v>
      </c>
    </row>
    <row r="1179" spans="1:6" x14ac:dyDescent="0.25">
      <c r="A1179" t="s">
        <v>3403</v>
      </c>
      <c r="B1179" t="s">
        <v>470</v>
      </c>
      <c r="C1179" t="s">
        <v>146</v>
      </c>
      <c r="D1179" t="s">
        <v>1921</v>
      </c>
      <c r="E1179" t="s">
        <v>1871</v>
      </c>
      <c r="F1179">
        <v>30978</v>
      </c>
    </row>
    <row r="1180" spans="1:6" x14ac:dyDescent="0.25">
      <c r="A1180" t="s">
        <v>3404</v>
      </c>
      <c r="B1180" t="s">
        <v>470</v>
      </c>
      <c r="C1180" t="s">
        <v>146</v>
      </c>
      <c r="D1180" t="s">
        <v>1990</v>
      </c>
      <c r="E1180" t="s">
        <v>1871</v>
      </c>
      <c r="F1180">
        <v>13305</v>
      </c>
    </row>
    <row r="1181" spans="1:6" x14ac:dyDescent="0.25">
      <c r="A1181" t="s">
        <v>3405</v>
      </c>
      <c r="B1181" t="s">
        <v>470</v>
      </c>
      <c r="C1181" t="s">
        <v>146</v>
      </c>
      <c r="D1181" t="s">
        <v>1996</v>
      </c>
      <c r="E1181" t="s">
        <v>1915</v>
      </c>
      <c r="F1181">
        <v>45514</v>
      </c>
    </row>
    <row r="1182" spans="1:6" x14ac:dyDescent="0.25">
      <c r="A1182" t="s">
        <v>3406</v>
      </c>
      <c r="B1182" t="s">
        <v>470</v>
      </c>
      <c r="C1182" t="s">
        <v>146</v>
      </c>
      <c r="D1182" t="s">
        <v>2355</v>
      </c>
      <c r="E1182" t="s">
        <v>1876</v>
      </c>
      <c r="F1182">
        <v>10118</v>
      </c>
    </row>
    <row r="1183" spans="1:6" x14ac:dyDescent="0.25">
      <c r="A1183" t="s">
        <v>3407</v>
      </c>
      <c r="B1183" t="s">
        <v>473</v>
      </c>
      <c r="C1183" t="s">
        <v>51</v>
      </c>
      <c r="D1183" t="s">
        <v>3008</v>
      </c>
      <c r="E1183" t="s">
        <v>1879</v>
      </c>
      <c r="F1183">
        <v>3549</v>
      </c>
    </row>
    <row r="1184" spans="1:6" x14ac:dyDescent="0.25">
      <c r="A1184" t="s">
        <v>3408</v>
      </c>
      <c r="B1184" t="s">
        <v>473</v>
      </c>
      <c r="C1184" t="s">
        <v>51</v>
      </c>
      <c r="D1184" t="s">
        <v>3174</v>
      </c>
      <c r="E1184" t="s">
        <v>1915</v>
      </c>
      <c r="F1184">
        <v>41397</v>
      </c>
    </row>
    <row r="1185" spans="1:6" x14ac:dyDescent="0.25">
      <c r="A1185" t="s">
        <v>3409</v>
      </c>
      <c r="B1185" t="s">
        <v>473</v>
      </c>
      <c r="C1185" t="s">
        <v>51</v>
      </c>
      <c r="D1185" t="s">
        <v>2857</v>
      </c>
      <c r="E1185" t="s">
        <v>1886</v>
      </c>
      <c r="F1185">
        <v>1598</v>
      </c>
    </row>
    <row r="1186" spans="1:6" x14ac:dyDescent="0.25">
      <c r="A1186" t="s">
        <v>3410</v>
      </c>
      <c r="B1186" t="s">
        <v>473</v>
      </c>
      <c r="C1186" t="s">
        <v>51</v>
      </c>
      <c r="D1186" t="s">
        <v>2155</v>
      </c>
      <c r="E1186" t="s">
        <v>1886</v>
      </c>
      <c r="F1186">
        <v>31199</v>
      </c>
    </row>
    <row r="1187" spans="1:6" x14ac:dyDescent="0.25">
      <c r="A1187" t="s">
        <v>3411</v>
      </c>
      <c r="B1187" t="s">
        <v>473</v>
      </c>
      <c r="C1187" t="s">
        <v>51</v>
      </c>
      <c r="D1187" t="s">
        <v>3110</v>
      </c>
      <c r="E1187" t="s">
        <v>1871</v>
      </c>
      <c r="F1187">
        <v>10570</v>
      </c>
    </row>
    <row r="1188" spans="1:6" x14ac:dyDescent="0.25">
      <c r="A1188" t="s">
        <v>3412</v>
      </c>
      <c r="B1188" t="s">
        <v>473</v>
      </c>
      <c r="C1188" t="s">
        <v>51</v>
      </c>
      <c r="D1188" t="s">
        <v>2491</v>
      </c>
      <c r="E1188" t="s">
        <v>1879</v>
      </c>
      <c r="F1188">
        <v>24027</v>
      </c>
    </row>
    <row r="1189" spans="1:6" x14ac:dyDescent="0.25">
      <c r="A1189" t="s">
        <v>3413</v>
      </c>
      <c r="B1189" t="s">
        <v>473</v>
      </c>
      <c r="C1189" t="s">
        <v>51</v>
      </c>
      <c r="D1189" t="s">
        <v>2382</v>
      </c>
      <c r="E1189" t="s">
        <v>1915</v>
      </c>
      <c r="F1189">
        <v>32551</v>
      </c>
    </row>
    <row r="1190" spans="1:6" x14ac:dyDescent="0.25">
      <c r="A1190" t="s">
        <v>3414</v>
      </c>
      <c r="B1190" t="s">
        <v>473</v>
      </c>
      <c r="C1190" t="s">
        <v>51</v>
      </c>
      <c r="D1190" t="s">
        <v>2000</v>
      </c>
      <c r="E1190" t="s">
        <v>1876</v>
      </c>
      <c r="F1190">
        <v>16338</v>
      </c>
    </row>
    <row r="1191" spans="1:6" x14ac:dyDescent="0.25">
      <c r="A1191" t="s">
        <v>3415</v>
      </c>
      <c r="B1191" t="s">
        <v>473</v>
      </c>
      <c r="C1191" t="s">
        <v>51</v>
      </c>
      <c r="D1191" t="s">
        <v>2210</v>
      </c>
      <c r="E1191" t="s">
        <v>1871</v>
      </c>
      <c r="F1191">
        <v>14236</v>
      </c>
    </row>
    <row r="1192" spans="1:6" x14ac:dyDescent="0.25">
      <c r="A1192" t="s">
        <v>3416</v>
      </c>
      <c r="B1192" t="s">
        <v>473</v>
      </c>
      <c r="C1192" t="s">
        <v>51</v>
      </c>
      <c r="D1192" t="s">
        <v>2134</v>
      </c>
      <c r="E1192" t="s">
        <v>1871</v>
      </c>
      <c r="F1192">
        <v>1423</v>
      </c>
    </row>
    <row r="1193" spans="1:6" x14ac:dyDescent="0.25">
      <c r="A1193" t="s">
        <v>3417</v>
      </c>
      <c r="B1193" t="s">
        <v>476</v>
      </c>
      <c r="C1193" t="s">
        <v>51</v>
      </c>
      <c r="D1193" t="s">
        <v>2218</v>
      </c>
      <c r="E1193" t="s">
        <v>1876</v>
      </c>
      <c r="F1193">
        <v>23004</v>
      </c>
    </row>
    <row r="1194" spans="1:6" x14ac:dyDescent="0.25">
      <c r="A1194" t="s">
        <v>3418</v>
      </c>
      <c r="B1194" t="s">
        <v>476</v>
      </c>
      <c r="C1194" t="s">
        <v>51</v>
      </c>
      <c r="D1194" t="s">
        <v>1898</v>
      </c>
      <c r="E1194" t="s">
        <v>1915</v>
      </c>
      <c r="F1194">
        <v>31216</v>
      </c>
    </row>
    <row r="1195" spans="1:6" x14ac:dyDescent="0.25">
      <c r="A1195" t="s">
        <v>3419</v>
      </c>
      <c r="B1195" t="s">
        <v>476</v>
      </c>
      <c r="C1195" t="s">
        <v>51</v>
      </c>
      <c r="D1195" t="s">
        <v>2165</v>
      </c>
      <c r="E1195" t="s">
        <v>1886</v>
      </c>
      <c r="F1195">
        <v>9731</v>
      </c>
    </row>
    <row r="1196" spans="1:6" x14ac:dyDescent="0.25">
      <c r="A1196" t="s">
        <v>3420</v>
      </c>
      <c r="B1196" t="s">
        <v>476</v>
      </c>
      <c r="C1196" t="s">
        <v>51</v>
      </c>
      <c r="D1196" t="s">
        <v>2165</v>
      </c>
      <c r="E1196" t="s">
        <v>1879</v>
      </c>
      <c r="F1196">
        <v>4335</v>
      </c>
    </row>
    <row r="1197" spans="1:6" x14ac:dyDescent="0.25">
      <c r="A1197" t="s">
        <v>3421</v>
      </c>
      <c r="B1197" t="s">
        <v>476</v>
      </c>
      <c r="C1197" t="s">
        <v>51</v>
      </c>
      <c r="D1197" t="s">
        <v>2914</v>
      </c>
      <c r="E1197" t="s">
        <v>1915</v>
      </c>
      <c r="F1197">
        <v>18230</v>
      </c>
    </row>
    <row r="1198" spans="1:6" x14ac:dyDescent="0.25">
      <c r="A1198" t="s">
        <v>3422</v>
      </c>
      <c r="B1198" t="s">
        <v>476</v>
      </c>
      <c r="C1198" t="s">
        <v>51</v>
      </c>
      <c r="D1198" t="s">
        <v>2849</v>
      </c>
      <c r="E1198" t="s">
        <v>1871</v>
      </c>
      <c r="F1198">
        <v>36734</v>
      </c>
    </row>
    <row r="1199" spans="1:6" x14ac:dyDescent="0.25">
      <c r="A1199" t="s">
        <v>3423</v>
      </c>
      <c r="B1199" t="s">
        <v>476</v>
      </c>
      <c r="C1199" t="s">
        <v>51</v>
      </c>
      <c r="D1199" t="s">
        <v>2713</v>
      </c>
      <c r="E1199" t="s">
        <v>1879</v>
      </c>
      <c r="F1199">
        <v>34949</v>
      </c>
    </row>
    <row r="1200" spans="1:6" x14ac:dyDescent="0.25">
      <c r="A1200" t="s">
        <v>3424</v>
      </c>
      <c r="B1200" t="s">
        <v>479</v>
      </c>
      <c r="C1200" t="s">
        <v>87</v>
      </c>
      <c r="D1200" t="s">
        <v>1964</v>
      </c>
      <c r="E1200" t="s">
        <v>1879</v>
      </c>
      <c r="F1200">
        <v>9956</v>
      </c>
    </row>
    <row r="1201" spans="1:6" x14ac:dyDescent="0.25">
      <c r="A1201" t="s">
        <v>3425</v>
      </c>
      <c r="B1201" t="s">
        <v>479</v>
      </c>
      <c r="C1201" t="s">
        <v>87</v>
      </c>
      <c r="D1201" t="s">
        <v>2522</v>
      </c>
      <c r="E1201" t="s">
        <v>1886</v>
      </c>
      <c r="F1201">
        <v>5337</v>
      </c>
    </row>
    <row r="1202" spans="1:6" x14ac:dyDescent="0.25">
      <c r="A1202" t="s">
        <v>3426</v>
      </c>
      <c r="B1202" t="s">
        <v>479</v>
      </c>
      <c r="C1202" t="s">
        <v>87</v>
      </c>
      <c r="D1202" t="s">
        <v>1917</v>
      </c>
      <c r="E1202" t="s">
        <v>1886</v>
      </c>
      <c r="F1202">
        <v>6487</v>
      </c>
    </row>
    <row r="1203" spans="1:6" x14ac:dyDescent="0.25">
      <c r="A1203" t="s">
        <v>3427</v>
      </c>
      <c r="B1203" t="s">
        <v>479</v>
      </c>
      <c r="C1203" t="s">
        <v>87</v>
      </c>
      <c r="D1203" t="s">
        <v>2188</v>
      </c>
      <c r="E1203" t="s">
        <v>1915</v>
      </c>
      <c r="F1203">
        <v>7155</v>
      </c>
    </row>
    <row r="1204" spans="1:6" x14ac:dyDescent="0.25">
      <c r="A1204" t="s">
        <v>3428</v>
      </c>
      <c r="B1204" t="s">
        <v>479</v>
      </c>
      <c r="C1204" t="s">
        <v>87</v>
      </c>
      <c r="D1204" t="s">
        <v>2122</v>
      </c>
      <c r="E1204" t="s">
        <v>1915</v>
      </c>
      <c r="F1204">
        <v>4931</v>
      </c>
    </row>
    <row r="1205" spans="1:6" x14ac:dyDescent="0.25">
      <c r="A1205" t="s">
        <v>3429</v>
      </c>
      <c r="B1205" t="s">
        <v>479</v>
      </c>
      <c r="C1205" t="s">
        <v>87</v>
      </c>
      <c r="D1205" t="s">
        <v>3119</v>
      </c>
      <c r="E1205" t="s">
        <v>1879</v>
      </c>
      <c r="F1205">
        <v>2664</v>
      </c>
    </row>
    <row r="1206" spans="1:6" x14ac:dyDescent="0.25">
      <c r="A1206" t="s">
        <v>3430</v>
      </c>
      <c r="B1206" t="s">
        <v>479</v>
      </c>
      <c r="C1206" t="s">
        <v>87</v>
      </c>
      <c r="D1206" t="s">
        <v>2074</v>
      </c>
      <c r="E1206" t="s">
        <v>1871</v>
      </c>
      <c r="F1206">
        <v>8171</v>
      </c>
    </row>
    <row r="1207" spans="1:6" x14ac:dyDescent="0.25">
      <c r="A1207" t="s">
        <v>3431</v>
      </c>
      <c r="B1207" t="s">
        <v>479</v>
      </c>
      <c r="C1207" t="s">
        <v>87</v>
      </c>
      <c r="D1207" t="s">
        <v>2537</v>
      </c>
      <c r="E1207" t="s">
        <v>1879</v>
      </c>
      <c r="F1207">
        <v>18354</v>
      </c>
    </row>
    <row r="1208" spans="1:6" x14ac:dyDescent="0.25">
      <c r="A1208" t="s">
        <v>3432</v>
      </c>
      <c r="B1208" t="s">
        <v>479</v>
      </c>
      <c r="C1208" t="s">
        <v>87</v>
      </c>
      <c r="D1208" t="s">
        <v>2278</v>
      </c>
      <c r="E1208" t="s">
        <v>1871</v>
      </c>
      <c r="F1208">
        <v>14233</v>
      </c>
    </row>
    <row r="1209" spans="1:6" x14ac:dyDescent="0.25">
      <c r="A1209" t="s">
        <v>3433</v>
      </c>
      <c r="B1209" t="s">
        <v>479</v>
      </c>
      <c r="C1209" t="s">
        <v>87</v>
      </c>
      <c r="D1209" t="s">
        <v>2956</v>
      </c>
      <c r="E1209" t="s">
        <v>1871</v>
      </c>
      <c r="F1209">
        <v>2448</v>
      </c>
    </row>
    <row r="1210" spans="1:6" x14ac:dyDescent="0.25">
      <c r="A1210" t="s">
        <v>3434</v>
      </c>
      <c r="B1210" t="s">
        <v>479</v>
      </c>
      <c r="C1210" t="s">
        <v>87</v>
      </c>
      <c r="D1210" t="s">
        <v>2557</v>
      </c>
      <c r="E1210" t="s">
        <v>1915</v>
      </c>
      <c r="F1210">
        <v>18330</v>
      </c>
    </row>
    <row r="1211" spans="1:6" x14ac:dyDescent="0.25">
      <c r="A1211" t="s">
        <v>3435</v>
      </c>
      <c r="B1211" t="s">
        <v>479</v>
      </c>
      <c r="C1211" t="s">
        <v>87</v>
      </c>
      <c r="D1211" t="s">
        <v>3040</v>
      </c>
      <c r="E1211" t="s">
        <v>1876</v>
      </c>
      <c r="F1211">
        <v>3857</v>
      </c>
    </row>
    <row r="1212" spans="1:6" x14ac:dyDescent="0.25">
      <c r="A1212" t="s">
        <v>3436</v>
      </c>
      <c r="B1212" t="s">
        <v>482</v>
      </c>
      <c r="C1212" t="s">
        <v>73</v>
      </c>
      <c r="D1212" t="s">
        <v>2030</v>
      </c>
      <c r="E1212" t="s">
        <v>1886</v>
      </c>
      <c r="F1212">
        <v>15944</v>
      </c>
    </row>
    <row r="1213" spans="1:6" x14ac:dyDescent="0.25">
      <c r="A1213" t="s">
        <v>3437</v>
      </c>
      <c r="B1213" t="s">
        <v>482</v>
      </c>
      <c r="C1213" t="s">
        <v>73</v>
      </c>
      <c r="D1213" t="s">
        <v>2519</v>
      </c>
      <c r="E1213" t="s">
        <v>1871</v>
      </c>
      <c r="F1213">
        <v>10264</v>
      </c>
    </row>
    <row r="1214" spans="1:6" x14ac:dyDescent="0.25">
      <c r="A1214" t="s">
        <v>3438</v>
      </c>
      <c r="B1214" t="s">
        <v>482</v>
      </c>
      <c r="C1214" t="s">
        <v>73</v>
      </c>
      <c r="D1214" t="s">
        <v>2586</v>
      </c>
      <c r="E1214" t="s">
        <v>1915</v>
      </c>
      <c r="F1214">
        <v>10994</v>
      </c>
    </row>
    <row r="1215" spans="1:6" x14ac:dyDescent="0.25">
      <c r="A1215" t="s">
        <v>3439</v>
      </c>
      <c r="B1215" t="s">
        <v>482</v>
      </c>
      <c r="C1215" t="s">
        <v>73</v>
      </c>
      <c r="D1215" t="s">
        <v>2352</v>
      </c>
      <c r="E1215" t="s">
        <v>1886</v>
      </c>
      <c r="F1215">
        <v>9696</v>
      </c>
    </row>
    <row r="1216" spans="1:6" x14ac:dyDescent="0.25">
      <c r="A1216" t="s">
        <v>3440</v>
      </c>
      <c r="B1216" t="s">
        <v>482</v>
      </c>
      <c r="C1216" t="s">
        <v>73</v>
      </c>
      <c r="D1216" t="s">
        <v>2148</v>
      </c>
      <c r="E1216" t="s">
        <v>1879</v>
      </c>
      <c r="F1216">
        <v>10760</v>
      </c>
    </row>
    <row r="1217" spans="1:6" x14ac:dyDescent="0.25">
      <c r="A1217" t="s">
        <v>3441</v>
      </c>
      <c r="B1217" t="s">
        <v>482</v>
      </c>
      <c r="C1217" t="s">
        <v>73</v>
      </c>
      <c r="D1217" t="s">
        <v>2401</v>
      </c>
      <c r="E1217" t="s">
        <v>1879</v>
      </c>
      <c r="F1217">
        <v>5213</v>
      </c>
    </row>
    <row r="1218" spans="1:6" x14ac:dyDescent="0.25">
      <c r="A1218" t="s">
        <v>3442</v>
      </c>
      <c r="B1218" t="s">
        <v>482</v>
      </c>
      <c r="C1218" t="s">
        <v>73</v>
      </c>
      <c r="D1218" t="s">
        <v>2293</v>
      </c>
      <c r="E1218" t="s">
        <v>1871</v>
      </c>
      <c r="F1218">
        <v>2420</v>
      </c>
    </row>
    <row r="1219" spans="1:6" x14ac:dyDescent="0.25">
      <c r="A1219" t="s">
        <v>3443</v>
      </c>
      <c r="B1219" t="s">
        <v>482</v>
      </c>
      <c r="C1219" t="s">
        <v>73</v>
      </c>
      <c r="D1219" t="s">
        <v>2341</v>
      </c>
      <c r="E1219" t="s">
        <v>1915</v>
      </c>
      <c r="F1219">
        <v>12135</v>
      </c>
    </row>
    <row r="1220" spans="1:6" x14ac:dyDescent="0.25">
      <c r="A1220" t="s">
        <v>3444</v>
      </c>
      <c r="B1220" t="s">
        <v>482</v>
      </c>
      <c r="C1220" t="s">
        <v>73</v>
      </c>
      <c r="D1220" t="s">
        <v>1902</v>
      </c>
      <c r="E1220" t="s">
        <v>1871</v>
      </c>
      <c r="F1220">
        <v>2306</v>
      </c>
    </row>
    <row r="1221" spans="1:6" x14ac:dyDescent="0.25">
      <c r="A1221" t="s">
        <v>3445</v>
      </c>
      <c r="B1221" t="s">
        <v>482</v>
      </c>
      <c r="C1221" t="s">
        <v>73</v>
      </c>
      <c r="D1221" t="s">
        <v>3446</v>
      </c>
      <c r="E1221" t="s">
        <v>1871</v>
      </c>
      <c r="F1221">
        <v>7488</v>
      </c>
    </row>
    <row r="1222" spans="1:6" x14ac:dyDescent="0.25">
      <c r="A1222" t="s">
        <v>3447</v>
      </c>
      <c r="B1222" t="s">
        <v>485</v>
      </c>
      <c r="C1222" t="s">
        <v>51</v>
      </c>
      <c r="D1222" t="s">
        <v>2336</v>
      </c>
      <c r="E1222" t="s">
        <v>1886</v>
      </c>
      <c r="F1222">
        <v>14156</v>
      </c>
    </row>
    <row r="1223" spans="1:6" x14ac:dyDescent="0.25">
      <c r="A1223" t="s">
        <v>3448</v>
      </c>
      <c r="B1223" t="s">
        <v>485</v>
      </c>
      <c r="C1223" t="s">
        <v>51</v>
      </c>
      <c r="D1223" t="s">
        <v>1975</v>
      </c>
      <c r="E1223" t="s">
        <v>1876</v>
      </c>
      <c r="F1223">
        <v>20989</v>
      </c>
    </row>
    <row r="1224" spans="1:6" x14ac:dyDescent="0.25">
      <c r="A1224" t="s">
        <v>3449</v>
      </c>
      <c r="B1224" t="s">
        <v>485</v>
      </c>
      <c r="C1224" t="s">
        <v>51</v>
      </c>
      <c r="D1224" t="s">
        <v>3142</v>
      </c>
      <c r="E1224" t="s">
        <v>1879</v>
      </c>
      <c r="F1224">
        <v>24264</v>
      </c>
    </row>
    <row r="1225" spans="1:6" x14ac:dyDescent="0.25">
      <c r="A1225" t="s">
        <v>3450</v>
      </c>
      <c r="B1225" t="s">
        <v>485</v>
      </c>
      <c r="C1225" t="s">
        <v>51</v>
      </c>
      <c r="D1225" t="s">
        <v>2457</v>
      </c>
      <c r="E1225" t="s">
        <v>1886</v>
      </c>
      <c r="F1225">
        <v>21465</v>
      </c>
    </row>
    <row r="1226" spans="1:6" x14ac:dyDescent="0.25">
      <c r="A1226" t="s">
        <v>3451</v>
      </c>
      <c r="B1226" t="s">
        <v>485</v>
      </c>
      <c r="C1226" t="s">
        <v>51</v>
      </c>
      <c r="D1226" t="s">
        <v>2218</v>
      </c>
      <c r="E1226" t="s">
        <v>1876</v>
      </c>
      <c r="F1226">
        <v>11794</v>
      </c>
    </row>
    <row r="1227" spans="1:6" x14ac:dyDescent="0.25">
      <c r="A1227" t="s">
        <v>3452</v>
      </c>
      <c r="B1227" t="s">
        <v>485</v>
      </c>
      <c r="C1227" t="s">
        <v>51</v>
      </c>
      <c r="D1227" t="s">
        <v>2604</v>
      </c>
      <c r="E1227" t="s">
        <v>1879</v>
      </c>
      <c r="F1227">
        <v>12227</v>
      </c>
    </row>
    <row r="1228" spans="1:6" x14ac:dyDescent="0.25">
      <c r="A1228" t="s">
        <v>3453</v>
      </c>
      <c r="B1228" t="s">
        <v>485</v>
      </c>
      <c r="C1228" t="s">
        <v>51</v>
      </c>
      <c r="D1228" t="s">
        <v>3248</v>
      </c>
      <c r="E1228" t="s">
        <v>1915</v>
      </c>
      <c r="F1228">
        <v>5387</v>
      </c>
    </row>
    <row r="1229" spans="1:6" x14ac:dyDescent="0.25">
      <c r="A1229" t="s">
        <v>3454</v>
      </c>
      <c r="B1229" t="s">
        <v>485</v>
      </c>
      <c r="C1229" t="s">
        <v>51</v>
      </c>
      <c r="D1229" t="s">
        <v>2234</v>
      </c>
      <c r="E1229" t="s">
        <v>1876</v>
      </c>
      <c r="F1229">
        <v>22775</v>
      </c>
    </row>
    <row r="1230" spans="1:6" x14ac:dyDescent="0.25">
      <c r="A1230" t="s">
        <v>3455</v>
      </c>
      <c r="B1230" t="s">
        <v>485</v>
      </c>
      <c r="C1230" t="s">
        <v>51</v>
      </c>
      <c r="D1230" t="s">
        <v>2359</v>
      </c>
      <c r="E1230" t="s">
        <v>1915</v>
      </c>
      <c r="F1230">
        <v>24567</v>
      </c>
    </row>
    <row r="1231" spans="1:6" x14ac:dyDescent="0.25">
      <c r="A1231" t="s">
        <v>3456</v>
      </c>
      <c r="B1231" t="s">
        <v>488</v>
      </c>
      <c r="C1231" t="s">
        <v>96</v>
      </c>
      <c r="D1231" t="s">
        <v>3395</v>
      </c>
      <c r="E1231" t="s">
        <v>1871</v>
      </c>
      <c r="F1231">
        <v>10763</v>
      </c>
    </row>
    <row r="1232" spans="1:6" x14ac:dyDescent="0.25">
      <c r="A1232" t="s">
        <v>3457</v>
      </c>
      <c r="B1232" t="s">
        <v>488</v>
      </c>
      <c r="C1232" t="s">
        <v>96</v>
      </c>
      <c r="D1232" t="s">
        <v>2412</v>
      </c>
      <c r="E1232" t="s">
        <v>1915</v>
      </c>
      <c r="F1232">
        <v>31355</v>
      </c>
    </row>
    <row r="1233" spans="1:6" x14ac:dyDescent="0.25">
      <c r="A1233" t="s">
        <v>3458</v>
      </c>
      <c r="B1233" t="s">
        <v>488</v>
      </c>
      <c r="C1233" t="s">
        <v>96</v>
      </c>
      <c r="D1233" t="s">
        <v>2048</v>
      </c>
      <c r="E1233" t="s">
        <v>1879</v>
      </c>
      <c r="F1233">
        <v>12337</v>
      </c>
    </row>
    <row r="1234" spans="1:6" x14ac:dyDescent="0.25">
      <c r="A1234" t="s">
        <v>3459</v>
      </c>
      <c r="B1234" t="s">
        <v>488</v>
      </c>
      <c r="C1234" t="s">
        <v>96</v>
      </c>
      <c r="D1234" t="s">
        <v>2148</v>
      </c>
      <c r="E1234" t="s">
        <v>1886</v>
      </c>
      <c r="F1234">
        <v>16383</v>
      </c>
    </row>
    <row r="1235" spans="1:6" x14ac:dyDescent="0.25">
      <c r="A1235" t="s">
        <v>3460</v>
      </c>
      <c r="B1235" t="s">
        <v>488</v>
      </c>
      <c r="C1235" t="s">
        <v>96</v>
      </c>
      <c r="D1235" t="s">
        <v>2293</v>
      </c>
      <c r="E1235" t="s">
        <v>1871</v>
      </c>
      <c r="F1235">
        <v>11345</v>
      </c>
    </row>
    <row r="1236" spans="1:6" x14ac:dyDescent="0.25">
      <c r="A1236" t="s">
        <v>3461</v>
      </c>
      <c r="B1236" t="s">
        <v>488</v>
      </c>
      <c r="C1236" t="s">
        <v>96</v>
      </c>
      <c r="D1236" t="s">
        <v>2139</v>
      </c>
      <c r="E1236" t="s">
        <v>1876</v>
      </c>
      <c r="F1236">
        <v>16383</v>
      </c>
    </row>
    <row r="1237" spans="1:6" x14ac:dyDescent="0.25">
      <c r="A1237" t="s">
        <v>3462</v>
      </c>
      <c r="B1237" t="s">
        <v>491</v>
      </c>
      <c r="C1237" t="s">
        <v>146</v>
      </c>
      <c r="D1237" t="s">
        <v>2849</v>
      </c>
      <c r="E1237" t="s">
        <v>1915</v>
      </c>
      <c r="F1237">
        <v>3580</v>
      </c>
    </row>
    <row r="1238" spans="1:6" x14ac:dyDescent="0.25">
      <c r="A1238" t="s">
        <v>3463</v>
      </c>
      <c r="B1238" t="s">
        <v>491</v>
      </c>
      <c r="C1238" t="s">
        <v>146</v>
      </c>
      <c r="D1238" t="s">
        <v>1888</v>
      </c>
      <c r="E1238" t="s">
        <v>1879</v>
      </c>
      <c r="F1238">
        <v>1274</v>
      </c>
    </row>
    <row r="1239" spans="1:6" x14ac:dyDescent="0.25">
      <c r="A1239" t="s">
        <v>3464</v>
      </c>
      <c r="B1239" t="s">
        <v>491</v>
      </c>
      <c r="C1239" t="s">
        <v>146</v>
      </c>
      <c r="D1239" t="s">
        <v>1998</v>
      </c>
      <c r="E1239" t="s">
        <v>1879</v>
      </c>
      <c r="F1239">
        <v>3350</v>
      </c>
    </row>
    <row r="1240" spans="1:6" x14ac:dyDescent="0.25">
      <c r="A1240" t="s">
        <v>3465</v>
      </c>
      <c r="B1240" t="s">
        <v>491</v>
      </c>
      <c r="C1240" t="s">
        <v>146</v>
      </c>
      <c r="D1240" t="s">
        <v>2525</v>
      </c>
      <c r="E1240" t="s">
        <v>1915</v>
      </c>
      <c r="F1240">
        <v>8116</v>
      </c>
    </row>
    <row r="1241" spans="1:6" x14ac:dyDescent="0.25">
      <c r="A1241" t="s">
        <v>3466</v>
      </c>
      <c r="B1241" t="s">
        <v>491</v>
      </c>
      <c r="C1241" t="s">
        <v>146</v>
      </c>
      <c r="D1241" t="s">
        <v>2137</v>
      </c>
      <c r="E1241" t="s">
        <v>1871</v>
      </c>
      <c r="F1241">
        <v>5731</v>
      </c>
    </row>
    <row r="1242" spans="1:6" x14ac:dyDescent="0.25">
      <c r="A1242" t="s">
        <v>3467</v>
      </c>
      <c r="B1242" t="s">
        <v>491</v>
      </c>
      <c r="C1242" t="s">
        <v>146</v>
      </c>
      <c r="D1242" t="s">
        <v>1919</v>
      </c>
      <c r="E1242" t="s">
        <v>1915</v>
      </c>
      <c r="F1242">
        <v>8089</v>
      </c>
    </row>
    <row r="1243" spans="1:6" x14ac:dyDescent="0.25">
      <c r="A1243" t="s">
        <v>3468</v>
      </c>
      <c r="B1243" t="s">
        <v>491</v>
      </c>
      <c r="C1243" t="s">
        <v>146</v>
      </c>
      <c r="D1243" t="s">
        <v>2529</v>
      </c>
      <c r="E1243" t="s">
        <v>1915</v>
      </c>
      <c r="F1243">
        <v>8033</v>
      </c>
    </row>
    <row r="1244" spans="1:6" x14ac:dyDescent="0.25">
      <c r="A1244" t="s">
        <v>3469</v>
      </c>
      <c r="B1244" t="s">
        <v>491</v>
      </c>
      <c r="C1244" t="s">
        <v>146</v>
      </c>
      <c r="D1244" t="s">
        <v>2498</v>
      </c>
      <c r="E1244" t="s">
        <v>1879</v>
      </c>
      <c r="F1244">
        <v>3859</v>
      </c>
    </row>
    <row r="1245" spans="1:6" x14ac:dyDescent="0.25">
      <c r="A1245" t="s">
        <v>3470</v>
      </c>
      <c r="B1245" t="s">
        <v>491</v>
      </c>
      <c r="C1245" t="s">
        <v>146</v>
      </c>
      <c r="D1245" t="s">
        <v>2615</v>
      </c>
      <c r="E1245" t="s">
        <v>1876</v>
      </c>
      <c r="F1245">
        <v>6982</v>
      </c>
    </row>
    <row r="1246" spans="1:6" x14ac:dyDescent="0.25">
      <c r="A1246" t="s">
        <v>3471</v>
      </c>
      <c r="B1246" t="s">
        <v>494</v>
      </c>
      <c r="C1246" t="s">
        <v>87</v>
      </c>
      <c r="D1246" t="s">
        <v>2722</v>
      </c>
      <c r="E1246" t="s">
        <v>1871</v>
      </c>
      <c r="F1246">
        <v>9203</v>
      </c>
    </row>
    <row r="1247" spans="1:6" x14ac:dyDescent="0.25">
      <c r="A1247" t="s">
        <v>3472</v>
      </c>
      <c r="B1247" t="s">
        <v>494</v>
      </c>
      <c r="C1247" t="s">
        <v>87</v>
      </c>
      <c r="D1247" t="s">
        <v>2286</v>
      </c>
      <c r="E1247" t="s">
        <v>1876</v>
      </c>
      <c r="F1247">
        <v>24749</v>
      </c>
    </row>
    <row r="1248" spans="1:6" x14ac:dyDescent="0.25">
      <c r="A1248" t="s">
        <v>3473</v>
      </c>
      <c r="B1248" t="s">
        <v>494</v>
      </c>
      <c r="C1248" t="s">
        <v>87</v>
      </c>
      <c r="D1248" t="s">
        <v>2183</v>
      </c>
      <c r="E1248" t="s">
        <v>1876</v>
      </c>
      <c r="F1248">
        <v>24724</v>
      </c>
    </row>
    <row r="1249" spans="1:6" x14ac:dyDescent="0.25">
      <c r="A1249" t="s">
        <v>3474</v>
      </c>
      <c r="B1249" t="s">
        <v>494</v>
      </c>
      <c r="C1249" t="s">
        <v>87</v>
      </c>
      <c r="D1249" t="s">
        <v>2535</v>
      </c>
      <c r="E1249" t="s">
        <v>1879</v>
      </c>
      <c r="F1249">
        <v>5775</v>
      </c>
    </row>
    <row r="1250" spans="1:6" x14ac:dyDescent="0.25">
      <c r="A1250" t="s">
        <v>3475</v>
      </c>
      <c r="B1250" t="s">
        <v>494</v>
      </c>
      <c r="C1250" t="s">
        <v>87</v>
      </c>
      <c r="D1250" t="s">
        <v>1992</v>
      </c>
      <c r="E1250" t="s">
        <v>1915</v>
      </c>
      <c r="F1250">
        <v>17602</v>
      </c>
    </row>
    <row r="1251" spans="1:6" x14ac:dyDescent="0.25">
      <c r="A1251" t="s">
        <v>3476</v>
      </c>
      <c r="B1251" t="s">
        <v>494</v>
      </c>
      <c r="C1251" t="s">
        <v>87</v>
      </c>
      <c r="D1251" t="s">
        <v>1906</v>
      </c>
      <c r="E1251" t="s">
        <v>1915</v>
      </c>
      <c r="F1251">
        <v>9327</v>
      </c>
    </row>
    <row r="1252" spans="1:6" x14ac:dyDescent="0.25">
      <c r="A1252" t="s">
        <v>3477</v>
      </c>
      <c r="B1252" t="s">
        <v>494</v>
      </c>
      <c r="C1252" t="s">
        <v>87</v>
      </c>
      <c r="D1252" t="s">
        <v>2687</v>
      </c>
      <c r="E1252" t="s">
        <v>1879</v>
      </c>
      <c r="F1252">
        <v>6431</v>
      </c>
    </row>
    <row r="1253" spans="1:6" x14ac:dyDescent="0.25">
      <c r="A1253" t="s">
        <v>3478</v>
      </c>
      <c r="B1253" t="s">
        <v>497</v>
      </c>
      <c r="C1253" t="s">
        <v>146</v>
      </c>
      <c r="D1253" t="s">
        <v>3248</v>
      </c>
      <c r="E1253" t="s">
        <v>1879</v>
      </c>
      <c r="F1253">
        <v>16869</v>
      </c>
    </row>
    <row r="1254" spans="1:6" x14ac:dyDescent="0.25">
      <c r="A1254" t="s">
        <v>3479</v>
      </c>
      <c r="B1254" t="s">
        <v>497</v>
      </c>
      <c r="C1254" t="s">
        <v>146</v>
      </c>
      <c r="D1254" t="s">
        <v>2055</v>
      </c>
      <c r="E1254" t="s">
        <v>1876</v>
      </c>
      <c r="F1254">
        <v>25186</v>
      </c>
    </row>
    <row r="1255" spans="1:6" x14ac:dyDescent="0.25">
      <c r="A1255" t="s">
        <v>3480</v>
      </c>
      <c r="B1255" t="s">
        <v>497</v>
      </c>
      <c r="C1255" t="s">
        <v>146</v>
      </c>
      <c r="D1255" t="s">
        <v>3062</v>
      </c>
      <c r="E1255" t="s">
        <v>1915</v>
      </c>
      <c r="F1255">
        <v>41084</v>
      </c>
    </row>
    <row r="1256" spans="1:6" x14ac:dyDescent="0.25">
      <c r="A1256" t="s">
        <v>3481</v>
      </c>
      <c r="B1256" t="s">
        <v>497</v>
      </c>
      <c r="C1256" t="s">
        <v>146</v>
      </c>
      <c r="D1256" t="s">
        <v>2055</v>
      </c>
      <c r="E1256" t="s">
        <v>1886</v>
      </c>
      <c r="F1256">
        <v>14963</v>
      </c>
    </row>
    <row r="1257" spans="1:6" x14ac:dyDescent="0.25">
      <c r="A1257" t="s">
        <v>3482</v>
      </c>
      <c r="B1257" t="s">
        <v>497</v>
      </c>
      <c r="C1257" t="s">
        <v>146</v>
      </c>
      <c r="D1257" t="s">
        <v>2291</v>
      </c>
      <c r="E1257" t="s">
        <v>1876</v>
      </c>
      <c r="F1257">
        <v>14424</v>
      </c>
    </row>
    <row r="1258" spans="1:6" x14ac:dyDescent="0.25">
      <c r="A1258" t="s">
        <v>3483</v>
      </c>
      <c r="B1258" t="s">
        <v>497</v>
      </c>
      <c r="C1258" t="s">
        <v>146</v>
      </c>
      <c r="D1258" t="s">
        <v>1984</v>
      </c>
      <c r="E1258" t="s">
        <v>1915</v>
      </c>
      <c r="F1258">
        <v>35627</v>
      </c>
    </row>
    <row r="1259" spans="1:6" x14ac:dyDescent="0.25">
      <c r="A1259" t="s">
        <v>3484</v>
      </c>
      <c r="B1259" t="s">
        <v>497</v>
      </c>
      <c r="C1259" t="s">
        <v>146</v>
      </c>
      <c r="D1259" t="s">
        <v>2218</v>
      </c>
      <c r="E1259" t="s">
        <v>1871</v>
      </c>
      <c r="F1259">
        <v>3966</v>
      </c>
    </row>
    <row r="1260" spans="1:6" x14ac:dyDescent="0.25">
      <c r="A1260" t="s">
        <v>3485</v>
      </c>
      <c r="B1260" t="s">
        <v>497</v>
      </c>
      <c r="C1260" t="s">
        <v>146</v>
      </c>
      <c r="D1260" t="s">
        <v>3486</v>
      </c>
      <c r="E1260" t="s">
        <v>1915</v>
      </c>
      <c r="F1260">
        <v>20765</v>
      </c>
    </row>
    <row r="1261" spans="1:6" x14ac:dyDescent="0.25">
      <c r="A1261" t="s">
        <v>3487</v>
      </c>
      <c r="B1261" t="s">
        <v>497</v>
      </c>
      <c r="C1261" t="s">
        <v>146</v>
      </c>
      <c r="D1261" t="s">
        <v>2126</v>
      </c>
      <c r="E1261" t="s">
        <v>1871</v>
      </c>
      <c r="F1261">
        <v>17300</v>
      </c>
    </row>
    <row r="1262" spans="1:6" x14ac:dyDescent="0.25">
      <c r="A1262" t="s">
        <v>3488</v>
      </c>
      <c r="B1262" t="s">
        <v>500</v>
      </c>
      <c r="C1262" t="s">
        <v>146</v>
      </c>
      <c r="D1262" t="s">
        <v>2331</v>
      </c>
      <c r="E1262" t="s">
        <v>1879</v>
      </c>
      <c r="F1262">
        <v>26534</v>
      </c>
    </row>
    <row r="1263" spans="1:6" x14ac:dyDescent="0.25">
      <c r="A1263" t="s">
        <v>3489</v>
      </c>
      <c r="B1263" t="s">
        <v>500</v>
      </c>
      <c r="C1263" t="s">
        <v>146</v>
      </c>
      <c r="D1263" t="s">
        <v>2664</v>
      </c>
      <c r="E1263" t="s">
        <v>1915</v>
      </c>
      <c r="F1263">
        <v>70188</v>
      </c>
    </row>
    <row r="1264" spans="1:6" x14ac:dyDescent="0.25">
      <c r="A1264" t="s">
        <v>3490</v>
      </c>
      <c r="B1264" t="s">
        <v>500</v>
      </c>
      <c r="C1264" t="s">
        <v>146</v>
      </c>
      <c r="D1264" t="s">
        <v>3040</v>
      </c>
      <c r="E1264" t="s">
        <v>1886</v>
      </c>
      <c r="F1264">
        <v>4112</v>
      </c>
    </row>
    <row r="1265" spans="1:6" x14ac:dyDescent="0.25">
      <c r="A1265" t="s">
        <v>3491</v>
      </c>
      <c r="B1265" t="s">
        <v>500</v>
      </c>
      <c r="C1265" t="s">
        <v>146</v>
      </c>
      <c r="D1265" t="s">
        <v>2040</v>
      </c>
      <c r="E1265" t="s">
        <v>1879</v>
      </c>
      <c r="F1265">
        <v>30200</v>
      </c>
    </row>
    <row r="1266" spans="1:6" x14ac:dyDescent="0.25">
      <c r="A1266" t="s">
        <v>3492</v>
      </c>
      <c r="B1266" t="s">
        <v>500</v>
      </c>
      <c r="C1266" t="s">
        <v>146</v>
      </c>
      <c r="D1266" t="s">
        <v>2738</v>
      </c>
      <c r="E1266" t="s">
        <v>1915</v>
      </c>
      <c r="F1266">
        <v>32777</v>
      </c>
    </row>
    <row r="1267" spans="1:6" x14ac:dyDescent="0.25">
      <c r="A1267" t="s">
        <v>3493</v>
      </c>
      <c r="B1267" t="s">
        <v>500</v>
      </c>
      <c r="C1267" t="s">
        <v>146</v>
      </c>
      <c r="D1267" t="s">
        <v>2610</v>
      </c>
      <c r="E1267" t="s">
        <v>1886</v>
      </c>
      <c r="F1267">
        <v>13878</v>
      </c>
    </row>
    <row r="1268" spans="1:6" x14ac:dyDescent="0.25">
      <c r="A1268" t="s">
        <v>3494</v>
      </c>
      <c r="B1268" t="s">
        <v>500</v>
      </c>
      <c r="C1268" t="s">
        <v>146</v>
      </c>
      <c r="D1268" t="s">
        <v>2794</v>
      </c>
      <c r="E1268" t="s">
        <v>1879</v>
      </c>
      <c r="F1268">
        <v>15470</v>
      </c>
    </row>
    <row r="1269" spans="1:6" x14ac:dyDescent="0.25">
      <c r="A1269" t="s">
        <v>3495</v>
      </c>
      <c r="B1269" t="s">
        <v>500</v>
      </c>
      <c r="C1269" t="s">
        <v>146</v>
      </c>
      <c r="D1269" t="s">
        <v>1914</v>
      </c>
      <c r="E1269" t="s">
        <v>1886</v>
      </c>
      <c r="F1269">
        <v>31732</v>
      </c>
    </row>
    <row r="1270" spans="1:6" x14ac:dyDescent="0.25">
      <c r="A1270" t="s">
        <v>3496</v>
      </c>
      <c r="B1270" t="s">
        <v>500</v>
      </c>
      <c r="C1270" t="s">
        <v>146</v>
      </c>
      <c r="D1270" t="s">
        <v>3110</v>
      </c>
      <c r="E1270" t="s">
        <v>1879</v>
      </c>
      <c r="F1270">
        <v>11803</v>
      </c>
    </row>
    <row r="1271" spans="1:6" x14ac:dyDescent="0.25">
      <c r="A1271" t="s">
        <v>3497</v>
      </c>
      <c r="B1271" t="s">
        <v>503</v>
      </c>
      <c r="C1271" t="s">
        <v>87</v>
      </c>
      <c r="D1271" t="s">
        <v>2409</v>
      </c>
      <c r="E1271" t="s">
        <v>1915</v>
      </c>
      <c r="F1271">
        <v>15568</v>
      </c>
    </row>
    <row r="1272" spans="1:6" x14ac:dyDescent="0.25">
      <c r="A1272" t="s">
        <v>3498</v>
      </c>
      <c r="B1272" t="s">
        <v>503</v>
      </c>
      <c r="C1272" t="s">
        <v>87</v>
      </c>
      <c r="D1272" t="s">
        <v>1982</v>
      </c>
      <c r="E1272" t="s">
        <v>1886</v>
      </c>
      <c r="F1272">
        <v>18065</v>
      </c>
    </row>
    <row r="1273" spans="1:6" x14ac:dyDescent="0.25">
      <c r="A1273" t="s">
        <v>3499</v>
      </c>
      <c r="B1273" t="s">
        <v>503</v>
      </c>
      <c r="C1273" t="s">
        <v>87</v>
      </c>
      <c r="D1273" t="s">
        <v>2829</v>
      </c>
      <c r="E1273" t="s">
        <v>1879</v>
      </c>
      <c r="F1273">
        <v>34059</v>
      </c>
    </row>
    <row r="1274" spans="1:6" x14ac:dyDescent="0.25">
      <c r="A1274" t="s">
        <v>3500</v>
      </c>
      <c r="B1274" t="s">
        <v>503</v>
      </c>
      <c r="C1274" t="s">
        <v>87</v>
      </c>
      <c r="D1274" t="s">
        <v>2965</v>
      </c>
      <c r="E1274" t="s">
        <v>1879</v>
      </c>
      <c r="F1274">
        <v>3712</v>
      </c>
    </row>
    <row r="1275" spans="1:6" x14ac:dyDescent="0.25">
      <c r="A1275" t="s">
        <v>3501</v>
      </c>
      <c r="B1275" t="s">
        <v>503</v>
      </c>
      <c r="C1275" t="s">
        <v>87</v>
      </c>
      <c r="D1275" t="s">
        <v>2610</v>
      </c>
      <c r="E1275" t="s">
        <v>1879</v>
      </c>
      <c r="F1275">
        <v>34265</v>
      </c>
    </row>
    <row r="1276" spans="1:6" x14ac:dyDescent="0.25">
      <c r="A1276" t="s">
        <v>3502</v>
      </c>
      <c r="B1276" t="s">
        <v>503</v>
      </c>
      <c r="C1276" t="s">
        <v>87</v>
      </c>
      <c r="D1276" t="s">
        <v>2421</v>
      </c>
      <c r="E1276" t="s">
        <v>1915</v>
      </c>
      <c r="F1276">
        <v>58391</v>
      </c>
    </row>
    <row r="1277" spans="1:6" x14ac:dyDescent="0.25">
      <c r="A1277" t="s">
        <v>3503</v>
      </c>
      <c r="B1277" t="s">
        <v>503</v>
      </c>
      <c r="C1277" t="s">
        <v>87</v>
      </c>
      <c r="D1277" t="s">
        <v>2181</v>
      </c>
      <c r="E1277" t="s">
        <v>1886</v>
      </c>
      <c r="F1277">
        <v>10800</v>
      </c>
    </row>
    <row r="1278" spans="1:6" x14ac:dyDescent="0.25">
      <c r="A1278" t="s">
        <v>3504</v>
      </c>
      <c r="B1278" t="s">
        <v>503</v>
      </c>
      <c r="C1278" t="s">
        <v>87</v>
      </c>
      <c r="D1278" t="s">
        <v>2357</v>
      </c>
      <c r="E1278" t="s">
        <v>1871</v>
      </c>
      <c r="F1278">
        <v>23112</v>
      </c>
    </row>
    <row r="1279" spans="1:6" x14ac:dyDescent="0.25">
      <c r="A1279" t="s">
        <v>3505</v>
      </c>
      <c r="B1279" t="s">
        <v>503</v>
      </c>
      <c r="C1279" t="s">
        <v>87</v>
      </c>
      <c r="D1279" t="s">
        <v>2188</v>
      </c>
      <c r="E1279" t="s">
        <v>1915</v>
      </c>
      <c r="F1279">
        <v>45283</v>
      </c>
    </row>
    <row r="1280" spans="1:6" x14ac:dyDescent="0.25">
      <c r="A1280" t="s">
        <v>3506</v>
      </c>
      <c r="B1280" t="s">
        <v>503</v>
      </c>
      <c r="C1280" t="s">
        <v>87</v>
      </c>
      <c r="D1280" t="s">
        <v>2378</v>
      </c>
      <c r="E1280" t="s">
        <v>1871</v>
      </c>
      <c r="F1280">
        <v>14623</v>
      </c>
    </row>
    <row r="1281" spans="1:6" x14ac:dyDescent="0.25">
      <c r="A1281" t="s">
        <v>3507</v>
      </c>
      <c r="B1281" t="s">
        <v>503</v>
      </c>
      <c r="C1281" t="s">
        <v>87</v>
      </c>
      <c r="D1281" t="s">
        <v>2297</v>
      </c>
      <c r="E1281" t="s">
        <v>1915</v>
      </c>
      <c r="F1281">
        <v>28786</v>
      </c>
    </row>
    <row r="1282" spans="1:6" x14ac:dyDescent="0.25">
      <c r="A1282" t="s">
        <v>3508</v>
      </c>
      <c r="B1282" t="s">
        <v>503</v>
      </c>
      <c r="C1282" t="s">
        <v>87</v>
      </c>
      <c r="D1282" t="s">
        <v>2939</v>
      </c>
      <c r="E1282" t="s">
        <v>1876</v>
      </c>
      <c r="F1282">
        <v>11539</v>
      </c>
    </row>
    <row r="1283" spans="1:6" x14ac:dyDescent="0.25">
      <c r="A1283" t="s">
        <v>3509</v>
      </c>
      <c r="B1283" t="s">
        <v>506</v>
      </c>
      <c r="C1283" t="s">
        <v>96</v>
      </c>
      <c r="D1283" t="s">
        <v>2421</v>
      </c>
      <c r="E1283" t="s">
        <v>1879</v>
      </c>
      <c r="F1283">
        <v>11150</v>
      </c>
    </row>
    <row r="1284" spans="1:6" x14ac:dyDescent="0.25">
      <c r="A1284" t="s">
        <v>3510</v>
      </c>
      <c r="B1284" t="s">
        <v>506</v>
      </c>
      <c r="C1284" t="s">
        <v>96</v>
      </c>
      <c r="D1284" t="s">
        <v>2343</v>
      </c>
      <c r="E1284" t="s">
        <v>1886</v>
      </c>
      <c r="F1284">
        <v>6358</v>
      </c>
    </row>
    <row r="1285" spans="1:6" x14ac:dyDescent="0.25">
      <c r="A1285" t="s">
        <v>3511</v>
      </c>
      <c r="B1285" t="s">
        <v>506</v>
      </c>
      <c r="C1285" t="s">
        <v>96</v>
      </c>
      <c r="D1285" t="s">
        <v>1906</v>
      </c>
      <c r="E1285" t="s">
        <v>1886</v>
      </c>
      <c r="F1285">
        <v>5763</v>
      </c>
    </row>
    <row r="1286" spans="1:6" x14ac:dyDescent="0.25">
      <c r="A1286" t="s">
        <v>3512</v>
      </c>
      <c r="B1286" t="s">
        <v>506</v>
      </c>
      <c r="C1286" t="s">
        <v>96</v>
      </c>
      <c r="D1286" t="s">
        <v>2254</v>
      </c>
      <c r="E1286" t="s">
        <v>1871</v>
      </c>
      <c r="F1286">
        <v>9881</v>
      </c>
    </row>
    <row r="1287" spans="1:6" x14ac:dyDescent="0.25">
      <c r="A1287" t="s">
        <v>3513</v>
      </c>
      <c r="B1287" t="s">
        <v>506</v>
      </c>
      <c r="C1287" t="s">
        <v>96</v>
      </c>
      <c r="D1287" t="s">
        <v>2005</v>
      </c>
      <c r="E1287" t="s">
        <v>1915</v>
      </c>
      <c r="F1287">
        <v>55658</v>
      </c>
    </row>
    <row r="1288" spans="1:6" x14ac:dyDescent="0.25">
      <c r="A1288" t="s">
        <v>3514</v>
      </c>
      <c r="B1288" t="s">
        <v>506</v>
      </c>
      <c r="C1288" t="s">
        <v>96</v>
      </c>
      <c r="D1288" t="s">
        <v>2193</v>
      </c>
      <c r="E1288" t="s">
        <v>1915</v>
      </c>
      <c r="F1288">
        <v>48705</v>
      </c>
    </row>
    <row r="1289" spans="1:6" x14ac:dyDescent="0.25">
      <c r="A1289" t="s">
        <v>3515</v>
      </c>
      <c r="B1289" t="s">
        <v>506</v>
      </c>
      <c r="C1289" t="s">
        <v>96</v>
      </c>
      <c r="D1289" t="s">
        <v>2849</v>
      </c>
      <c r="E1289" t="s">
        <v>1915</v>
      </c>
      <c r="F1289">
        <v>44827</v>
      </c>
    </row>
    <row r="1290" spans="1:6" x14ac:dyDescent="0.25">
      <c r="A1290" t="s">
        <v>3516</v>
      </c>
      <c r="B1290" t="s">
        <v>506</v>
      </c>
      <c r="C1290" t="s">
        <v>96</v>
      </c>
      <c r="D1290" t="s">
        <v>2234</v>
      </c>
      <c r="E1290" t="s">
        <v>1879</v>
      </c>
      <c r="F1290">
        <v>11352</v>
      </c>
    </row>
    <row r="1291" spans="1:6" x14ac:dyDescent="0.25">
      <c r="A1291" t="s">
        <v>3517</v>
      </c>
      <c r="B1291" t="s">
        <v>506</v>
      </c>
      <c r="C1291" t="s">
        <v>96</v>
      </c>
      <c r="D1291" t="s">
        <v>2939</v>
      </c>
      <c r="E1291" t="s">
        <v>1915</v>
      </c>
      <c r="F1291">
        <v>13906</v>
      </c>
    </row>
    <row r="1292" spans="1:6" x14ac:dyDescent="0.25">
      <c r="A1292" t="s">
        <v>3518</v>
      </c>
      <c r="B1292" t="s">
        <v>509</v>
      </c>
      <c r="C1292" t="s">
        <v>73</v>
      </c>
      <c r="D1292" t="s">
        <v>2770</v>
      </c>
      <c r="E1292" t="s">
        <v>1871</v>
      </c>
      <c r="F1292">
        <v>2414</v>
      </c>
    </row>
    <row r="1293" spans="1:6" x14ac:dyDescent="0.25">
      <c r="A1293" t="s">
        <v>3519</v>
      </c>
      <c r="B1293" t="s">
        <v>509</v>
      </c>
      <c r="C1293" t="s">
        <v>73</v>
      </c>
      <c r="D1293" t="s">
        <v>1939</v>
      </c>
      <c r="E1293" t="s">
        <v>1915</v>
      </c>
      <c r="F1293">
        <v>11619</v>
      </c>
    </row>
    <row r="1294" spans="1:6" x14ac:dyDescent="0.25">
      <c r="A1294" t="s">
        <v>3520</v>
      </c>
      <c r="B1294" t="s">
        <v>509</v>
      </c>
      <c r="C1294" t="s">
        <v>73</v>
      </c>
      <c r="D1294" t="s">
        <v>2009</v>
      </c>
      <c r="E1294" t="s">
        <v>1871</v>
      </c>
      <c r="F1294">
        <v>17004</v>
      </c>
    </row>
    <row r="1295" spans="1:6" x14ac:dyDescent="0.25">
      <c r="A1295" t="s">
        <v>3521</v>
      </c>
      <c r="B1295" t="s">
        <v>509</v>
      </c>
      <c r="C1295" t="s">
        <v>73</v>
      </c>
      <c r="D1295" t="s">
        <v>2034</v>
      </c>
      <c r="E1295" t="s">
        <v>1915</v>
      </c>
      <c r="F1295">
        <v>18579</v>
      </c>
    </row>
    <row r="1296" spans="1:6" x14ac:dyDescent="0.25">
      <c r="A1296" t="s">
        <v>3522</v>
      </c>
      <c r="B1296" t="s">
        <v>509</v>
      </c>
      <c r="C1296" t="s">
        <v>73</v>
      </c>
      <c r="D1296" t="s">
        <v>2000</v>
      </c>
      <c r="E1296" t="s">
        <v>1915</v>
      </c>
      <c r="F1296">
        <v>21661</v>
      </c>
    </row>
    <row r="1297" spans="1:6" x14ac:dyDescent="0.25">
      <c r="A1297" t="s">
        <v>3523</v>
      </c>
      <c r="B1297" t="s">
        <v>509</v>
      </c>
      <c r="C1297" t="s">
        <v>73</v>
      </c>
      <c r="D1297" t="s">
        <v>2230</v>
      </c>
      <c r="E1297" t="s">
        <v>1876</v>
      </c>
      <c r="F1297">
        <v>6686</v>
      </c>
    </row>
    <row r="1298" spans="1:6" x14ac:dyDescent="0.25">
      <c r="A1298" t="s">
        <v>3524</v>
      </c>
      <c r="B1298" t="s">
        <v>512</v>
      </c>
      <c r="C1298" t="s">
        <v>96</v>
      </c>
      <c r="D1298" t="s">
        <v>2028</v>
      </c>
      <c r="E1298" t="s">
        <v>1915</v>
      </c>
      <c r="F1298">
        <v>6328</v>
      </c>
    </row>
    <row r="1299" spans="1:6" x14ac:dyDescent="0.25">
      <c r="A1299" t="s">
        <v>3525</v>
      </c>
      <c r="B1299" t="s">
        <v>512</v>
      </c>
      <c r="C1299" t="s">
        <v>96</v>
      </c>
      <c r="D1299" t="s">
        <v>2145</v>
      </c>
      <c r="E1299" t="s">
        <v>1879</v>
      </c>
      <c r="F1299">
        <v>7011</v>
      </c>
    </row>
    <row r="1300" spans="1:6" x14ac:dyDescent="0.25">
      <c r="A1300" t="s">
        <v>3526</v>
      </c>
      <c r="B1300" t="s">
        <v>512</v>
      </c>
      <c r="C1300" t="s">
        <v>96</v>
      </c>
      <c r="D1300" t="s">
        <v>2236</v>
      </c>
      <c r="E1300" t="s">
        <v>1915</v>
      </c>
      <c r="F1300">
        <v>29843</v>
      </c>
    </row>
    <row r="1301" spans="1:6" x14ac:dyDescent="0.25">
      <c r="A1301" t="s">
        <v>3527</v>
      </c>
      <c r="B1301" t="s">
        <v>512</v>
      </c>
      <c r="C1301" t="s">
        <v>96</v>
      </c>
      <c r="D1301" t="s">
        <v>2565</v>
      </c>
      <c r="E1301" t="s">
        <v>1915</v>
      </c>
      <c r="F1301">
        <v>32671</v>
      </c>
    </row>
    <row r="1302" spans="1:6" x14ac:dyDescent="0.25">
      <c r="A1302" t="s">
        <v>3528</v>
      </c>
      <c r="B1302" t="s">
        <v>512</v>
      </c>
      <c r="C1302" t="s">
        <v>96</v>
      </c>
      <c r="D1302" t="s">
        <v>2291</v>
      </c>
      <c r="E1302" t="s">
        <v>1879</v>
      </c>
      <c r="F1302">
        <v>11401</v>
      </c>
    </row>
    <row r="1303" spans="1:6" x14ac:dyDescent="0.25">
      <c r="A1303" t="s">
        <v>3529</v>
      </c>
      <c r="B1303" t="s">
        <v>512</v>
      </c>
      <c r="C1303" t="s">
        <v>96</v>
      </c>
      <c r="D1303" t="s">
        <v>2535</v>
      </c>
      <c r="E1303" t="s">
        <v>1915</v>
      </c>
      <c r="F1303">
        <v>30528</v>
      </c>
    </row>
    <row r="1304" spans="1:6" x14ac:dyDescent="0.25">
      <c r="A1304" t="s">
        <v>3530</v>
      </c>
      <c r="B1304" t="s">
        <v>512</v>
      </c>
      <c r="C1304" t="s">
        <v>96</v>
      </c>
      <c r="D1304" t="s">
        <v>1881</v>
      </c>
      <c r="E1304" t="s">
        <v>1879</v>
      </c>
      <c r="F1304">
        <v>4874</v>
      </c>
    </row>
    <row r="1305" spans="1:6" x14ac:dyDescent="0.25">
      <c r="A1305" t="s">
        <v>3531</v>
      </c>
      <c r="B1305" t="s">
        <v>512</v>
      </c>
      <c r="C1305" t="s">
        <v>96</v>
      </c>
      <c r="D1305" t="s">
        <v>2267</v>
      </c>
      <c r="E1305" t="s">
        <v>1871</v>
      </c>
      <c r="F1305">
        <v>9119</v>
      </c>
    </row>
    <row r="1306" spans="1:6" x14ac:dyDescent="0.25">
      <c r="A1306" t="s">
        <v>3532</v>
      </c>
      <c r="B1306" t="s">
        <v>512</v>
      </c>
      <c r="C1306" t="s">
        <v>96</v>
      </c>
      <c r="D1306" t="s">
        <v>2443</v>
      </c>
      <c r="E1306" t="s">
        <v>1879</v>
      </c>
      <c r="F1306">
        <v>14276</v>
      </c>
    </row>
    <row r="1307" spans="1:6" x14ac:dyDescent="0.25">
      <c r="A1307" t="s">
        <v>3533</v>
      </c>
      <c r="B1307" t="s">
        <v>515</v>
      </c>
      <c r="C1307" t="s">
        <v>87</v>
      </c>
      <c r="D1307" t="s">
        <v>2034</v>
      </c>
      <c r="E1307" t="s">
        <v>1886</v>
      </c>
      <c r="F1307">
        <v>23491</v>
      </c>
    </row>
    <row r="1308" spans="1:6" x14ac:dyDescent="0.25">
      <c r="A1308" t="s">
        <v>3534</v>
      </c>
      <c r="B1308" t="s">
        <v>515</v>
      </c>
      <c r="C1308" t="s">
        <v>87</v>
      </c>
      <c r="D1308" t="s">
        <v>2894</v>
      </c>
      <c r="E1308" t="s">
        <v>1871</v>
      </c>
      <c r="F1308">
        <v>39639</v>
      </c>
    </row>
    <row r="1309" spans="1:6" x14ac:dyDescent="0.25">
      <c r="A1309" t="s">
        <v>3535</v>
      </c>
      <c r="B1309" t="s">
        <v>515</v>
      </c>
      <c r="C1309" t="s">
        <v>87</v>
      </c>
      <c r="D1309" t="s">
        <v>2254</v>
      </c>
      <c r="E1309" t="s">
        <v>1915</v>
      </c>
      <c r="F1309">
        <v>89548</v>
      </c>
    </row>
    <row r="1310" spans="1:6" x14ac:dyDescent="0.25">
      <c r="A1310" t="s">
        <v>3536</v>
      </c>
      <c r="B1310" t="s">
        <v>515</v>
      </c>
      <c r="C1310" t="s">
        <v>87</v>
      </c>
      <c r="D1310" t="s">
        <v>2601</v>
      </c>
      <c r="E1310" t="s">
        <v>1915</v>
      </c>
      <c r="F1310">
        <v>72887</v>
      </c>
    </row>
    <row r="1311" spans="1:6" x14ac:dyDescent="0.25">
      <c r="A1311" t="s">
        <v>3537</v>
      </c>
      <c r="B1311" t="s">
        <v>515</v>
      </c>
      <c r="C1311" t="s">
        <v>87</v>
      </c>
      <c r="D1311" t="s">
        <v>2111</v>
      </c>
      <c r="E1311" t="s">
        <v>1876</v>
      </c>
      <c r="F1311">
        <v>51836</v>
      </c>
    </row>
    <row r="1312" spans="1:6" x14ac:dyDescent="0.25">
      <c r="A1312" t="s">
        <v>3538</v>
      </c>
      <c r="B1312" t="s">
        <v>515</v>
      </c>
      <c r="C1312" t="s">
        <v>87</v>
      </c>
      <c r="D1312" t="s">
        <v>2066</v>
      </c>
      <c r="E1312" t="s">
        <v>1871</v>
      </c>
      <c r="F1312">
        <v>1100</v>
      </c>
    </row>
    <row r="1313" spans="1:6" x14ac:dyDescent="0.25">
      <c r="A1313" t="s">
        <v>3539</v>
      </c>
      <c r="B1313" t="s">
        <v>518</v>
      </c>
      <c r="C1313" t="s">
        <v>146</v>
      </c>
      <c r="D1313" t="s">
        <v>2387</v>
      </c>
      <c r="E1313" t="s">
        <v>1879</v>
      </c>
      <c r="F1313">
        <v>3649</v>
      </c>
    </row>
    <row r="1314" spans="1:6" x14ac:dyDescent="0.25">
      <c r="A1314" t="s">
        <v>3540</v>
      </c>
      <c r="B1314" t="s">
        <v>518</v>
      </c>
      <c r="C1314" t="s">
        <v>146</v>
      </c>
      <c r="D1314" t="s">
        <v>2857</v>
      </c>
      <c r="E1314" t="s">
        <v>1879</v>
      </c>
      <c r="F1314">
        <v>4805</v>
      </c>
    </row>
    <row r="1315" spans="1:6" x14ac:dyDescent="0.25">
      <c r="A1315" t="s">
        <v>3541</v>
      </c>
      <c r="B1315" t="s">
        <v>518</v>
      </c>
      <c r="C1315" t="s">
        <v>146</v>
      </c>
      <c r="D1315" t="s">
        <v>2024</v>
      </c>
      <c r="E1315" t="s">
        <v>1871</v>
      </c>
      <c r="F1315">
        <v>5047</v>
      </c>
    </row>
    <row r="1316" spans="1:6" x14ac:dyDescent="0.25">
      <c r="A1316" t="s">
        <v>3542</v>
      </c>
      <c r="B1316" t="s">
        <v>518</v>
      </c>
      <c r="C1316" t="s">
        <v>146</v>
      </c>
      <c r="D1316" t="s">
        <v>2735</v>
      </c>
      <c r="E1316" t="s">
        <v>1915</v>
      </c>
      <c r="F1316">
        <v>2875</v>
      </c>
    </row>
    <row r="1317" spans="1:6" x14ac:dyDescent="0.25">
      <c r="A1317" t="s">
        <v>3543</v>
      </c>
      <c r="B1317" t="s">
        <v>518</v>
      </c>
      <c r="C1317" t="s">
        <v>146</v>
      </c>
      <c r="D1317" t="s">
        <v>1904</v>
      </c>
      <c r="E1317" t="s">
        <v>1915</v>
      </c>
      <c r="F1317">
        <v>17743</v>
      </c>
    </row>
    <row r="1318" spans="1:6" x14ac:dyDescent="0.25">
      <c r="A1318" t="s">
        <v>3544</v>
      </c>
      <c r="B1318" t="s">
        <v>518</v>
      </c>
      <c r="C1318" t="s">
        <v>146</v>
      </c>
      <c r="D1318" t="s">
        <v>2201</v>
      </c>
      <c r="E1318" t="s">
        <v>1871</v>
      </c>
      <c r="F1318">
        <v>3258</v>
      </c>
    </row>
    <row r="1319" spans="1:6" x14ac:dyDescent="0.25">
      <c r="A1319" t="s">
        <v>3545</v>
      </c>
      <c r="B1319" t="s">
        <v>518</v>
      </c>
      <c r="C1319" t="s">
        <v>146</v>
      </c>
      <c r="D1319" t="s">
        <v>2122</v>
      </c>
      <c r="E1319" t="s">
        <v>1879</v>
      </c>
      <c r="F1319">
        <v>10952</v>
      </c>
    </row>
    <row r="1320" spans="1:6" x14ac:dyDescent="0.25">
      <c r="A1320" t="s">
        <v>3546</v>
      </c>
      <c r="B1320" t="s">
        <v>518</v>
      </c>
      <c r="C1320" t="s">
        <v>146</v>
      </c>
      <c r="D1320" t="s">
        <v>2312</v>
      </c>
      <c r="E1320" t="s">
        <v>1879</v>
      </c>
      <c r="F1320">
        <v>9289</v>
      </c>
    </row>
    <row r="1321" spans="1:6" x14ac:dyDescent="0.25">
      <c r="A1321" t="s">
        <v>3547</v>
      </c>
      <c r="B1321" t="s">
        <v>521</v>
      </c>
      <c r="C1321" t="s">
        <v>96</v>
      </c>
      <c r="D1321" t="s">
        <v>2018</v>
      </c>
      <c r="E1321" t="s">
        <v>1871</v>
      </c>
      <c r="F1321">
        <v>15848</v>
      </c>
    </row>
    <row r="1322" spans="1:6" x14ac:dyDescent="0.25">
      <c r="A1322" t="s">
        <v>3548</v>
      </c>
      <c r="B1322" t="s">
        <v>521</v>
      </c>
      <c r="C1322" t="s">
        <v>96</v>
      </c>
      <c r="D1322" t="s">
        <v>2631</v>
      </c>
      <c r="E1322" t="s">
        <v>1886</v>
      </c>
      <c r="F1322">
        <v>19063</v>
      </c>
    </row>
    <row r="1323" spans="1:6" x14ac:dyDescent="0.25">
      <c r="A1323" t="s">
        <v>3549</v>
      </c>
      <c r="B1323" t="s">
        <v>521</v>
      </c>
      <c r="C1323" t="s">
        <v>96</v>
      </c>
      <c r="D1323" t="s">
        <v>2305</v>
      </c>
      <c r="E1323" t="s">
        <v>1915</v>
      </c>
      <c r="F1323">
        <v>24776</v>
      </c>
    </row>
    <row r="1324" spans="1:6" x14ac:dyDescent="0.25">
      <c r="A1324" t="s">
        <v>3550</v>
      </c>
      <c r="B1324" t="s">
        <v>521</v>
      </c>
      <c r="C1324" t="s">
        <v>96</v>
      </c>
      <c r="D1324" t="s">
        <v>2432</v>
      </c>
      <c r="E1324" t="s">
        <v>1915</v>
      </c>
      <c r="F1324">
        <v>19633</v>
      </c>
    </row>
    <row r="1325" spans="1:6" x14ac:dyDescent="0.25">
      <c r="A1325" t="s">
        <v>3551</v>
      </c>
      <c r="B1325" t="s">
        <v>521</v>
      </c>
      <c r="C1325" t="s">
        <v>96</v>
      </c>
      <c r="D1325" t="s">
        <v>2179</v>
      </c>
      <c r="E1325" t="s">
        <v>1876</v>
      </c>
      <c r="F1325">
        <v>13156</v>
      </c>
    </row>
    <row r="1326" spans="1:6" x14ac:dyDescent="0.25">
      <c r="A1326" t="s">
        <v>3552</v>
      </c>
      <c r="B1326" t="s">
        <v>521</v>
      </c>
      <c r="C1326" t="s">
        <v>96</v>
      </c>
      <c r="D1326" t="s">
        <v>1994</v>
      </c>
      <c r="E1326" t="s">
        <v>1915</v>
      </c>
      <c r="F1326">
        <v>3467</v>
      </c>
    </row>
    <row r="1327" spans="1:6" x14ac:dyDescent="0.25">
      <c r="A1327" t="s">
        <v>3553</v>
      </c>
      <c r="B1327" t="s">
        <v>521</v>
      </c>
      <c r="C1327" t="s">
        <v>96</v>
      </c>
      <c r="D1327" t="s">
        <v>2126</v>
      </c>
      <c r="E1327" t="s">
        <v>1915</v>
      </c>
      <c r="F1327">
        <v>6572</v>
      </c>
    </row>
    <row r="1328" spans="1:6" x14ac:dyDescent="0.25">
      <c r="A1328" t="s">
        <v>3554</v>
      </c>
      <c r="B1328" t="s">
        <v>521</v>
      </c>
      <c r="C1328" t="s">
        <v>96</v>
      </c>
      <c r="D1328" t="s">
        <v>2139</v>
      </c>
      <c r="E1328" t="s">
        <v>1876</v>
      </c>
      <c r="F1328">
        <v>3737</v>
      </c>
    </row>
    <row r="1329" spans="1:6" x14ac:dyDescent="0.25">
      <c r="A1329" t="s">
        <v>3555</v>
      </c>
      <c r="B1329" t="s">
        <v>521</v>
      </c>
      <c r="C1329" t="s">
        <v>96</v>
      </c>
      <c r="D1329" t="s">
        <v>2130</v>
      </c>
      <c r="E1329" t="s">
        <v>1871</v>
      </c>
      <c r="F1329">
        <v>9770</v>
      </c>
    </row>
    <row r="1330" spans="1:6" x14ac:dyDescent="0.25">
      <c r="A1330" t="s">
        <v>3556</v>
      </c>
      <c r="B1330" t="s">
        <v>521</v>
      </c>
      <c r="C1330" t="s">
        <v>96</v>
      </c>
      <c r="D1330" t="s">
        <v>2074</v>
      </c>
      <c r="E1330" t="s">
        <v>1879</v>
      </c>
      <c r="F1330">
        <v>4755</v>
      </c>
    </row>
    <row r="1331" spans="1:6" x14ac:dyDescent="0.25">
      <c r="A1331" t="s">
        <v>3557</v>
      </c>
      <c r="B1331" t="s">
        <v>521</v>
      </c>
      <c r="C1331" t="s">
        <v>96</v>
      </c>
      <c r="D1331" t="s">
        <v>1923</v>
      </c>
      <c r="E1331" t="s">
        <v>1871</v>
      </c>
      <c r="F1331">
        <v>3386</v>
      </c>
    </row>
    <row r="1332" spans="1:6" x14ac:dyDescent="0.25">
      <c r="A1332" t="s">
        <v>3558</v>
      </c>
      <c r="B1332" t="s">
        <v>524</v>
      </c>
      <c r="C1332" t="s">
        <v>87</v>
      </c>
      <c r="D1332" t="s">
        <v>2297</v>
      </c>
      <c r="E1332" t="s">
        <v>1915</v>
      </c>
      <c r="F1332">
        <v>9838</v>
      </c>
    </row>
    <row r="1333" spans="1:6" x14ac:dyDescent="0.25">
      <c r="A1333" t="s">
        <v>3559</v>
      </c>
      <c r="B1333" t="s">
        <v>524</v>
      </c>
      <c r="C1333" t="s">
        <v>87</v>
      </c>
      <c r="D1333" t="s">
        <v>2057</v>
      </c>
      <c r="E1333" t="s">
        <v>1879</v>
      </c>
      <c r="F1333">
        <v>2804</v>
      </c>
    </row>
    <row r="1334" spans="1:6" x14ac:dyDescent="0.25">
      <c r="A1334" t="s">
        <v>3560</v>
      </c>
      <c r="B1334" t="s">
        <v>524</v>
      </c>
      <c r="C1334" t="s">
        <v>87</v>
      </c>
      <c r="D1334" t="s">
        <v>2346</v>
      </c>
      <c r="E1334" t="s">
        <v>1915</v>
      </c>
      <c r="F1334">
        <v>8395</v>
      </c>
    </row>
    <row r="1335" spans="1:6" x14ac:dyDescent="0.25">
      <c r="A1335" t="s">
        <v>3561</v>
      </c>
      <c r="B1335" t="s">
        <v>524</v>
      </c>
      <c r="C1335" t="s">
        <v>87</v>
      </c>
      <c r="D1335" t="s">
        <v>2018</v>
      </c>
      <c r="E1335" t="s">
        <v>1871</v>
      </c>
      <c r="F1335">
        <v>3439</v>
      </c>
    </row>
    <row r="1336" spans="1:6" x14ac:dyDescent="0.25">
      <c r="A1336" t="s">
        <v>3562</v>
      </c>
      <c r="B1336" t="s">
        <v>524</v>
      </c>
      <c r="C1336" t="s">
        <v>87</v>
      </c>
      <c r="D1336" t="s">
        <v>2012</v>
      </c>
      <c r="E1336" t="s">
        <v>1876</v>
      </c>
      <c r="F1336">
        <v>4708</v>
      </c>
    </row>
    <row r="1337" spans="1:6" x14ac:dyDescent="0.25">
      <c r="A1337" t="s">
        <v>3563</v>
      </c>
      <c r="B1337" t="s">
        <v>524</v>
      </c>
      <c r="C1337" t="s">
        <v>87</v>
      </c>
      <c r="D1337" t="s">
        <v>2183</v>
      </c>
      <c r="E1337" t="s">
        <v>1915</v>
      </c>
      <c r="F1337">
        <v>1637</v>
      </c>
    </row>
    <row r="1338" spans="1:6" x14ac:dyDescent="0.25">
      <c r="A1338" t="s">
        <v>3564</v>
      </c>
      <c r="B1338" t="s">
        <v>524</v>
      </c>
      <c r="C1338" t="s">
        <v>87</v>
      </c>
      <c r="D1338" t="s">
        <v>2593</v>
      </c>
      <c r="E1338" t="s">
        <v>1886</v>
      </c>
      <c r="F1338">
        <v>18303</v>
      </c>
    </row>
    <row r="1339" spans="1:6" x14ac:dyDescent="0.25">
      <c r="A1339" t="s">
        <v>3565</v>
      </c>
      <c r="B1339" t="s">
        <v>524</v>
      </c>
      <c r="C1339" t="s">
        <v>87</v>
      </c>
      <c r="D1339" t="s">
        <v>2070</v>
      </c>
      <c r="E1339" t="s">
        <v>1886</v>
      </c>
      <c r="F1339">
        <v>26704</v>
      </c>
    </row>
    <row r="1340" spans="1:6" x14ac:dyDescent="0.25">
      <c r="A1340" t="s">
        <v>3566</v>
      </c>
      <c r="B1340" t="s">
        <v>524</v>
      </c>
      <c r="C1340" t="s">
        <v>87</v>
      </c>
      <c r="D1340" t="s">
        <v>2179</v>
      </c>
      <c r="E1340" t="s">
        <v>1876</v>
      </c>
      <c r="F1340">
        <v>2667</v>
      </c>
    </row>
    <row r="1341" spans="1:6" x14ac:dyDescent="0.25">
      <c r="A1341" t="s">
        <v>3567</v>
      </c>
      <c r="B1341" t="s">
        <v>524</v>
      </c>
      <c r="C1341" t="s">
        <v>87</v>
      </c>
      <c r="D1341" t="s">
        <v>3446</v>
      </c>
      <c r="E1341" t="s">
        <v>1871</v>
      </c>
      <c r="F1341">
        <v>4377</v>
      </c>
    </row>
    <row r="1342" spans="1:6" x14ac:dyDescent="0.25">
      <c r="A1342" t="s">
        <v>3568</v>
      </c>
      <c r="B1342" t="s">
        <v>524</v>
      </c>
      <c r="C1342" t="s">
        <v>87</v>
      </c>
      <c r="D1342" t="s">
        <v>2531</v>
      </c>
      <c r="E1342" t="s">
        <v>1879</v>
      </c>
      <c r="F1342">
        <v>5037</v>
      </c>
    </row>
    <row r="1343" spans="1:6" x14ac:dyDescent="0.25">
      <c r="A1343" t="s">
        <v>3569</v>
      </c>
      <c r="B1343" t="s">
        <v>524</v>
      </c>
      <c r="C1343" t="s">
        <v>87</v>
      </c>
      <c r="D1343" t="s">
        <v>2794</v>
      </c>
      <c r="E1343" t="s">
        <v>1871</v>
      </c>
      <c r="F1343">
        <v>4942</v>
      </c>
    </row>
    <row r="1344" spans="1:6" x14ac:dyDescent="0.25">
      <c r="A1344" t="s">
        <v>3570</v>
      </c>
      <c r="B1344" t="s">
        <v>527</v>
      </c>
      <c r="C1344" t="s">
        <v>146</v>
      </c>
      <c r="D1344" t="s">
        <v>2380</v>
      </c>
      <c r="E1344" t="s">
        <v>1915</v>
      </c>
      <c r="F1344">
        <v>17667</v>
      </c>
    </row>
    <row r="1345" spans="1:6" x14ac:dyDescent="0.25">
      <c r="A1345" t="s">
        <v>3571</v>
      </c>
      <c r="B1345" t="s">
        <v>527</v>
      </c>
      <c r="C1345" t="s">
        <v>146</v>
      </c>
      <c r="D1345" t="s">
        <v>2544</v>
      </c>
      <c r="E1345" t="s">
        <v>1879</v>
      </c>
      <c r="F1345">
        <v>12528</v>
      </c>
    </row>
    <row r="1346" spans="1:6" x14ac:dyDescent="0.25">
      <c r="A1346" t="s">
        <v>3572</v>
      </c>
      <c r="B1346" t="s">
        <v>527</v>
      </c>
      <c r="C1346" t="s">
        <v>146</v>
      </c>
      <c r="D1346" t="s">
        <v>3030</v>
      </c>
      <c r="E1346" t="s">
        <v>1886</v>
      </c>
      <c r="F1346">
        <v>33386</v>
      </c>
    </row>
    <row r="1347" spans="1:6" x14ac:dyDescent="0.25">
      <c r="A1347" t="s">
        <v>3573</v>
      </c>
      <c r="B1347" t="s">
        <v>527</v>
      </c>
      <c r="C1347" t="s">
        <v>146</v>
      </c>
      <c r="D1347" t="s">
        <v>2610</v>
      </c>
      <c r="E1347" t="s">
        <v>1915</v>
      </c>
      <c r="F1347">
        <v>21467</v>
      </c>
    </row>
    <row r="1348" spans="1:6" x14ac:dyDescent="0.25">
      <c r="A1348" t="s">
        <v>3574</v>
      </c>
      <c r="B1348" t="s">
        <v>527</v>
      </c>
      <c r="C1348" t="s">
        <v>146</v>
      </c>
      <c r="D1348" t="s">
        <v>2346</v>
      </c>
      <c r="E1348" t="s">
        <v>1915</v>
      </c>
      <c r="F1348">
        <v>20103</v>
      </c>
    </row>
    <row r="1349" spans="1:6" x14ac:dyDescent="0.25">
      <c r="A1349" t="s">
        <v>3575</v>
      </c>
      <c r="B1349" t="s">
        <v>527</v>
      </c>
      <c r="C1349" t="s">
        <v>146</v>
      </c>
      <c r="D1349" t="s">
        <v>1988</v>
      </c>
      <c r="E1349" t="s">
        <v>1915</v>
      </c>
      <c r="F1349">
        <v>1768</v>
      </c>
    </row>
    <row r="1350" spans="1:6" x14ac:dyDescent="0.25">
      <c r="A1350" t="s">
        <v>3576</v>
      </c>
      <c r="B1350" t="s">
        <v>527</v>
      </c>
      <c r="C1350" t="s">
        <v>146</v>
      </c>
      <c r="D1350" t="s">
        <v>2965</v>
      </c>
      <c r="E1350" t="s">
        <v>1876</v>
      </c>
      <c r="F1350">
        <v>3849</v>
      </c>
    </row>
    <row r="1351" spans="1:6" x14ac:dyDescent="0.25">
      <c r="A1351" t="s">
        <v>3577</v>
      </c>
      <c r="B1351" t="s">
        <v>527</v>
      </c>
      <c r="C1351" t="s">
        <v>146</v>
      </c>
      <c r="D1351" t="s">
        <v>2295</v>
      </c>
      <c r="E1351" t="s">
        <v>1879</v>
      </c>
      <c r="F1351">
        <v>15042</v>
      </c>
    </row>
    <row r="1352" spans="1:6" x14ac:dyDescent="0.25">
      <c r="A1352" t="s">
        <v>3578</v>
      </c>
      <c r="B1352" t="s">
        <v>530</v>
      </c>
      <c r="C1352" t="s">
        <v>87</v>
      </c>
      <c r="D1352" t="s">
        <v>2305</v>
      </c>
      <c r="E1352" t="s">
        <v>1915</v>
      </c>
      <c r="F1352">
        <v>8121</v>
      </c>
    </row>
    <row r="1353" spans="1:6" x14ac:dyDescent="0.25">
      <c r="A1353" t="s">
        <v>3579</v>
      </c>
      <c r="B1353" t="s">
        <v>530</v>
      </c>
      <c r="C1353" t="s">
        <v>87</v>
      </c>
      <c r="D1353" t="s">
        <v>2720</v>
      </c>
      <c r="E1353" t="s">
        <v>1871</v>
      </c>
      <c r="F1353">
        <v>21618</v>
      </c>
    </row>
    <row r="1354" spans="1:6" x14ac:dyDescent="0.25">
      <c r="A1354" t="s">
        <v>3580</v>
      </c>
      <c r="B1354" t="s">
        <v>530</v>
      </c>
      <c r="C1354" t="s">
        <v>87</v>
      </c>
      <c r="D1354" t="s">
        <v>2914</v>
      </c>
      <c r="E1354" t="s">
        <v>1879</v>
      </c>
      <c r="F1354">
        <v>20861</v>
      </c>
    </row>
    <row r="1355" spans="1:6" x14ac:dyDescent="0.25">
      <c r="A1355" t="s">
        <v>3581</v>
      </c>
      <c r="B1355" t="s">
        <v>530</v>
      </c>
      <c r="C1355" t="s">
        <v>87</v>
      </c>
      <c r="D1355" t="s">
        <v>1912</v>
      </c>
      <c r="E1355" t="s">
        <v>1876</v>
      </c>
      <c r="F1355">
        <v>7948</v>
      </c>
    </row>
    <row r="1356" spans="1:6" x14ac:dyDescent="0.25">
      <c r="A1356" t="s">
        <v>3582</v>
      </c>
      <c r="B1356" t="s">
        <v>530</v>
      </c>
      <c r="C1356" t="s">
        <v>87</v>
      </c>
      <c r="D1356" t="s">
        <v>2599</v>
      </c>
      <c r="E1356" t="s">
        <v>1871</v>
      </c>
      <c r="F1356">
        <v>24634</v>
      </c>
    </row>
    <row r="1357" spans="1:6" x14ac:dyDescent="0.25">
      <c r="A1357" t="s">
        <v>3583</v>
      </c>
      <c r="B1357" t="s">
        <v>530</v>
      </c>
      <c r="C1357" t="s">
        <v>87</v>
      </c>
      <c r="D1357" t="s">
        <v>1996</v>
      </c>
      <c r="E1357" t="s">
        <v>1879</v>
      </c>
      <c r="F1357">
        <v>1778</v>
      </c>
    </row>
    <row r="1358" spans="1:6" x14ac:dyDescent="0.25">
      <c r="A1358" t="s">
        <v>3584</v>
      </c>
      <c r="B1358" t="s">
        <v>533</v>
      </c>
      <c r="C1358" t="s">
        <v>87</v>
      </c>
      <c r="D1358" t="s">
        <v>1873</v>
      </c>
      <c r="E1358" t="s">
        <v>1871</v>
      </c>
      <c r="F1358">
        <v>8739</v>
      </c>
    </row>
    <row r="1359" spans="1:6" x14ac:dyDescent="0.25">
      <c r="A1359" t="s">
        <v>3585</v>
      </c>
      <c r="B1359" t="s">
        <v>533</v>
      </c>
      <c r="C1359" t="s">
        <v>87</v>
      </c>
      <c r="D1359" t="s">
        <v>2068</v>
      </c>
      <c r="E1359" t="s">
        <v>1886</v>
      </c>
      <c r="F1359">
        <v>6491</v>
      </c>
    </row>
    <row r="1360" spans="1:6" x14ac:dyDescent="0.25">
      <c r="A1360" t="s">
        <v>3586</v>
      </c>
      <c r="B1360" t="s">
        <v>533</v>
      </c>
      <c r="C1360" t="s">
        <v>87</v>
      </c>
      <c r="D1360" t="s">
        <v>2745</v>
      </c>
      <c r="E1360" t="s">
        <v>1915</v>
      </c>
      <c r="F1360">
        <v>18989</v>
      </c>
    </row>
    <row r="1361" spans="1:6" x14ac:dyDescent="0.25">
      <c r="A1361" t="s">
        <v>3587</v>
      </c>
      <c r="B1361" t="s">
        <v>533</v>
      </c>
      <c r="C1361" t="s">
        <v>87</v>
      </c>
      <c r="D1361" t="s">
        <v>2430</v>
      </c>
      <c r="E1361" t="s">
        <v>1886</v>
      </c>
      <c r="F1361">
        <v>4410</v>
      </c>
    </row>
    <row r="1362" spans="1:6" x14ac:dyDescent="0.25">
      <c r="A1362" t="s">
        <v>3588</v>
      </c>
      <c r="B1362" t="s">
        <v>533</v>
      </c>
      <c r="C1362" t="s">
        <v>87</v>
      </c>
      <c r="D1362" t="s">
        <v>2145</v>
      </c>
      <c r="E1362" t="s">
        <v>1879</v>
      </c>
      <c r="F1362">
        <v>12393</v>
      </c>
    </row>
    <row r="1363" spans="1:6" x14ac:dyDescent="0.25">
      <c r="A1363" t="s">
        <v>3589</v>
      </c>
      <c r="B1363" t="s">
        <v>533</v>
      </c>
      <c r="C1363" t="s">
        <v>87</v>
      </c>
      <c r="D1363" t="s">
        <v>2226</v>
      </c>
      <c r="E1363" t="s">
        <v>1915</v>
      </c>
      <c r="F1363">
        <v>25564</v>
      </c>
    </row>
    <row r="1364" spans="1:6" x14ac:dyDescent="0.25">
      <c r="A1364" t="s">
        <v>3590</v>
      </c>
      <c r="B1364" t="s">
        <v>533</v>
      </c>
      <c r="C1364" t="s">
        <v>87</v>
      </c>
      <c r="D1364" t="s">
        <v>2346</v>
      </c>
      <c r="E1364" t="s">
        <v>1915</v>
      </c>
      <c r="F1364">
        <v>27699</v>
      </c>
    </row>
    <row r="1365" spans="1:6" x14ac:dyDescent="0.25">
      <c r="A1365" t="s">
        <v>3591</v>
      </c>
      <c r="B1365" t="s">
        <v>533</v>
      </c>
      <c r="C1365" t="s">
        <v>87</v>
      </c>
      <c r="D1365" t="s">
        <v>1931</v>
      </c>
      <c r="E1365" t="s">
        <v>1879</v>
      </c>
      <c r="F1365">
        <v>2964</v>
      </c>
    </row>
    <row r="1366" spans="1:6" x14ac:dyDescent="0.25">
      <c r="A1366" t="s">
        <v>3592</v>
      </c>
      <c r="B1366" t="s">
        <v>533</v>
      </c>
      <c r="C1366" t="s">
        <v>87</v>
      </c>
      <c r="D1366" t="s">
        <v>2894</v>
      </c>
      <c r="E1366" t="s">
        <v>1879</v>
      </c>
      <c r="F1366">
        <v>10619</v>
      </c>
    </row>
    <row r="1367" spans="1:6" x14ac:dyDescent="0.25">
      <c r="A1367" t="s">
        <v>3593</v>
      </c>
      <c r="B1367" t="s">
        <v>533</v>
      </c>
      <c r="C1367" t="s">
        <v>87</v>
      </c>
      <c r="D1367" t="s">
        <v>2141</v>
      </c>
      <c r="E1367" t="s">
        <v>1915</v>
      </c>
      <c r="F1367">
        <v>21708</v>
      </c>
    </row>
    <row r="1368" spans="1:6" x14ac:dyDescent="0.25">
      <c r="A1368" t="s">
        <v>3594</v>
      </c>
      <c r="B1368" t="s">
        <v>533</v>
      </c>
      <c r="C1368" t="s">
        <v>87</v>
      </c>
      <c r="D1368" t="s">
        <v>2939</v>
      </c>
      <c r="E1368" t="s">
        <v>1876</v>
      </c>
      <c r="F1368">
        <v>17205</v>
      </c>
    </row>
    <row r="1369" spans="1:6" x14ac:dyDescent="0.25">
      <c r="A1369" t="s">
        <v>3595</v>
      </c>
      <c r="B1369" t="s">
        <v>536</v>
      </c>
      <c r="C1369" t="s">
        <v>146</v>
      </c>
      <c r="D1369" t="s">
        <v>2565</v>
      </c>
      <c r="E1369" t="s">
        <v>1915</v>
      </c>
      <c r="F1369">
        <v>21305</v>
      </c>
    </row>
    <row r="1370" spans="1:6" x14ac:dyDescent="0.25">
      <c r="A1370" t="s">
        <v>3596</v>
      </c>
      <c r="B1370" t="s">
        <v>536</v>
      </c>
      <c r="C1370" t="s">
        <v>146</v>
      </c>
      <c r="D1370" t="s">
        <v>2132</v>
      </c>
      <c r="E1370" t="s">
        <v>1915</v>
      </c>
      <c r="F1370">
        <v>7676</v>
      </c>
    </row>
    <row r="1371" spans="1:6" x14ac:dyDescent="0.25">
      <c r="A1371" t="s">
        <v>3597</v>
      </c>
      <c r="B1371" t="s">
        <v>536</v>
      </c>
      <c r="C1371" t="s">
        <v>146</v>
      </c>
      <c r="D1371" t="s">
        <v>2537</v>
      </c>
      <c r="E1371" t="s">
        <v>1876</v>
      </c>
      <c r="F1371">
        <v>35858</v>
      </c>
    </row>
    <row r="1372" spans="1:6" x14ac:dyDescent="0.25">
      <c r="A1372" t="s">
        <v>3598</v>
      </c>
      <c r="B1372" t="s">
        <v>536</v>
      </c>
      <c r="C1372" t="s">
        <v>146</v>
      </c>
      <c r="D1372" t="s">
        <v>2416</v>
      </c>
      <c r="E1372" t="s">
        <v>1876</v>
      </c>
      <c r="F1372">
        <v>984</v>
      </c>
    </row>
    <row r="1373" spans="1:6" x14ac:dyDescent="0.25">
      <c r="A1373" t="s">
        <v>3599</v>
      </c>
      <c r="B1373" t="s">
        <v>536</v>
      </c>
      <c r="C1373" t="s">
        <v>146</v>
      </c>
      <c r="D1373" t="s">
        <v>2525</v>
      </c>
      <c r="E1373" t="s">
        <v>1915</v>
      </c>
      <c r="F1373">
        <v>31784</v>
      </c>
    </row>
    <row r="1374" spans="1:6" x14ac:dyDescent="0.25">
      <c r="A1374" t="s">
        <v>3600</v>
      </c>
      <c r="B1374" t="s">
        <v>536</v>
      </c>
      <c r="C1374" t="s">
        <v>146</v>
      </c>
      <c r="D1374" t="s">
        <v>1933</v>
      </c>
      <c r="E1374" t="s">
        <v>1886</v>
      </c>
      <c r="F1374">
        <v>13847</v>
      </c>
    </row>
    <row r="1375" spans="1:6" x14ac:dyDescent="0.25">
      <c r="A1375" t="s">
        <v>3601</v>
      </c>
      <c r="B1375" t="s">
        <v>539</v>
      </c>
      <c r="C1375" t="s">
        <v>96</v>
      </c>
      <c r="D1375" t="s">
        <v>2111</v>
      </c>
      <c r="E1375" t="s">
        <v>1871</v>
      </c>
      <c r="F1375">
        <v>6214</v>
      </c>
    </row>
    <row r="1376" spans="1:6" x14ac:dyDescent="0.25">
      <c r="A1376" t="s">
        <v>3602</v>
      </c>
      <c r="B1376" t="s">
        <v>539</v>
      </c>
      <c r="C1376" t="s">
        <v>96</v>
      </c>
      <c r="D1376" t="s">
        <v>2143</v>
      </c>
      <c r="E1376" t="s">
        <v>1879</v>
      </c>
      <c r="F1376">
        <v>10443</v>
      </c>
    </row>
    <row r="1377" spans="1:6" x14ac:dyDescent="0.25">
      <c r="A1377" t="s">
        <v>3603</v>
      </c>
      <c r="B1377" t="s">
        <v>539</v>
      </c>
      <c r="C1377" t="s">
        <v>96</v>
      </c>
      <c r="D1377" t="s">
        <v>1968</v>
      </c>
      <c r="E1377" t="s">
        <v>1871</v>
      </c>
      <c r="F1377">
        <v>12890</v>
      </c>
    </row>
    <row r="1378" spans="1:6" x14ac:dyDescent="0.25">
      <c r="A1378" t="s">
        <v>3604</v>
      </c>
      <c r="B1378" t="s">
        <v>539</v>
      </c>
      <c r="C1378" t="s">
        <v>96</v>
      </c>
      <c r="D1378" t="s">
        <v>2364</v>
      </c>
      <c r="E1378" t="s">
        <v>1879</v>
      </c>
      <c r="F1378">
        <v>14966</v>
      </c>
    </row>
    <row r="1379" spans="1:6" x14ac:dyDescent="0.25">
      <c r="A1379" t="s">
        <v>3605</v>
      </c>
      <c r="B1379" t="s">
        <v>539</v>
      </c>
      <c r="C1379" t="s">
        <v>96</v>
      </c>
      <c r="D1379" t="s">
        <v>2055</v>
      </c>
      <c r="E1379" t="s">
        <v>1871</v>
      </c>
      <c r="F1379">
        <v>13915</v>
      </c>
    </row>
    <row r="1380" spans="1:6" x14ac:dyDescent="0.25">
      <c r="A1380" t="s">
        <v>3606</v>
      </c>
      <c r="B1380" t="s">
        <v>539</v>
      </c>
      <c r="C1380" t="s">
        <v>96</v>
      </c>
      <c r="D1380" t="s">
        <v>2412</v>
      </c>
      <c r="E1380" t="s">
        <v>1876</v>
      </c>
      <c r="F1380">
        <v>7641</v>
      </c>
    </row>
    <row r="1381" spans="1:6" x14ac:dyDescent="0.25">
      <c r="A1381" t="s">
        <v>3607</v>
      </c>
      <c r="B1381" t="s">
        <v>542</v>
      </c>
      <c r="C1381" t="s">
        <v>87</v>
      </c>
      <c r="D1381" t="s">
        <v>1910</v>
      </c>
      <c r="E1381" t="s">
        <v>1879</v>
      </c>
      <c r="F1381">
        <v>29575</v>
      </c>
    </row>
    <row r="1382" spans="1:6" x14ac:dyDescent="0.25">
      <c r="A1382" t="s">
        <v>3608</v>
      </c>
      <c r="B1382" t="s">
        <v>542</v>
      </c>
      <c r="C1382" t="s">
        <v>87</v>
      </c>
      <c r="D1382" t="s">
        <v>2044</v>
      </c>
      <c r="E1382" t="s">
        <v>1876</v>
      </c>
      <c r="F1382">
        <v>23749</v>
      </c>
    </row>
    <row r="1383" spans="1:6" x14ac:dyDescent="0.25">
      <c r="A1383" t="s">
        <v>3609</v>
      </c>
      <c r="B1383" t="s">
        <v>542</v>
      </c>
      <c r="C1383" t="s">
        <v>87</v>
      </c>
      <c r="D1383" t="s">
        <v>2024</v>
      </c>
      <c r="E1383" t="s">
        <v>1871</v>
      </c>
      <c r="F1383">
        <v>24155</v>
      </c>
    </row>
    <row r="1384" spans="1:6" x14ac:dyDescent="0.25">
      <c r="A1384" t="s">
        <v>3610</v>
      </c>
      <c r="B1384" t="s">
        <v>542</v>
      </c>
      <c r="C1384" t="s">
        <v>87</v>
      </c>
      <c r="D1384" t="s">
        <v>2055</v>
      </c>
      <c r="E1384" t="s">
        <v>1876</v>
      </c>
      <c r="F1384">
        <v>30241</v>
      </c>
    </row>
    <row r="1385" spans="1:6" x14ac:dyDescent="0.25">
      <c r="A1385" t="s">
        <v>3611</v>
      </c>
      <c r="B1385" t="s">
        <v>542</v>
      </c>
      <c r="C1385" t="s">
        <v>87</v>
      </c>
      <c r="D1385" t="s">
        <v>1966</v>
      </c>
      <c r="E1385" t="s">
        <v>1871</v>
      </c>
      <c r="F1385">
        <v>12176</v>
      </c>
    </row>
    <row r="1386" spans="1:6" x14ac:dyDescent="0.25">
      <c r="A1386" t="s">
        <v>3612</v>
      </c>
      <c r="B1386" t="s">
        <v>542</v>
      </c>
      <c r="C1386" t="s">
        <v>87</v>
      </c>
      <c r="D1386" t="s">
        <v>2185</v>
      </c>
      <c r="E1386" t="s">
        <v>1871</v>
      </c>
      <c r="F1386">
        <v>26754</v>
      </c>
    </row>
    <row r="1387" spans="1:6" x14ac:dyDescent="0.25">
      <c r="A1387" t="s">
        <v>3613</v>
      </c>
      <c r="B1387" t="s">
        <v>542</v>
      </c>
      <c r="C1387" t="s">
        <v>87</v>
      </c>
      <c r="D1387" t="s">
        <v>2706</v>
      </c>
      <c r="E1387" t="s">
        <v>1915</v>
      </c>
      <c r="F1387">
        <v>40648</v>
      </c>
    </row>
    <row r="1388" spans="1:6" x14ac:dyDescent="0.25">
      <c r="A1388" t="s">
        <v>3614</v>
      </c>
      <c r="B1388" t="s">
        <v>545</v>
      </c>
      <c r="C1388" t="s">
        <v>96</v>
      </c>
      <c r="D1388" t="s">
        <v>3615</v>
      </c>
      <c r="E1388" t="s">
        <v>1886</v>
      </c>
      <c r="F1388">
        <v>30583</v>
      </c>
    </row>
    <row r="1389" spans="1:6" x14ac:dyDescent="0.25">
      <c r="A1389" t="s">
        <v>3616</v>
      </c>
      <c r="B1389" t="s">
        <v>545</v>
      </c>
      <c r="C1389" t="s">
        <v>96</v>
      </c>
      <c r="D1389" t="s">
        <v>2659</v>
      </c>
      <c r="E1389" t="s">
        <v>1871</v>
      </c>
      <c r="F1389">
        <v>5030</v>
      </c>
    </row>
    <row r="1390" spans="1:6" x14ac:dyDescent="0.25">
      <c r="A1390" t="s">
        <v>3617</v>
      </c>
      <c r="B1390" t="s">
        <v>545</v>
      </c>
      <c r="C1390" t="s">
        <v>96</v>
      </c>
      <c r="D1390" t="s">
        <v>2531</v>
      </c>
      <c r="E1390" t="s">
        <v>1886</v>
      </c>
      <c r="F1390">
        <v>11197</v>
      </c>
    </row>
    <row r="1391" spans="1:6" x14ac:dyDescent="0.25">
      <c r="A1391" t="s">
        <v>3618</v>
      </c>
      <c r="B1391" t="s">
        <v>545</v>
      </c>
      <c r="C1391" t="s">
        <v>96</v>
      </c>
      <c r="D1391" t="s">
        <v>2720</v>
      </c>
      <c r="E1391" t="s">
        <v>1879</v>
      </c>
      <c r="F1391">
        <v>30461</v>
      </c>
    </row>
    <row r="1392" spans="1:6" x14ac:dyDescent="0.25">
      <c r="A1392" t="s">
        <v>3619</v>
      </c>
      <c r="B1392" t="s">
        <v>545</v>
      </c>
      <c r="C1392" t="s">
        <v>96</v>
      </c>
      <c r="D1392" t="s">
        <v>2030</v>
      </c>
      <c r="E1392" t="s">
        <v>1915</v>
      </c>
      <c r="F1392">
        <v>6497</v>
      </c>
    </row>
    <row r="1393" spans="1:6" x14ac:dyDescent="0.25">
      <c r="A1393" t="s">
        <v>3620</v>
      </c>
      <c r="B1393" t="s">
        <v>545</v>
      </c>
      <c r="C1393" t="s">
        <v>96</v>
      </c>
      <c r="D1393" t="s">
        <v>2601</v>
      </c>
      <c r="E1393" t="s">
        <v>1879</v>
      </c>
      <c r="F1393">
        <v>11001</v>
      </c>
    </row>
    <row r="1394" spans="1:6" x14ac:dyDescent="0.25">
      <c r="A1394" t="s">
        <v>3621</v>
      </c>
      <c r="B1394" t="s">
        <v>545</v>
      </c>
      <c r="C1394" t="s">
        <v>96</v>
      </c>
      <c r="D1394" t="s">
        <v>2443</v>
      </c>
      <c r="E1394" t="s">
        <v>1886</v>
      </c>
      <c r="F1394">
        <v>6005</v>
      </c>
    </row>
    <row r="1395" spans="1:6" x14ac:dyDescent="0.25">
      <c r="A1395" t="s">
        <v>3622</v>
      </c>
      <c r="B1395" t="s">
        <v>545</v>
      </c>
      <c r="C1395" t="s">
        <v>96</v>
      </c>
      <c r="D1395" t="s">
        <v>3623</v>
      </c>
      <c r="E1395" t="s">
        <v>1886</v>
      </c>
      <c r="F1395">
        <v>30460</v>
      </c>
    </row>
    <row r="1396" spans="1:6" x14ac:dyDescent="0.25">
      <c r="A1396" t="s">
        <v>3624</v>
      </c>
      <c r="B1396" t="s">
        <v>545</v>
      </c>
      <c r="C1396" t="s">
        <v>96</v>
      </c>
      <c r="D1396" t="s">
        <v>2816</v>
      </c>
      <c r="E1396" t="s">
        <v>1886</v>
      </c>
      <c r="F1396">
        <v>22246</v>
      </c>
    </row>
    <row r="1397" spans="1:6" x14ac:dyDescent="0.25">
      <c r="A1397" t="s">
        <v>3625</v>
      </c>
      <c r="B1397" t="s">
        <v>545</v>
      </c>
      <c r="C1397" t="s">
        <v>96</v>
      </c>
      <c r="D1397" t="s">
        <v>1919</v>
      </c>
      <c r="E1397" t="s">
        <v>1915</v>
      </c>
      <c r="F1397">
        <v>49964</v>
      </c>
    </row>
    <row r="1398" spans="1:6" x14ac:dyDescent="0.25">
      <c r="A1398" t="s">
        <v>3626</v>
      </c>
      <c r="B1398" t="s">
        <v>548</v>
      </c>
      <c r="C1398" t="s">
        <v>51</v>
      </c>
      <c r="D1398" t="s">
        <v>3164</v>
      </c>
      <c r="E1398" t="s">
        <v>1915</v>
      </c>
      <c r="F1398">
        <v>22772</v>
      </c>
    </row>
    <row r="1399" spans="1:6" x14ac:dyDescent="0.25">
      <c r="A1399" t="s">
        <v>3627</v>
      </c>
      <c r="B1399" t="s">
        <v>548</v>
      </c>
      <c r="C1399" t="s">
        <v>51</v>
      </c>
      <c r="D1399" t="s">
        <v>1945</v>
      </c>
      <c r="E1399" t="s">
        <v>1879</v>
      </c>
      <c r="F1399">
        <v>17036</v>
      </c>
    </row>
    <row r="1400" spans="1:6" x14ac:dyDescent="0.25">
      <c r="A1400" t="s">
        <v>3628</v>
      </c>
      <c r="B1400" t="s">
        <v>548</v>
      </c>
      <c r="C1400" t="s">
        <v>51</v>
      </c>
      <c r="D1400" t="s">
        <v>1982</v>
      </c>
      <c r="E1400" t="s">
        <v>1915</v>
      </c>
      <c r="F1400">
        <v>16264</v>
      </c>
    </row>
    <row r="1401" spans="1:6" x14ac:dyDescent="0.25">
      <c r="A1401" t="s">
        <v>3629</v>
      </c>
      <c r="B1401" t="s">
        <v>548</v>
      </c>
      <c r="C1401" t="s">
        <v>51</v>
      </c>
      <c r="D1401" t="s">
        <v>2254</v>
      </c>
      <c r="E1401" t="s">
        <v>1886</v>
      </c>
      <c r="F1401">
        <v>33588</v>
      </c>
    </row>
    <row r="1402" spans="1:6" x14ac:dyDescent="0.25">
      <c r="A1402" t="s">
        <v>3630</v>
      </c>
      <c r="B1402" t="s">
        <v>548</v>
      </c>
      <c r="C1402" t="s">
        <v>51</v>
      </c>
      <c r="D1402" t="s">
        <v>2300</v>
      </c>
      <c r="E1402" t="s">
        <v>1879</v>
      </c>
      <c r="F1402">
        <v>7803</v>
      </c>
    </row>
    <row r="1403" spans="1:6" x14ac:dyDescent="0.25">
      <c r="A1403" t="s">
        <v>3631</v>
      </c>
      <c r="B1403" t="s">
        <v>548</v>
      </c>
      <c r="C1403" t="s">
        <v>51</v>
      </c>
      <c r="D1403" t="s">
        <v>2580</v>
      </c>
      <c r="E1403" t="s">
        <v>1871</v>
      </c>
      <c r="F1403">
        <v>16235</v>
      </c>
    </row>
    <row r="1404" spans="1:6" x14ac:dyDescent="0.25">
      <c r="A1404" t="s">
        <v>3632</v>
      </c>
      <c r="B1404" t="s">
        <v>548</v>
      </c>
      <c r="C1404" t="s">
        <v>51</v>
      </c>
      <c r="D1404" t="s">
        <v>2829</v>
      </c>
      <c r="E1404" t="s">
        <v>1871</v>
      </c>
      <c r="F1404">
        <v>4696</v>
      </c>
    </row>
    <row r="1405" spans="1:6" x14ac:dyDescent="0.25">
      <c r="A1405" t="s">
        <v>3633</v>
      </c>
      <c r="B1405" t="s">
        <v>548</v>
      </c>
      <c r="C1405" t="s">
        <v>51</v>
      </c>
      <c r="D1405" t="s">
        <v>2993</v>
      </c>
      <c r="E1405" t="s">
        <v>1871</v>
      </c>
      <c r="F1405">
        <v>10172</v>
      </c>
    </row>
    <row r="1406" spans="1:6" x14ac:dyDescent="0.25">
      <c r="A1406" t="s">
        <v>3634</v>
      </c>
      <c r="B1406" t="s">
        <v>548</v>
      </c>
      <c r="C1406" t="s">
        <v>51</v>
      </c>
      <c r="D1406" t="s">
        <v>2336</v>
      </c>
      <c r="E1406" t="s">
        <v>1879</v>
      </c>
      <c r="F1406">
        <v>14638</v>
      </c>
    </row>
    <row r="1407" spans="1:6" x14ac:dyDescent="0.25">
      <c r="A1407" t="s">
        <v>3635</v>
      </c>
      <c r="B1407" t="s">
        <v>548</v>
      </c>
      <c r="C1407" t="s">
        <v>51</v>
      </c>
      <c r="D1407" t="s">
        <v>2336</v>
      </c>
      <c r="E1407" t="s">
        <v>1886</v>
      </c>
      <c r="F1407">
        <v>9971</v>
      </c>
    </row>
    <row r="1408" spans="1:6" x14ac:dyDescent="0.25">
      <c r="A1408" t="s">
        <v>3636</v>
      </c>
      <c r="B1408" t="s">
        <v>548</v>
      </c>
      <c r="C1408" t="s">
        <v>51</v>
      </c>
      <c r="D1408" t="s">
        <v>1870</v>
      </c>
      <c r="E1408" t="s">
        <v>1871</v>
      </c>
      <c r="F1408">
        <v>17398</v>
      </c>
    </row>
    <row r="1409" spans="1:6" x14ac:dyDescent="0.25">
      <c r="A1409" t="s">
        <v>3637</v>
      </c>
      <c r="B1409" t="s">
        <v>548</v>
      </c>
      <c r="C1409" t="s">
        <v>51</v>
      </c>
      <c r="D1409" t="s">
        <v>2346</v>
      </c>
      <c r="E1409" t="s">
        <v>1915</v>
      </c>
      <c r="F1409">
        <v>32684</v>
      </c>
    </row>
    <row r="1410" spans="1:6" x14ac:dyDescent="0.25">
      <c r="A1410" t="s">
        <v>3638</v>
      </c>
      <c r="B1410" t="s">
        <v>551</v>
      </c>
      <c r="C1410" t="s">
        <v>87</v>
      </c>
      <c r="D1410" t="s">
        <v>2445</v>
      </c>
      <c r="E1410" t="s">
        <v>1915</v>
      </c>
      <c r="F1410">
        <v>58210</v>
      </c>
    </row>
    <row r="1411" spans="1:6" x14ac:dyDescent="0.25">
      <c r="A1411" t="s">
        <v>3639</v>
      </c>
      <c r="B1411" t="s">
        <v>551</v>
      </c>
      <c r="C1411" t="s">
        <v>87</v>
      </c>
      <c r="D1411" t="s">
        <v>2238</v>
      </c>
      <c r="E1411" t="s">
        <v>1879</v>
      </c>
      <c r="F1411">
        <v>11093</v>
      </c>
    </row>
    <row r="1412" spans="1:6" x14ac:dyDescent="0.25">
      <c r="A1412" t="s">
        <v>3640</v>
      </c>
      <c r="B1412" t="s">
        <v>551</v>
      </c>
      <c r="C1412" t="s">
        <v>87</v>
      </c>
      <c r="D1412" t="s">
        <v>2993</v>
      </c>
      <c r="E1412" t="s">
        <v>1879</v>
      </c>
      <c r="F1412">
        <v>2269</v>
      </c>
    </row>
    <row r="1413" spans="1:6" x14ac:dyDescent="0.25">
      <c r="A1413" t="s">
        <v>3641</v>
      </c>
      <c r="B1413" t="s">
        <v>551</v>
      </c>
      <c r="C1413" t="s">
        <v>87</v>
      </c>
      <c r="D1413" t="s">
        <v>2322</v>
      </c>
      <c r="E1413" t="s">
        <v>1871</v>
      </c>
      <c r="F1413">
        <v>480</v>
      </c>
    </row>
    <row r="1414" spans="1:6" x14ac:dyDescent="0.25">
      <c r="A1414" t="s">
        <v>3642</v>
      </c>
      <c r="B1414" t="s">
        <v>551</v>
      </c>
      <c r="C1414" t="s">
        <v>87</v>
      </c>
      <c r="D1414" t="s">
        <v>2032</v>
      </c>
      <c r="E1414" t="s">
        <v>1879</v>
      </c>
      <c r="F1414">
        <v>23926</v>
      </c>
    </row>
    <row r="1415" spans="1:6" x14ac:dyDescent="0.25">
      <c r="A1415" t="s">
        <v>3643</v>
      </c>
      <c r="B1415" t="s">
        <v>551</v>
      </c>
      <c r="C1415" t="s">
        <v>87</v>
      </c>
      <c r="D1415" t="s">
        <v>1917</v>
      </c>
      <c r="E1415" t="s">
        <v>1915</v>
      </c>
      <c r="F1415">
        <v>20214</v>
      </c>
    </row>
    <row r="1416" spans="1:6" x14ac:dyDescent="0.25">
      <c r="A1416" t="s">
        <v>3644</v>
      </c>
      <c r="B1416" t="s">
        <v>551</v>
      </c>
      <c r="C1416" t="s">
        <v>87</v>
      </c>
      <c r="D1416" t="s">
        <v>2425</v>
      </c>
      <c r="E1416" t="s">
        <v>1886</v>
      </c>
      <c r="F1416">
        <v>31595</v>
      </c>
    </row>
    <row r="1417" spans="1:6" x14ac:dyDescent="0.25">
      <c r="A1417" t="s">
        <v>3645</v>
      </c>
      <c r="B1417" t="s">
        <v>551</v>
      </c>
      <c r="C1417" t="s">
        <v>87</v>
      </c>
      <c r="D1417" t="s">
        <v>2132</v>
      </c>
      <c r="E1417" t="s">
        <v>1915</v>
      </c>
      <c r="F1417">
        <v>36282</v>
      </c>
    </row>
    <row r="1418" spans="1:6" x14ac:dyDescent="0.25">
      <c r="A1418" t="s">
        <v>3646</v>
      </c>
      <c r="B1418" t="s">
        <v>554</v>
      </c>
      <c r="C1418" t="s">
        <v>51</v>
      </c>
      <c r="D1418" t="s">
        <v>2779</v>
      </c>
      <c r="E1418" t="s">
        <v>1879</v>
      </c>
      <c r="F1418">
        <v>354</v>
      </c>
    </row>
    <row r="1419" spans="1:6" x14ac:dyDescent="0.25">
      <c r="A1419" t="s">
        <v>3647</v>
      </c>
      <c r="B1419" t="s">
        <v>554</v>
      </c>
      <c r="C1419" t="s">
        <v>51</v>
      </c>
      <c r="D1419" t="s">
        <v>2439</v>
      </c>
      <c r="E1419" t="s">
        <v>1876</v>
      </c>
      <c r="F1419">
        <v>2000</v>
      </c>
    </row>
    <row r="1420" spans="1:6" x14ac:dyDescent="0.25">
      <c r="A1420" t="s">
        <v>3648</v>
      </c>
      <c r="B1420" t="s">
        <v>554</v>
      </c>
      <c r="C1420" t="s">
        <v>51</v>
      </c>
      <c r="D1420" t="s">
        <v>1883</v>
      </c>
      <c r="E1420" t="s">
        <v>1915</v>
      </c>
      <c r="F1420">
        <v>8233</v>
      </c>
    </row>
    <row r="1421" spans="1:6" x14ac:dyDescent="0.25">
      <c r="A1421" t="s">
        <v>3649</v>
      </c>
      <c r="B1421" t="s">
        <v>554</v>
      </c>
      <c r="C1421" t="s">
        <v>51</v>
      </c>
      <c r="D1421" t="s">
        <v>2664</v>
      </c>
      <c r="E1421" t="s">
        <v>1871</v>
      </c>
      <c r="F1421">
        <v>2626</v>
      </c>
    </row>
    <row r="1422" spans="1:6" x14ac:dyDescent="0.25">
      <c r="A1422" t="s">
        <v>3650</v>
      </c>
      <c r="B1422" t="s">
        <v>554</v>
      </c>
      <c r="C1422" t="s">
        <v>51</v>
      </c>
      <c r="D1422" t="s">
        <v>2163</v>
      </c>
      <c r="E1422" t="s">
        <v>1915</v>
      </c>
      <c r="F1422">
        <v>8712</v>
      </c>
    </row>
    <row r="1423" spans="1:6" x14ac:dyDescent="0.25">
      <c r="A1423" t="s">
        <v>3651</v>
      </c>
      <c r="B1423" t="s">
        <v>554</v>
      </c>
      <c r="C1423" t="s">
        <v>51</v>
      </c>
      <c r="D1423" t="s">
        <v>2263</v>
      </c>
      <c r="E1423" t="s">
        <v>1886</v>
      </c>
      <c r="F1423">
        <v>28951</v>
      </c>
    </row>
    <row r="1424" spans="1:6" x14ac:dyDescent="0.25">
      <c r="A1424" t="s">
        <v>3652</v>
      </c>
      <c r="B1424" t="s">
        <v>557</v>
      </c>
      <c r="C1424" t="s">
        <v>146</v>
      </c>
      <c r="D1424" t="s">
        <v>2432</v>
      </c>
      <c r="E1424" t="s">
        <v>1879</v>
      </c>
      <c r="F1424">
        <v>19588</v>
      </c>
    </row>
    <row r="1425" spans="1:6" x14ac:dyDescent="0.25">
      <c r="A1425" t="s">
        <v>3653</v>
      </c>
      <c r="B1425" t="s">
        <v>557</v>
      </c>
      <c r="C1425" t="s">
        <v>146</v>
      </c>
      <c r="D1425" t="s">
        <v>2101</v>
      </c>
      <c r="E1425" t="s">
        <v>1879</v>
      </c>
      <c r="F1425">
        <v>5496</v>
      </c>
    </row>
    <row r="1426" spans="1:6" x14ac:dyDescent="0.25">
      <c r="A1426" t="s">
        <v>3654</v>
      </c>
      <c r="B1426" t="s">
        <v>557</v>
      </c>
      <c r="C1426" t="s">
        <v>146</v>
      </c>
      <c r="D1426" t="s">
        <v>1925</v>
      </c>
      <c r="E1426" t="s">
        <v>1879</v>
      </c>
      <c r="F1426">
        <v>13858</v>
      </c>
    </row>
    <row r="1427" spans="1:6" x14ac:dyDescent="0.25">
      <c r="A1427" t="s">
        <v>3655</v>
      </c>
      <c r="B1427" t="s">
        <v>557</v>
      </c>
      <c r="C1427" t="s">
        <v>146</v>
      </c>
      <c r="D1427" t="s">
        <v>2794</v>
      </c>
      <c r="E1427" t="s">
        <v>1871</v>
      </c>
      <c r="F1427">
        <v>16797</v>
      </c>
    </row>
    <row r="1428" spans="1:6" x14ac:dyDescent="0.25">
      <c r="A1428" t="s">
        <v>3656</v>
      </c>
      <c r="B1428" t="s">
        <v>557</v>
      </c>
      <c r="C1428" t="s">
        <v>146</v>
      </c>
      <c r="D1428" t="s">
        <v>1939</v>
      </c>
      <c r="E1428" t="s">
        <v>1915</v>
      </c>
      <c r="F1428">
        <v>17004</v>
      </c>
    </row>
    <row r="1429" spans="1:6" x14ac:dyDescent="0.25">
      <c r="A1429" t="s">
        <v>3657</v>
      </c>
      <c r="B1429" t="s">
        <v>557</v>
      </c>
      <c r="C1429" t="s">
        <v>146</v>
      </c>
      <c r="D1429" t="s">
        <v>3105</v>
      </c>
      <c r="E1429" t="s">
        <v>1871</v>
      </c>
      <c r="F1429">
        <v>8873</v>
      </c>
    </row>
    <row r="1430" spans="1:6" x14ac:dyDescent="0.25">
      <c r="A1430" t="s">
        <v>3658</v>
      </c>
      <c r="B1430" t="s">
        <v>557</v>
      </c>
      <c r="C1430" t="s">
        <v>146</v>
      </c>
      <c r="D1430" t="s">
        <v>1902</v>
      </c>
      <c r="E1430" t="s">
        <v>1876</v>
      </c>
      <c r="F1430">
        <v>3400</v>
      </c>
    </row>
    <row r="1431" spans="1:6" x14ac:dyDescent="0.25">
      <c r="A1431" t="s">
        <v>3659</v>
      </c>
      <c r="B1431" t="s">
        <v>557</v>
      </c>
      <c r="C1431" t="s">
        <v>146</v>
      </c>
      <c r="D1431" t="s">
        <v>3660</v>
      </c>
      <c r="E1431" t="s">
        <v>1886</v>
      </c>
      <c r="F1431">
        <v>2883</v>
      </c>
    </row>
    <row r="1432" spans="1:6" x14ac:dyDescent="0.25">
      <c r="A1432" t="s">
        <v>3661</v>
      </c>
      <c r="B1432" t="s">
        <v>557</v>
      </c>
      <c r="C1432" t="s">
        <v>146</v>
      </c>
      <c r="D1432" t="s">
        <v>2300</v>
      </c>
      <c r="E1432" t="s">
        <v>1915</v>
      </c>
      <c r="F1432">
        <v>12140</v>
      </c>
    </row>
    <row r="1433" spans="1:6" x14ac:dyDescent="0.25">
      <c r="A1433" t="s">
        <v>3662</v>
      </c>
      <c r="B1433" t="s">
        <v>557</v>
      </c>
      <c r="C1433" t="s">
        <v>146</v>
      </c>
      <c r="D1433" t="s">
        <v>2735</v>
      </c>
      <c r="E1433" t="s">
        <v>1871</v>
      </c>
      <c r="F1433">
        <v>11874</v>
      </c>
    </row>
    <row r="1434" spans="1:6" x14ac:dyDescent="0.25">
      <c r="A1434" t="s">
        <v>3663</v>
      </c>
      <c r="B1434" t="s">
        <v>560</v>
      </c>
      <c r="C1434" t="s">
        <v>96</v>
      </c>
      <c r="D1434" t="s">
        <v>2399</v>
      </c>
      <c r="E1434" t="s">
        <v>1879</v>
      </c>
      <c r="F1434">
        <v>20270</v>
      </c>
    </row>
    <row r="1435" spans="1:6" x14ac:dyDescent="0.25">
      <c r="A1435" t="s">
        <v>3664</v>
      </c>
      <c r="B1435" t="s">
        <v>560</v>
      </c>
      <c r="C1435" t="s">
        <v>96</v>
      </c>
      <c r="D1435" t="s">
        <v>3115</v>
      </c>
      <c r="E1435" t="s">
        <v>1915</v>
      </c>
      <c r="F1435">
        <v>6917</v>
      </c>
    </row>
    <row r="1436" spans="1:6" x14ac:dyDescent="0.25">
      <c r="A1436" t="s">
        <v>3665</v>
      </c>
      <c r="B1436" t="s">
        <v>560</v>
      </c>
      <c r="C1436" t="s">
        <v>96</v>
      </c>
      <c r="D1436" t="s">
        <v>2639</v>
      </c>
      <c r="E1436" t="s">
        <v>1879</v>
      </c>
      <c r="F1436">
        <v>15857</v>
      </c>
    </row>
    <row r="1437" spans="1:6" x14ac:dyDescent="0.25">
      <c r="A1437" t="s">
        <v>3666</v>
      </c>
      <c r="B1437" t="s">
        <v>560</v>
      </c>
      <c r="C1437" t="s">
        <v>96</v>
      </c>
      <c r="D1437" t="s">
        <v>2171</v>
      </c>
      <c r="E1437" t="s">
        <v>1871</v>
      </c>
      <c r="F1437">
        <v>5751</v>
      </c>
    </row>
    <row r="1438" spans="1:6" x14ac:dyDescent="0.25">
      <c r="A1438" t="s">
        <v>3667</v>
      </c>
      <c r="B1438" t="s">
        <v>560</v>
      </c>
      <c r="C1438" t="s">
        <v>96</v>
      </c>
      <c r="D1438" t="s">
        <v>3047</v>
      </c>
      <c r="E1438" t="s">
        <v>1886</v>
      </c>
      <c r="F1438">
        <v>21321</v>
      </c>
    </row>
    <row r="1439" spans="1:6" x14ac:dyDescent="0.25">
      <c r="A1439" t="s">
        <v>3668</v>
      </c>
      <c r="B1439" t="s">
        <v>560</v>
      </c>
      <c r="C1439" t="s">
        <v>96</v>
      </c>
      <c r="D1439" t="s">
        <v>1957</v>
      </c>
      <c r="E1439" t="s">
        <v>1879</v>
      </c>
      <c r="F1439">
        <v>9895</v>
      </c>
    </row>
    <row r="1440" spans="1:6" x14ac:dyDescent="0.25">
      <c r="A1440" t="s">
        <v>3669</v>
      </c>
      <c r="B1440" t="s">
        <v>560</v>
      </c>
      <c r="C1440" t="s">
        <v>96</v>
      </c>
      <c r="D1440" t="s">
        <v>1917</v>
      </c>
      <c r="E1440" t="s">
        <v>1879</v>
      </c>
      <c r="F1440">
        <v>12501</v>
      </c>
    </row>
    <row r="1441" spans="1:6" x14ac:dyDescent="0.25">
      <c r="A1441" t="s">
        <v>3670</v>
      </c>
      <c r="B1441" t="s">
        <v>560</v>
      </c>
      <c r="C1441" t="s">
        <v>96</v>
      </c>
      <c r="D1441" t="s">
        <v>1960</v>
      </c>
      <c r="E1441" t="s">
        <v>1879</v>
      </c>
      <c r="F1441">
        <v>3212</v>
      </c>
    </row>
    <row r="1442" spans="1:6" x14ac:dyDescent="0.25">
      <c r="A1442" t="s">
        <v>3671</v>
      </c>
      <c r="B1442" t="s">
        <v>560</v>
      </c>
      <c r="C1442" t="s">
        <v>96</v>
      </c>
      <c r="D1442" t="s">
        <v>1896</v>
      </c>
      <c r="E1442" t="s">
        <v>1876</v>
      </c>
      <c r="F1442">
        <v>18889</v>
      </c>
    </row>
    <row r="1443" spans="1:6" x14ac:dyDescent="0.25">
      <c r="A1443" t="s">
        <v>3672</v>
      </c>
      <c r="B1443" t="s">
        <v>563</v>
      </c>
      <c r="C1443" t="s">
        <v>87</v>
      </c>
      <c r="D1443" t="s">
        <v>2310</v>
      </c>
      <c r="E1443" t="s">
        <v>1871</v>
      </c>
      <c r="F1443">
        <v>1840</v>
      </c>
    </row>
    <row r="1444" spans="1:6" x14ac:dyDescent="0.25">
      <c r="A1444" t="s">
        <v>3673</v>
      </c>
      <c r="B1444" t="s">
        <v>563</v>
      </c>
      <c r="C1444" t="s">
        <v>87</v>
      </c>
      <c r="D1444" t="s">
        <v>2914</v>
      </c>
      <c r="E1444" t="s">
        <v>1915</v>
      </c>
      <c r="F1444">
        <v>3522</v>
      </c>
    </row>
    <row r="1445" spans="1:6" x14ac:dyDescent="0.25">
      <c r="A1445" t="s">
        <v>3674</v>
      </c>
      <c r="B1445" t="s">
        <v>563</v>
      </c>
      <c r="C1445" t="s">
        <v>87</v>
      </c>
      <c r="D1445" t="s">
        <v>2236</v>
      </c>
      <c r="E1445" t="s">
        <v>1879</v>
      </c>
      <c r="F1445">
        <v>8735</v>
      </c>
    </row>
    <row r="1446" spans="1:6" x14ac:dyDescent="0.25">
      <c r="A1446" t="s">
        <v>3675</v>
      </c>
      <c r="B1446" t="s">
        <v>563</v>
      </c>
      <c r="C1446" t="s">
        <v>87</v>
      </c>
      <c r="D1446" t="s">
        <v>2706</v>
      </c>
      <c r="E1446" t="s">
        <v>1915</v>
      </c>
      <c r="F1446">
        <v>6606</v>
      </c>
    </row>
    <row r="1447" spans="1:6" x14ac:dyDescent="0.25">
      <c r="A1447" t="s">
        <v>3676</v>
      </c>
      <c r="B1447" t="s">
        <v>563</v>
      </c>
      <c r="C1447" t="s">
        <v>87</v>
      </c>
      <c r="D1447" t="s">
        <v>1960</v>
      </c>
      <c r="E1447" t="s">
        <v>1876</v>
      </c>
      <c r="F1447">
        <v>1457</v>
      </c>
    </row>
    <row r="1448" spans="1:6" x14ac:dyDescent="0.25">
      <c r="A1448" t="s">
        <v>3677</v>
      </c>
      <c r="B1448" t="s">
        <v>563</v>
      </c>
      <c r="C1448" t="s">
        <v>87</v>
      </c>
      <c r="D1448" t="s">
        <v>2615</v>
      </c>
      <c r="E1448" t="s">
        <v>1886</v>
      </c>
      <c r="F1448">
        <v>30925</v>
      </c>
    </row>
    <row r="1449" spans="1:6" x14ac:dyDescent="0.25">
      <c r="A1449" t="s">
        <v>3678</v>
      </c>
      <c r="B1449" t="s">
        <v>563</v>
      </c>
      <c r="C1449" t="s">
        <v>87</v>
      </c>
      <c r="D1449" t="s">
        <v>2366</v>
      </c>
      <c r="E1449" t="s">
        <v>1886</v>
      </c>
      <c r="F1449">
        <v>32860</v>
      </c>
    </row>
    <row r="1450" spans="1:6" x14ac:dyDescent="0.25">
      <c r="A1450" t="s">
        <v>3679</v>
      </c>
      <c r="B1450" t="s">
        <v>563</v>
      </c>
      <c r="C1450" t="s">
        <v>87</v>
      </c>
      <c r="D1450" t="s">
        <v>2183</v>
      </c>
      <c r="E1450" t="s">
        <v>1876</v>
      </c>
      <c r="F1450">
        <v>3734</v>
      </c>
    </row>
    <row r="1451" spans="1:6" x14ac:dyDescent="0.25">
      <c r="A1451" t="s">
        <v>3680</v>
      </c>
      <c r="B1451" t="s">
        <v>563</v>
      </c>
      <c r="C1451" t="s">
        <v>87</v>
      </c>
      <c r="D1451" t="s">
        <v>2271</v>
      </c>
      <c r="E1451" t="s">
        <v>1879</v>
      </c>
      <c r="F1451">
        <v>2629</v>
      </c>
    </row>
    <row r="1452" spans="1:6" x14ac:dyDescent="0.25">
      <c r="A1452" t="s">
        <v>3681</v>
      </c>
      <c r="B1452" t="s">
        <v>563</v>
      </c>
      <c r="C1452" t="s">
        <v>87</v>
      </c>
      <c r="D1452" t="s">
        <v>2212</v>
      </c>
      <c r="E1452" t="s">
        <v>1871</v>
      </c>
      <c r="F1452">
        <v>12717</v>
      </c>
    </row>
    <row r="1453" spans="1:6" x14ac:dyDescent="0.25">
      <c r="A1453" t="s">
        <v>3682</v>
      </c>
      <c r="B1453" t="s">
        <v>563</v>
      </c>
      <c r="C1453" t="s">
        <v>87</v>
      </c>
      <c r="D1453" t="s">
        <v>2181</v>
      </c>
      <c r="E1453" t="s">
        <v>1871</v>
      </c>
      <c r="F1453">
        <v>3206</v>
      </c>
    </row>
    <row r="1454" spans="1:6" x14ac:dyDescent="0.25">
      <c r="A1454" t="s">
        <v>3683</v>
      </c>
      <c r="B1454" t="s">
        <v>566</v>
      </c>
      <c r="C1454" t="s">
        <v>87</v>
      </c>
      <c r="D1454" t="s">
        <v>2064</v>
      </c>
      <c r="E1454" t="s">
        <v>1915</v>
      </c>
      <c r="F1454">
        <v>6828</v>
      </c>
    </row>
    <row r="1455" spans="1:6" x14ac:dyDescent="0.25">
      <c r="A1455" t="s">
        <v>3684</v>
      </c>
      <c r="B1455" t="s">
        <v>566</v>
      </c>
      <c r="C1455" t="s">
        <v>87</v>
      </c>
      <c r="D1455" t="s">
        <v>2163</v>
      </c>
      <c r="E1455" t="s">
        <v>1915</v>
      </c>
      <c r="F1455">
        <v>35371</v>
      </c>
    </row>
    <row r="1456" spans="1:6" x14ac:dyDescent="0.25">
      <c r="A1456" t="s">
        <v>3685</v>
      </c>
      <c r="B1456" t="s">
        <v>566</v>
      </c>
      <c r="C1456" t="s">
        <v>87</v>
      </c>
      <c r="D1456" t="s">
        <v>2350</v>
      </c>
      <c r="E1456" t="s">
        <v>1871</v>
      </c>
      <c r="F1456">
        <v>31171</v>
      </c>
    </row>
    <row r="1457" spans="1:6" x14ac:dyDescent="0.25">
      <c r="A1457" t="s">
        <v>3686</v>
      </c>
      <c r="B1457" t="s">
        <v>566</v>
      </c>
      <c r="C1457" t="s">
        <v>87</v>
      </c>
      <c r="D1457" t="s">
        <v>2539</v>
      </c>
      <c r="E1457" t="s">
        <v>1879</v>
      </c>
      <c r="F1457">
        <v>8405</v>
      </c>
    </row>
    <row r="1458" spans="1:6" x14ac:dyDescent="0.25">
      <c r="A1458" t="s">
        <v>3687</v>
      </c>
      <c r="B1458" t="s">
        <v>566</v>
      </c>
      <c r="C1458" t="s">
        <v>87</v>
      </c>
      <c r="D1458" t="s">
        <v>2018</v>
      </c>
      <c r="E1458" t="s">
        <v>1879</v>
      </c>
      <c r="F1458">
        <v>30031</v>
      </c>
    </row>
    <row r="1459" spans="1:6" x14ac:dyDescent="0.25">
      <c r="A1459" t="s">
        <v>3688</v>
      </c>
      <c r="B1459" t="s">
        <v>566</v>
      </c>
      <c r="C1459" t="s">
        <v>87</v>
      </c>
      <c r="D1459" t="s">
        <v>2226</v>
      </c>
      <c r="E1459" t="s">
        <v>1871</v>
      </c>
      <c r="F1459">
        <v>30534</v>
      </c>
    </row>
    <row r="1460" spans="1:6" x14ac:dyDescent="0.25">
      <c r="A1460" t="s">
        <v>3689</v>
      </c>
      <c r="B1460" t="s">
        <v>569</v>
      </c>
      <c r="C1460" t="s">
        <v>146</v>
      </c>
      <c r="D1460" t="s">
        <v>2527</v>
      </c>
      <c r="E1460" t="s">
        <v>1879</v>
      </c>
      <c r="F1460">
        <v>29583</v>
      </c>
    </row>
    <row r="1461" spans="1:6" x14ac:dyDescent="0.25">
      <c r="A1461" t="s">
        <v>3690</v>
      </c>
      <c r="B1461" t="s">
        <v>569</v>
      </c>
      <c r="C1461" t="s">
        <v>146</v>
      </c>
      <c r="D1461" t="s">
        <v>2338</v>
      </c>
      <c r="E1461" t="s">
        <v>1915</v>
      </c>
      <c r="F1461">
        <v>36604</v>
      </c>
    </row>
    <row r="1462" spans="1:6" x14ac:dyDescent="0.25">
      <c r="A1462" t="s">
        <v>3691</v>
      </c>
      <c r="B1462" t="s">
        <v>569</v>
      </c>
      <c r="C1462" t="s">
        <v>146</v>
      </c>
      <c r="D1462" t="s">
        <v>2119</v>
      </c>
      <c r="E1462" t="s">
        <v>1879</v>
      </c>
      <c r="F1462">
        <v>11686</v>
      </c>
    </row>
    <row r="1463" spans="1:6" x14ac:dyDescent="0.25">
      <c r="A1463" t="s">
        <v>3692</v>
      </c>
      <c r="B1463" t="s">
        <v>569</v>
      </c>
      <c r="C1463" t="s">
        <v>146</v>
      </c>
      <c r="D1463" t="s">
        <v>2014</v>
      </c>
      <c r="E1463" t="s">
        <v>1876</v>
      </c>
      <c r="F1463">
        <v>13274</v>
      </c>
    </row>
    <row r="1464" spans="1:6" x14ac:dyDescent="0.25">
      <c r="A1464" t="s">
        <v>3693</v>
      </c>
      <c r="B1464" t="s">
        <v>569</v>
      </c>
      <c r="C1464" t="s">
        <v>146</v>
      </c>
      <c r="D1464" t="s">
        <v>1894</v>
      </c>
      <c r="E1464" t="s">
        <v>1876</v>
      </c>
      <c r="F1464">
        <v>11621</v>
      </c>
    </row>
    <row r="1465" spans="1:6" x14ac:dyDescent="0.25">
      <c r="A1465" t="s">
        <v>3694</v>
      </c>
      <c r="B1465" t="s">
        <v>569</v>
      </c>
      <c r="C1465" t="s">
        <v>146</v>
      </c>
      <c r="D1465" t="s">
        <v>2181</v>
      </c>
      <c r="E1465" t="s">
        <v>1879</v>
      </c>
      <c r="F1465">
        <v>24926</v>
      </c>
    </row>
    <row r="1466" spans="1:6" x14ac:dyDescent="0.25">
      <c r="A1466" t="s">
        <v>3695</v>
      </c>
      <c r="B1466" t="s">
        <v>569</v>
      </c>
      <c r="C1466" t="s">
        <v>146</v>
      </c>
      <c r="D1466" t="s">
        <v>2236</v>
      </c>
      <c r="E1466" t="s">
        <v>1871</v>
      </c>
      <c r="F1466">
        <v>10793</v>
      </c>
    </row>
    <row r="1467" spans="1:6" x14ac:dyDescent="0.25">
      <c r="A1467" t="s">
        <v>3696</v>
      </c>
      <c r="B1467" t="s">
        <v>569</v>
      </c>
      <c r="C1467" t="s">
        <v>146</v>
      </c>
      <c r="D1467" t="s">
        <v>2624</v>
      </c>
      <c r="E1467" t="s">
        <v>1886</v>
      </c>
      <c r="F1467">
        <v>13156</v>
      </c>
    </row>
    <row r="1468" spans="1:6" x14ac:dyDescent="0.25">
      <c r="A1468" t="s">
        <v>3697</v>
      </c>
      <c r="B1468" t="s">
        <v>569</v>
      </c>
      <c r="C1468" t="s">
        <v>146</v>
      </c>
      <c r="D1468" t="s">
        <v>2175</v>
      </c>
      <c r="E1468" t="s">
        <v>1871</v>
      </c>
      <c r="F1468">
        <v>8994</v>
      </c>
    </row>
    <row r="1469" spans="1:6" x14ac:dyDescent="0.25">
      <c r="A1469" t="s">
        <v>3698</v>
      </c>
      <c r="B1469" t="s">
        <v>572</v>
      </c>
      <c r="C1469" t="s">
        <v>146</v>
      </c>
      <c r="D1469" t="s">
        <v>2464</v>
      </c>
      <c r="E1469" t="s">
        <v>1915</v>
      </c>
      <c r="F1469">
        <v>31988</v>
      </c>
    </row>
    <row r="1470" spans="1:6" x14ac:dyDescent="0.25">
      <c r="A1470" t="s">
        <v>3699</v>
      </c>
      <c r="B1470" t="s">
        <v>572</v>
      </c>
      <c r="C1470" t="s">
        <v>146</v>
      </c>
      <c r="D1470" t="s">
        <v>3188</v>
      </c>
      <c r="E1470" t="s">
        <v>1876</v>
      </c>
      <c r="F1470">
        <v>23519</v>
      </c>
    </row>
    <row r="1471" spans="1:6" x14ac:dyDescent="0.25">
      <c r="A1471" t="s">
        <v>3700</v>
      </c>
      <c r="B1471" t="s">
        <v>572</v>
      </c>
      <c r="C1471" t="s">
        <v>146</v>
      </c>
      <c r="D1471" t="s">
        <v>2188</v>
      </c>
      <c r="E1471" t="s">
        <v>1871</v>
      </c>
      <c r="F1471">
        <v>27741</v>
      </c>
    </row>
    <row r="1472" spans="1:6" x14ac:dyDescent="0.25">
      <c r="A1472" t="s">
        <v>3701</v>
      </c>
      <c r="B1472" t="s">
        <v>572</v>
      </c>
      <c r="C1472" t="s">
        <v>146</v>
      </c>
      <c r="D1472" t="s">
        <v>2269</v>
      </c>
      <c r="E1472" t="s">
        <v>1871</v>
      </c>
      <c r="F1472">
        <v>21389</v>
      </c>
    </row>
    <row r="1473" spans="1:6" x14ac:dyDescent="0.25">
      <c r="A1473" t="s">
        <v>3702</v>
      </c>
      <c r="B1473" t="s">
        <v>572</v>
      </c>
      <c r="C1473" t="s">
        <v>146</v>
      </c>
      <c r="D1473" t="s">
        <v>1966</v>
      </c>
      <c r="E1473" t="s">
        <v>1871</v>
      </c>
      <c r="F1473">
        <v>11300</v>
      </c>
    </row>
    <row r="1474" spans="1:6" x14ac:dyDescent="0.25">
      <c r="A1474" t="s">
        <v>3703</v>
      </c>
      <c r="B1474" t="s">
        <v>572</v>
      </c>
      <c r="C1474" t="s">
        <v>146</v>
      </c>
      <c r="D1474" t="s">
        <v>3486</v>
      </c>
      <c r="E1474" t="s">
        <v>1876</v>
      </c>
      <c r="F1474">
        <v>6474</v>
      </c>
    </row>
    <row r="1475" spans="1:6" x14ac:dyDescent="0.25">
      <c r="A1475" t="s">
        <v>3704</v>
      </c>
      <c r="B1475" t="s">
        <v>572</v>
      </c>
      <c r="C1475" t="s">
        <v>146</v>
      </c>
      <c r="D1475" t="s">
        <v>1762</v>
      </c>
      <c r="E1475" t="s">
        <v>1915</v>
      </c>
      <c r="F1475">
        <v>37132</v>
      </c>
    </row>
    <row r="1476" spans="1:6" x14ac:dyDescent="0.25">
      <c r="A1476" t="s">
        <v>3705</v>
      </c>
      <c r="B1476" t="s">
        <v>572</v>
      </c>
      <c r="C1476" t="s">
        <v>146</v>
      </c>
      <c r="D1476" t="s">
        <v>2624</v>
      </c>
      <c r="E1476" t="s">
        <v>1879</v>
      </c>
      <c r="F1476">
        <v>17258</v>
      </c>
    </row>
    <row r="1477" spans="1:6" x14ac:dyDescent="0.25">
      <c r="A1477" t="s">
        <v>3706</v>
      </c>
      <c r="B1477" t="s">
        <v>574</v>
      </c>
      <c r="C1477" t="s">
        <v>73</v>
      </c>
      <c r="D1477" t="s">
        <v>2427</v>
      </c>
      <c r="E1477" t="s">
        <v>1879</v>
      </c>
      <c r="F1477">
        <v>11007</v>
      </c>
    </row>
    <row r="1478" spans="1:6" x14ac:dyDescent="0.25">
      <c r="A1478" t="s">
        <v>3707</v>
      </c>
      <c r="B1478" t="s">
        <v>574</v>
      </c>
      <c r="C1478" t="s">
        <v>73</v>
      </c>
      <c r="D1478" t="s">
        <v>2362</v>
      </c>
      <c r="E1478" t="s">
        <v>1915</v>
      </c>
      <c r="F1478">
        <v>14387</v>
      </c>
    </row>
    <row r="1479" spans="1:6" x14ac:dyDescent="0.25">
      <c r="A1479" t="s">
        <v>3708</v>
      </c>
      <c r="B1479" t="s">
        <v>574</v>
      </c>
      <c r="C1479" t="s">
        <v>73</v>
      </c>
      <c r="D1479" t="s">
        <v>2333</v>
      </c>
      <c r="E1479" t="s">
        <v>1886</v>
      </c>
      <c r="F1479">
        <v>7559</v>
      </c>
    </row>
    <row r="1480" spans="1:6" x14ac:dyDescent="0.25">
      <c r="A1480" t="s">
        <v>3709</v>
      </c>
      <c r="B1480" t="s">
        <v>574</v>
      </c>
      <c r="C1480" t="s">
        <v>73</v>
      </c>
      <c r="D1480" t="s">
        <v>3710</v>
      </c>
      <c r="E1480" t="s">
        <v>1876</v>
      </c>
      <c r="F1480">
        <v>24907</v>
      </c>
    </row>
    <row r="1481" spans="1:6" x14ac:dyDescent="0.25">
      <c r="A1481" t="s">
        <v>3711</v>
      </c>
      <c r="B1481" t="s">
        <v>574</v>
      </c>
      <c r="C1481" t="s">
        <v>73</v>
      </c>
      <c r="D1481" t="s">
        <v>1988</v>
      </c>
      <c r="E1481" t="s">
        <v>1915</v>
      </c>
      <c r="F1481">
        <v>24184</v>
      </c>
    </row>
    <row r="1482" spans="1:6" x14ac:dyDescent="0.25">
      <c r="A1482" t="s">
        <v>3712</v>
      </c>
      <c r="B1482" t="s">
        <v>574</v>
      </c>
      <c r="C1482" t="s">
        <v>73</v>
      </c>
      <c r="D1482" t="s">
        <v>3242</v>
      </c>
      <c r="E1482" t="s">
        <v>1871</v>
      </c>
      <c r="F1482">
        <v>12308</v>
      </c>
    </row>
    <row r="1483" spans="1:6" x14ac:dyDescent="0.25">
      <c r="A1483" t="s">
        <v>3713</v>
      </c>
      <c r="B1483" t="s">
        <v>574</v>
      </c>
      <c r="C1483" t="s">
        <v>73</v>
      </c>
      <c r="D1483" t="s">
        <v>2099</v>
      </c>
      <c r="E1483" t="s">
        <v>1879</v>
      </c>
      <c r="F1483">
        <v>24059</v>
      </c>
    </row>
    <row r="1484" spans="1:6" x14ac:dyDescent="0.25">
      <c r="A1484" t="s">
        <v>3714</v>
      </c>
      <c r="B1484" t="s">
        <v>574</v>
      </c>
      <c r="C1484" t="s">
        <v>73</v>
      </c>
      <c r="D1484" t="s">
        <v>1873</v>
      </c>
      <c r="E1484" t="s">
        <v>1876</v>
      </c>
      <c r="F1484">
        <v>12560</v>
      </c>
    </row>
    <row r="1485" spans="1:6" x14ac:dyDescent="0.25">
      <c r="A1485" t="s">
        <v>3715</v>
      </c>
      <c r="B1485" t="s">
        <v>574</v>
      </c>
      <c r="C1485" t="s">
        <v>73</v>
      </c>
      <c r="D1485" t="s">
        <v>2437</v>
      </c>
      <c r="E1485" t="s">
        <v>1915</v>
      </c>
      <c r="F1485">
        <v>15449</v>
      </c>
    </row>
    <row r="1486" spans="1:6" x14ac:dyDescent="0.25">
      <c r="A1486" t="s">
        <v>3716</v>
      </c>
      <c r="B1486" t="s">
        <v>577</v>
      </c>
      <c r="C1486" t="s">
        <v>146</v>
      </c>
      <c r="D1486" t="s">
        <v>2119</v>
      </c>
      <c r="E1486" t="s">
        <v>1879</v>
      </c>
      <c r="F1486">
        <v>6677</v>
      </c>
    </row>
    <row r="1487" spans="1:6" x14ac:dyDescent="0.25">
      <c r="A1487" t="s">
        <v>3717</v>
      </c>
      <c r="B1487" t="s">
        <v>577</v>
      </c>
      <c r="C1487" t="s">
        <v>146</v>
      </c>
      <c r="D1487" t="s">
        <v>2434</v>
      </c>
      <c r="E1487" t="s">
        <v>1871</v>
      </c>
      <c r="F1487">
        <v>15269</v>
      </c>
    </row>
    <row r="1488" spans="1:6" x14ac:dyDescent="0.25">
      <c r="A1488" t="s">
        <v>3718</v>
      </c>
      <c r="B1488" t="s">
        <v>577</v>
      </c>
      <c r="C1488" t="s">
        <v>146</v>
      </c>
      <c r="D1488" t="s">
        <v>2509</v>
      </c>
      <c r="E1488" t="s">
        <v>1915</v>
      </c>
      <c r="F1488">
        <v>23553</v>
      </c>
    </row>
    <row r="1489" spans="1:6" x14ac:dyDescent="0.25">
      <c r="A1489" t="s">
        <v>3719</v>
      </c>
      <c r="B1489" t="s">
        <v>577</v>
      </c>
      <c r="C1489" t="s">
        <v>146</v>
      </c>
      <c r="D1489" t="s">
        <v>1947</v>
      </c>
      <c r="E1489" t="s">
        <v>1886</v>
      </c>
      <c r="F1489">
        <v>32001</v>
      </c>
    </row>
    <row r="1490" spans="1:6" x14ac:dyDescent="0.25">
      <c r="A1490" t="s">
        <v>3720</v>
      </c>
      <c r="B1490" t="s">
        <v>577</v>
      </c>
      <c r="C1490" t="s">
        <v>146</v>
      </c>
      <c r="D1490" t="s">
        <v>2014</v>
      </c>
      <c r="E1490" t="s">
        <v>1915</v>
      </c>
      <c r="F1490">
        <v>42665</v>
      </c>
    </row>
    <row r="1491" spans="1:6" x14ac:dyDescent="0.25">
      <c r="A1491" t="s">
        <v>3721</v>
      </c>
      <c r="B1491" t="s">
        <v>577</v>
      </c>
      <c r="C1491" t="s">
        <v>146</v>
      </c>
      <c r="D1491" t="s">
        <v>1878</v>
      </c>
      <c r="E1491" t="s">
        <v>1915</v>
      </c>
      <c r="F1491">
        <v>21088</v>
      </c>
    </row>
    <row r="1492" spans="1:6" x14ac:dyDescent="0.25">
      <c r="A1492" t="s">
        <v>3722</v>
      </c>
      <c r="B1492" t="s">
        <v>577</v>
      </c>
      <c r="C1492" t="s">
        <v>146</v>
      </c>
      <c r="D1492" t="s">
        <v>2137</v>
      </c>
      <c r="E1492" t="s">
        <v>1876</v>
      </c>
      <c r="F1492">
        <v>9863</v>
      </c>
    </row>
    <row r="1493" spans="1:6" x14ac:dyDescent="0.25">
      <c r="A1493" t="s">
        <v>3723</v>
      </c>
      <c r="B1493" t="s">
        <v>577</v>
      </c>
      <c r="C1493" t="s">
        <v>146</v>
      </c>
      <c r="D1493" t="s">
        <v>1996</v>
      </c>
      <c r="E1493" t="s">
        <v>1886</v>
      </c>
      <c r="F1493">
        <v>21139</v>
      </c>
    </row>
    <row r="1494" spans="1:6" x14ac:dyDescent="0.25">
      <c r="A1494" t="s">
        <v>3724</v>
      </c>
      <c r="B1494" t="s">
        <v>577</v>
      </c>
      <c r="C1494" t="s">
        <v>146</v>
      </c>
      <c r="D1494" t="s">
        <v>3119</v>
      </c>
      <c r="E1494" t="s">
        <v>1886</v>
      </c>
      <c r="F1494">
        <v>5260</v>
      </c>
    </row>
    <row r="1495" spans="1:6" x14ac:dyDescent="0.25">
      <c r="A1495" t="s">
        <v>3725</v>
      </c>
      <c r="B1495" t="s">
        <v>577</v>
      </c>
      <c r="C1495" t="s">
        <v>146</v>
      </c>
      <c r="D1495" t="s">
        <v>1988</v>
      </c>
      <c r="E1495" t="s">
        <v>1915</v>
      </c>
      <c r="F1495">
        <v>23800</v>
      </c>
    </row>
    <row r="1496" spans="1:6" x14ac:dyDescent="0.25">
      <c r="A1496" t="s">
        <v>3726</v>
      </c>
      <c r="B1496" t="s">
        <v>577</v>
      </c>
      <c r="C1496" t="s">
        <v>146</v>
      </c>
      <c r="D1496" t="s">
        <v>1931</v>
      </c>
      <c r="E1496" t="s">
        <v>1871</v>
      </c>
      <c r="F1496">
        <v>2923</v>
      </c>
    </row>
    <row r="1497" spans="1:6" x14ac:dyDescent="0.25">
      <c r="A1497" t="s">
        <v>3727</v>
      </c>
      <c r="B1497" t="s">
        <v>577</v>
      </c>
      <c r="C1497" t="s">
        <v>146</v>
      </c>
      <c r="D1497" t="s">
        <v>2061</v>
      </c>
      <c r="E1497" t="s">
        <v>1915</v>
      </c>
      <c r="F1497">
        <v>12889</v>
      </c>
    </row>
    <row r="1498" spans="1:6" x14ac:dyDescent="0.25">
      <c r="A1498" t="s">
        <v>3728</v>
      </c>
      <c r="B1498" t="s">
        <v>580</v>
      </c>
      <c r="C1498" t="s">
        <v>96</v>
      </c>
      <c r="D1498" t="s">
        <v>2042</v>
      </c>
      <c r="E1498" t="s">
        <v>1871</v>
      </c>
      <c r="F1498">
        <v>6075</v>
      </c>
    </row>
    <row r="1499" spans="1:6" x14ac:dyDescent="0.25">
      <c r="A1499" t="s">
        <v>3729</v>
      </c>
      <c r="B1499" t="s">
        <v>580</v>
      </c>
      <c r="C1499" t="s">
        <v>96</v>
      </c>
      <c r="D1499" t="s">
        <v>2009</v>
      </c>
      <c r="E1499" t="s">
        <v>1915</v>
      </c>
      <c r="F1499">
        <v>50383</v>
      </c>
    </row>
    <row r="1500" spans="1:6" x14ac:dyDescent="0.25">
      <c r="A1500" t="s">
        <v>3730</v>
      </c>
      <c r="B1500" t="s">
        <v>580</v>
      </c>
      <c r="C1500" t="s">
        <v>96</v>
      </c>
      <c r="D1500" t="s">
        <v>1945</v>
      </c>
      <c r="E1500" t="s">
        <v>1871</v>
      </c>
      <c r="F1500">
        <v>5777</v>
      </c>
    </row>
    <row r="1501" spans="1:6" x14ac:dyDescent="0.25">
      <c r="A1501" t="s">
        <v>3731</v>
      </c>
      <c r="B1501" t="s">
        <v>580</v>
      </c>
      <c r="C1501" t="s">
        <v>96</v>
      </c>
      <c r="D1501" t="s">
        <v>2032</v>
      </c>
      <c r="E1501" t="s">
        <v>1876</v>
      </c>
      <c r="F1501">
        <v>3156</v>
      </c>
    </row>
    <row r="1502" spans="1:6" x14ac:dyDescent="0.25">
      <c r="A1502" t="s">
        <v>3732</v>
      </c>
      <c r="B1502" t="s">
        <v>580</v>
      </c>
      <c r="C1502" t="s">
        <v>96</v>
      </c>
      <c r="D1502" t="s">
        <v>1939</v>
      </c>
      <c r="E1502" t="s">
        <v>1876</v>
      </c>
      <c r="F1502">
        <v>5381</v>
      </c>
    </row>
    <row r="1503" spans="1:6" x14ac:dyDescent="0.25">
      <c r="A1503" t="s">
        <v>3733</v>
      </c>
      <c r="B1503" t="s">
        <v>580</v>
      </c>
      <c r="C1503" t="s">
        <v>96</v>
      </c>
      <c r="D1503" t="s">
        <v>2610</v>
      </c>
      <c r="E1503" t="s">
        <v>1871</v>
      </c>
      <c r="F1503">
        <v>14469</v>
      </c>
    </row>
    <row r="1504" spans="1:6" x14ac:dyDescent="0.25">
      <c r="A1504" t="s">
        <v>3734</v>
      </c>
      <c r="B1504" t="s">
        <v>580</v>
      </c>
      <c r="C1504" t="s">
        <v>96</v>
      </c>
      <c r="D1504" t="s">
        <v>1990</v>
      </c>
      <c r="E1504" t="s">
        <v>1879</v>
      </c>
      <c r="F1504">
        <v>21402</v>
      </c>
    </row>
    <row r="1505" spans="1:6" x14ac:dyDescent="0.25">
      <c r="A1505" t="s">
        <v>3735</v>
      </c>
      <c r="B1505" t="s">
        <v>580</v>
      </c>
      <c r="C1505" t="s">
        <v>96</v>
      </c>
      <c r="D1505" t="s">
        <v>2409</v>
      </c>
      <c r="E1505" t="s">
        <v>1879</v>
      </c>
      <c r="F1505">
        <v>21561</v>
      </c>
    </row>
    <row r="1506" spans="1:6" x14ac:dyDescent="0.25">
      <c r="A1506" t="s">
        <v>3736</v>
      </c>
      <c r="B1506" t="s">
        <v>580</v>
      </c>
      <c r="C1506" t="s">
        <v>96</v>
      </c>
      <c r="D1506" t="s">
        <v>3110</v>
      </c>
      <c r="E1506" t="s">
        <v>1915</v>
      </c>
      <c r="F1506">
        <v>49629</v>
      </c>
    </row>
    <row r="1507" spans="1:6" x14ac:dyDescent="0.25">
      <c r="A1507" t="s">
        <v>3737</v>
      </c>
      <c r="B1507" t="s">
        <v>580</v>
      </c>
      <c r="C1507" t="s">
        <v>96</v>
      </c>
      <c r="D1507" t="s">
        <v>2064</v>
      </c>
      <c r="E1507" t="s">
        <v>1886</v>
      </c>
      <c r="F1507">
        <v>25780</v>
      </c>
    </row>
    <row r="1508" spans="1:6" x14ac:dyDescent="0.25">
      <c r="A1508" t="s">
        <v>3738</v>
      </c>
      <c r="B1508" t="s">
        <v>580</v>
      </c>
      <c r="C1508" t="s">
        <v>96</v>
      </c>
      <c r="D1508" t="s">
        <v>3486</v>
      </c>
      <c r="E1508" t="s">
        <v>1871</v>
      </c>
      <c r="F1508">
        <v>33059</v>
      </c>
    </row>
    <row r="1509" spans="1:6" x14ac:dyDescent="0.25">
      <c r="A1509" t="s">
        <v>3739</v>
      </c>
      <c r="B1509" t="s">
        <v>582</v>
      </c>
      <c r="C1509" t="s">
        <v>146</v>
      </c>
      <c r="D1509" t="s">
        <v>1904</v>
      </c>
      <c r="E1509" t="s">
        <v>1915</v>
      </c>
      <c r="F1509">
        <v>17249</v>
      </c>
    </row>
    <row r="1510" spans="1:6" x14ac:dyDescent="0.25">
      <c r="A1510" t="s">
        <v>3740</v>
      </c>
      <c r="B1510" t="s">
        <v>582</v>
      </c>
      <c r="C1510" t="s">
        <v>146</v>
      </c>
      <c r="D1510" t="s">
        <v>1975</v>
      </c>
      <c r="E1510" t="s">
        <v>1876</v>
      </c>
      <c r="F1510">
        <v>6831</v>
      </c>
    </row>
    <row r="1511" spans="1:6" x14ac:dyDescent="0.25">
      <c r="A1511" t="s">
        <v>3741</v>
      </c>
      <c r="B1511" t="s">
        <v>582</v>
      </c>
      <c r="C1511" t="s">
        <v>146</v>
      </c>
      <c r="D1511" t="s">
        <v>2126</v>
      </c>
      <c r="E1511" t="s">
        <v>1876</v>
      </c>
      <c r="F1511">
        <v>26494</v>
      </c>
    </row>
    <row r="1512" spans="1:6" x14ac:dyDescent="0.25">
      <c r="A1512" t="s">
        <v>3742</v>
      </c>
      <c r="B1512" t="s">
        <v>582</v>
      </c>
      <c r="C1512" t="s">
        <v>146</v>
      </c>
      <c r="D1512" t="s">
        <v>2544</v>
      </c>
      <c r="E1512" t="s">
        <v>1886</v>
      </c>
      <c r="F1512">
        <v>2832</v>
      </c>
    </row>
    <row r="1513" spans="1:6" x14ac:dyDescent="0.25">
      <c r="A1513" t="s">
        <v>3743</v>
      </c>
      <c r="B1513" t="s">
        <v>582</v>
      </c>
      <c r="C1513" t="s">
        <v>146</v>
      </c>
      <c r="D1513" t="s">
        <v>2134</v>
      </c>
      <c r="E1513" t="s">
        <v>1876</v>
      </c>
      <c r="F1513">
        <v>35827</v>
      </c>
    </row>
    <row r="1514" spans="1:6" x14ac:dyDescent="0.25">
      <c r="A1514" t="s">
        <v>3744</v>
      </c>
      <c r="B1514" t="s">
        <v>582</v>
      </c>
      <c r="C1514" t="s">
        <v>146</v>
      </c>
      <c r="D1514" t="s">
        <v>2210</v>
      </c>
      <c r="E1514" t="s">
        <v>1879</v>
      </c>
      <c r="F1514">
        <v>13881</v>
      </c>
    </row>
    <row r="1515" spans="1:6" x14ac:dyDescent="0.25">
      <c r="A1515" t="s">
        <v>3745</v>
      </c>
      <c r="B1515" t="s">
        <v>582</v>
      </c>
      <c r="C1515" t="s">
        <v>146</v>
      </c>
      <c r="D1515" t="s">
        <v>2300</v>
      </c>
      <c r="E1515" t="s">
        <v>1871</v>
      </c>
      <c r="F1515">
        <v>8760</v>
      </c>
    </row>
    <row r="1516" spans="1:6" x14ac:dyDescent="0.25">
      <c r="A1516" t="s">
        <v>3746</v>
      </c>
      <c r="B1516" t="s">
        <v>582</v>
      </c>
      <c r="C1516" t="s">
        <v>146</v>
      </c>
      <c r="D1516" t="s">
        <v>2218</v>
      </c>
      <c r="E1516" t="s">
        <v>1915</v>
      </c>
      <c r="F1516">
        <v>20609</v>
      </c>
    </row>
    <row r="1517" spans="1:6" x14ac:dyDescent="0.25">
      <c r="A1517" t="s">
        <v>3747</v>
      </c>
      <c r="B1517" t="s">
        <v>582</v>
      </c>
      <c r="C1517" t="s">
        <v>146</v>
      </c>
      <c r="D1517" t="s">
        <v>3110</v>
      </c>
      <c r="E1517" t="s">
        <v>1871</v>
      </c>
      <c r="F1517">
        <v>18324</v>
      </c>
    </row>
    <row r="1518" spans="1:6" x14ac:dyDescent="0.25">
      <c r="A1518" t="s">
        <v>3748</v>
      </c>
      <c r="B1518" t="s">
        <v>582</v>
      </c>
      <c r="C1518" t="s">
        <v>146</v>
      </c>
      <c r="D1518" t="s">
        <v>2350</v>
      </c>
      <c r="E1518" t="s">
        <v>1915</v>
      </c>
      <c r="F1518">
        <v>14830</v>
      </c>
    </row>
    <row r="1519" spans="1:6" x14ac:dyDescent="0.25">
      <c r="A1519" t="s">
        <v>3749</v>
      </c>
      <c r="B1519" t="s">
        <v>582</v>
      </c>
      <c r="C1519" t="s">
        <v>146</v>
      </c>
      <c r="D1519" t="s">
        <v>2265</v>
      </c>
      <c r="E1519" t="s">
        <v>1915</v>
      </c>
      <c r="F1519">
        <v>46782</v>
      </c>
    </row>
    <row r="1520" spans="1:6" x14ac:dyDescent="0.25">
      <c r="A1520" t="s">
        <v>3750</v>
      </c>
      <c r="B1520" t="s">
        <v>582</v>
      </c>
      <c r="C1520" t="s">
        <v>146</v>
      </c>
      <c r="D1520" t="s">
        <v>2529</v>
      </c>
      <c r="E1520" t="s">
        <v>1871</v>
      </c>
      <c r="F1520">
        <v>27763</v>
      </c>
    </row>
    <row r="1521" spans="1:6" x14ac:dyDescent="0.25">
      <c r="A1521" t="s">
        <v>3751</v>
      </c>
      <c r="B1521" t="s">
        <v>585</v>
      </c>
      <c r="C1521" t="s">
        <v>146</v>
      </c>
      <c r="D1521" t="s">
        <v>1953</v>
      </c>
      <c r="E1521" t="s">
        <v>1886</v>
      </c>
      <c r="F1521">
        <v>31398</v>
      </c>
    </row>
    <row r="1522" spans="1:6" x14ac:dyDescent="0.25">
      <c r="A1522" t="s">
        <v>3752</v>
      </c>
      <c r="B1522" t="s">
        <v>585</v>
      </c>
      <c r="C1522" t="s">
        <v>146</v>
      </c>
      <c r="D1522" t="s">
        <v>2212</v>
      </c>
      <c r="E1522" t="s">
        <v>1915</v>
      </c>
      <c r="F1522">
        <v>27977</v>
      </c>
    </row>
    <row r="1523" spans="1:6" x14ac:dyDescent="0.25">
      <c r="A1523" t="s">
        <v>3753</v>
      </c>
      <c r="B1523" t="s">
        <v>585</v>
      </c>
      <c r="C1523" t="s">
        <v>146</v>
      </c>
      <c r="D1523" t="s">
        <v>1951</v>
      </c>
      <c r="E1523" t="s">
        <v>1871</v>
      </c>
      <c r="F1523">
        <v>27091</v>
      </c>
    </row>
    <row r="1524" spans="1:6" x14ac:dyDescent="0.25">
      <c r="A1524" t="s">
        <v>3754</v>
      </c>
      <c r="B1524" t="s">
        <v>585</v>
      </c>
      <c r="C1524" t="s">
        <v>146</v>
      </c>
      <c r="D1524" t="s">
        <v>1978</v>
      </c>
      <c r="E1524" t="s">
        <v>1886</v>
      </c>
      <c r="F1524">
        <v>22642</v>
      </c>
    </row>
    <row r="1525" spans="1:6" x14ac:dyDescent="0.25">
      <c r="A1525" t="s">
        <v>3755</v>
      </c>
      <c r="B1525" t="s">
        <v>585</v>
      </c>
      <c r="C1525" t="s">
        <v>146</v>
      </c>
      <c r="D1525" t="s">
        <v>1943</v>
      </c>
      <c r="E1525" t="s">
        <v>1915</v>
      </c>
      <c r="F1525">
        <v>53068</v>
      </c>
    </row>
    <row r="1526" spans="1:6" x14ac:dyDescent="0.25">
      <c r="A1526" t="s">
        <v>3756</v>
      </c>
      <c r="B1526" t="s">
        <v>585</v>
      </c>
      <c r="C1526" t="s">
        <v>146</v>
      </c>
      <c r="D1526" t="s">
        <v>2159</v>
      </c>
      <c r="E1526" t="s">
        <v>1879</v>
      </c>
      <c r="F1526">
        <v>18197</v>
      </c>
    </row>
    <row r="1527" spans="1:6" x14ac:dyDescent="0.25">
      <c r="A1527" t="s">
        <v>3757</v>
      </c>
      <c r="B1527" t="s">
        <v>585</v>
      </c>
      <c r="C1527" t="s">
        <v>146</v>
      </c>
      <c r="D1527" t="s">
        <v>2286</v>
      </c>
      <c r="E1527" t="s">
        <v>1879</v>
      </c>
      <c r="F1527">
        <v>31381</v>
      </c>
    </row>
    <row r="1528" spans="1:6" x14ac:dyDescent="0.25">
      <c r="A1528" t="s">
        <v>3758</v>
      </c>
      <c r="B1528" t="s">
        <v>585</v>
      </c>
      <c r="C1528" t="s">
        <v>146</v>
      </c>
      <c r="D1528" t="s">
        <v>1910</v>
      </c>
      <c r="E1528" t="s">
        <v>1886</v>
      </c>
      <c r="F1528">
        <v>15387</v>
      </c>
    </row>
    <row r="1529" spans="1:6" x14ac:dyDescent="0.25">
      <c r="A1529" t="s">
        <v>3759</v>
      </c>
      <c r="B1529" t="s">
        <v>585</v>
      </c>
      <c r="C1529" t="s">
        <v>146</v>
      </c>
      <c r="D1529" t="s">
        <v>2224</v>
      </c>
      <c r="E1529" t="s">
        <v>1876</v>
      </c>
      <c r="F1529">
        <v>21233</v>
      </c>
    </row>
    <row r="1530" spans="1:6" x14ac:dyDescent="0.25">
      <c r="A1530" t="s">
        <v>3760</v>
      </c>
      <c r="B1530" t="s">
        <v>588</v>
      </c>
      <c r="C1530" t="s">
        <v>146</v>
      </c>
      <c r="D1530" t="s">
        <v>1902</v>
      </c>
      <c r="E1530" t="s">
        <v>1871</v>
      </c>
      <c r="F1530">
        <v>20529</v>
      </c>
    </row>
    <row r="1531" spans="1:6" x14ac:dyDescent="0.25">
      <c r="A1531" t="s">
        <v>3761</v>
      </c>
      <c r="B1531" t="s">
        <v>588</v>
      </c>
      <c r="C1531" t="s">
        <v>146</v>
      </c>
      <c r="D1531" t="s">
        <v>2295</v>
      </c>
      <c r="E1531" t="s">
        <v>1879</v>
      </c>
      <c r="F1531">
        <v>31463</v>
      </c>
    </row>
    <row r="1532" spans="1:6" x14ac:dyDescent="0.25">
      <c r="A1532" t="s">
        <v>3762</v>
      </c>
      <c r="B1532" t="s">
        <v>588</v>
      </c>
      <c r="C1532" t="s">
        <v>146</v>
      </c>
      <c r="D1532" t="s">
        <v>2978</v>
      </c>
      <c r="E1532" t="s">
        <v>1871</v>
      </c>
      <c r="F1532">
        <v>22918</v>
      </c>
    </row>
    <row r="1533" spans="1:6" x14ac:dyDescent="0.25">
      <c r="A1533" t="s">
        <v>3763</v>
      </c>
      <c r="B1533" t="s">
        <v>588</v>
      </c>
      <c r="C1533" t="s">
        <v>146</v>
      </c>
      <c r="D1533" t="s">
        <v>3110</v>
      </c>
      <c r="E1533" t="s">
        <v>1879</v>
      </c>
      <c r="F1533">
        <v>578</v>
      </c>
    </row>
    <row r="1534" spans="1:6" x14ac:dyDescent="0.25">
      <c r="A1534" t="s">
        <v>3764</v>
      </c>
      <c r="B1534" t="s">
        <v>588</v>
      </c>
      <c r="C1534" t="s">
        <v>146</v>
      </c>
      <c r="D1534" t="s">
        <v>2218</v>
      </c>
      <c r="E1534" t="s">
        <v>1871</v>
      </c>
      <c r="F1534">
        <v>37042</v>
      </c>
    </row>
    <row r="1535" spans="1:6" x14ac:dyDescent="0.25">
      <c r="A1535" t="s">
        <v>3765</v>
      </c>
      <c r="B1535" t="s">
        <v>588</v>
      </c>
      <c r="C1535" t="s">
        <v>146</v>
      </c>
      <c r="D1535" t="s">
        <v>2488</v>
      </c>
      <c r="E1535" t="s">
        <v>1915</v>
      </c>
      <c r="F1535">
        <v>10030</v>
      </c>
    </row>
    <row r="1536" spans="1:6" x14ac:dyDescent="0.25">
      <c r="A1536" t="s">
        <v>3766</v>
      </c>
      <c r="B1536" t="s">
        <v>588</v>
      </c>
      <c r="C1536" t="s">
        <v>146</v>
      </c>
      <c r="D1536" t="s">
        <v>2234</v>
      </c>
      <c r="E1536" t="s">
        <v>1886</v>
      </c>
      <c r="F1536">
        <v>14752</v>
      </c>
    </row>
    <row r="1537" spans="1:6" x14ac:dyDescent="0.25">
      <c r="A1537" t="s">
        <v>3767</v>
      </c>
      <c r="B1537" t="s">
        <v>588</v>
      </c>
      <c r="C1537" t="s">
        <v>146</v>
      </c>
      <c r="D1537" t="s">
        <v>2018</v>
      </c>
      <c r="E1537" t="s">
        <v>1886</v>
      </c>
      <c r="F1537">
        <v>2149</v>
      </c>
    </row>
    <row r="1538" spans="1:6" x14ac:dyDescent="0.25">
      <c r="A1538" t="s">
        <v>3768</v>
      </c>
      <c r="B1538" t="s">
        <v>588</v>
      </c>
      <c r="C1538" t="s">
        <v>146</v>
      </c>
      <c r="D1538" t="s">
        <v>2002</v>
      </c>
      <c r="E1538" t="s">
        <v>1879</v>
      </c>
      <c r="F1538">
        <v>19829</v>
      </c>
    </row>
    <row r="1539" spans="1:6" x14ac:dyDescent="0.25">
      <c r="A1539" t="s">
        <v>3769</v>
      </c>
      <c r="B1539" t="s">
        <v>588</v>
      </c>
      <c r="C1539" t="s">
        <v>146</v>
      </c>
      <c r="D1539" t="s">
        <v>2382</v>
      </c>
      <c r="E1539" t="s">
        <v>1876</v>
      </c>
      <c r="F1539">
        <v>25511</v>
      </c>
    </row>
    <row r="1540" spans="1:6" x14ac:dyDescent="0.25">
      <c r="A1540" t="s">
        <v>3770</v>
      </c>
      <c r="B1540" t="s">
        <v>591</v>
      </c>
      <c r="C1540" t="s">
        <v>51</v>
      </c>
      <c r="D1540" t="s">
        <v>2218</v>
      </c>
      <c r="E1540" t="s">
        <v>1879</v>
      </c>
      <c r="F1540">
        <v>45381</v>
      </c>
    </row>
    <row r="1541" spans="1:6" x14ac:dyDescent="0.25">
      <c r="A1541" t="s">
        <v>3771</v>
      </c>
      <c r="B1541" t="s">
        <v>591</v>
      </c>
      <c r="C1541" t="s">
        <v>51</v>
      </c>
      <c r="D1541" t="s">
        <v>2055</v>
      </c>
      <c r="E1541" t="s">
        <v>1876</v>
      </c>
      <c r="F1541">
        <v>7587</v>
      </c>
    </row>
    <row r="1542" spans="1:6" x14ac:dyDescent="0.25">
      <c r="A1542" t="s">
        <v>3772</v>
      </c>
      <c r="B1542" t="s">
        <v>591</v>
      </c>
      <c r="C1542" t="s">
        <v>51</v>
      </c>
      <c r="D1542" t="s">
        <v>2488</v>
      </c>
      <c r="E1542" t="s">
        <v>1915</v>
      </c>
      <c r="F1542">
        <v>41269</v>
      </c>
    </row>
    <row r="1543" spans="1:6" x14ac:dyDescent="0.25">
      <c r="A1543" t="s">
        <v>3773</v>
      </c>
      <c r="B1543" t="s">
        <v>591</v>
      </c>
      <c r="C1543" t="s">
        <v>51</v>
      </c>
      <c r="D1543" t="s">
        <v>2401</v>
      </c>
      <c r="E1543" t="s">
        <v>1915</v>
      </c>
      <c r="F1543">
        <v>53579</v>
      </c>
    </row>
    <row r="1544" spans="1:6" x14ac:dyDescent="0.25">
      <c r="A1544" t="s">
        <v>3774</v>
      </c>
      <c r="B1544" t="s">
        <v>591</v>
      </c>
      <c r="C1544" t="s">
        <v>51</v>
      </c>
      <c r="D1544" t="s">
        <v>2341</v>
      </c>
      <c r="E1544" t="s">
        <v>1871</v>
      </c>
      <c r="F1544">
        <v>8501</v>
      </c>
    </row>
    <row r="1545" spans="1:6" x14ac:dyDescent="0.25">
      <c r="A1545" t="s">
        <v>3775</v>
      </c>
      <c r="B1545" t="s">
        <v>591</v>
      </c>
      <c r="C1545" t="s">
        <v>51</v>
      </c>
      <c r="D1545" t="s">
        <v>1875</v>
      </c>
      <c r="E1545" t="s">
        <v>1915</v>
      </c>
      <c r="F1545">
        <v>4753</v>
      </c>
    </row>
    <row r="1546" spans="1:6" x14ac:dyDescent="0.25">
      <c r="A1546" t="s">
        <v>3776</v>
      </c>
      <c r="B1546" t="s">
        <v>591</v>
      </c>
      <c r="C1546" t="s">
        <v>51</v>
      </c>
      <c r="D1546" t="s">
        <v>2286</v>
      </c>
      <c r="E1546" t="s">
        <v>1876</v>
      </c>
      <c r="F1546">
        <v>35861</v>
      </c>
    </row>
    <row r="1547" spans="1:6" x14ac:dyDescent="0.25">
      <c r="A1547" t="s">
        <v>3777</v>
      </c>
      <c r="B1547" t="s">
        <v>591</v>
      </c>
      <c r="C1547" t="s">
        <v>51</v>
      </c>
      <c r="D1547" t="s">
        <v>2093</v>
      </c>
      <c r="E1547" t="s">
        <v>1915</v>
      </c>
      <c r="F1547">
        <v>7334</v>
      </c>
    </row>
    <row r="1548" spans="1:6" x14ac:dyDescent="0.25">
      <c r="A1548" t="s">
        <v>3778</v>
      </c>
      <c r="B1548" t="s">
        <v>591</v>
      </c>
      <c r="C1548" t="s">
        <v>51</v>
      </c>
      <c r="D1548" t="s">
        <v>2114</v>
      </c>
      <c r="E1548" t="s">
        <v>1879</v>
      </c>
      <c r="F1548">
        <v>5161</v>
      </c>
    </row>
    <row r="1549" spans="1:6" x14ac:dyDescent="0.25">
      <c r="A1549" t="s">
        <v>3779</v>
      </c>
      <c r="B1549" t="s">
        <v>591</v>
      </c>
      <c r="C1549" t="s">
        <v>51</v>
      </c>
      <c r="D1549" t="s">
        <v>1925</v>
      </c>
      <c r="E1549" t="s">
        <v>1879</v>
      </c>
      <c r="F1549">
        <v>36617</v>
      </c>
    </row>
    <row r="1550" spans="1:6" x14ac:dyDescent="0.25">
      <c r="A1550" t="s">
        <v>3780</v>
      </c>
      <c r="B1550" t="s">
        <v>594</v>
      </c>
      <c r="C1550" t="s">
        <v>73</v>
      </c>
      <c r="D1550" t="s">
        <v>2014</v>
      </c>
      <c r="E1550" t="s">
        <v>1915</v>
      </c>
      <c r="F1550">
        <v>6157</v>
      </c>
    </row>
    <row r="1551" spans="1:6" x14ac:dyDescent="0.25">
      <c r="A1551" t="s">
        <v>3781</v>
      </c>
      <c r="B1551" t="s">
        <v>594</v>
      </c>
      <c r="C1551" t="s">
        <v>73</v>
      </c>
      <c r="D1551" t="s">
        <v>2151</v>
      </c>
      <c r="E1551" t="s">
        <v>1876</v>
      </c>
      <c r="F1551">
        <v>22205</v>
      </c>
    </row>
    <row r="1552" spans="1:6" x14ac:dyDescent="0.25">
      <c r="A1552" t="s">
        <v>3782</v>
      </c>
      <c r="B1552" t="s">
        <v>594</v>
      </c>
      <c r="C1552" t="s">
        <v>73</v>
      </c>
      <c r="D1552" t="s">
        <v>3047</v>
      </c>
      <c r="E1552" t="s">
        <v>1871</v>
      </c>
      <c r="F1552">
        <v>10485</v>
      </c>
    </row>
    <row r="1553" spans="1:6" x14ac:dyDescent="0.25">
      <c r="A1553" t="s">
        <v>3783</v>
      </c>
      <c r="B1553" t="s">
        <v>594</v>
      </c>
      <c r="C1553" t="s">
        <v>73</v>
      </c>
      <c r="D1553" t="s">
        <v>2212</v>
      </c>
      <c r="E1553" t="s">
        <v>1876</v>
      </c>
      <c r="F1553">
        <v>692</v>
      </c>
    </row>
    <row r="1554" spans="1:6" x14ac:dyDescent="0.25">
      <c r="A1554" t="s">
        <v>3784</v>
      </c>
      <c r="B1554" t="s">
        <v>594</v>
      </c>
      <c r="C1554" t="s">
        <v>73</v>
      </c>
      <c r="D1554" t="s">
        <v>3785</v>
      </c>
      <c r="E1554" t="s">
        <v>1879</v>
      </c>
      <c r="F1554">
        <v>20261</v>
      </c>
    </row>
    <row r="1555" spans="1:6" x14ac:dyDescent="0.25">
      <c r="A1555" t="s">
        <v>3786</v>
      </c>
      <c r="B1555" t="s">
        <v>594</v>
      </c>
      <c r="C1555" t="s">
        <v>73</v>
      </c>
      <c r="D1555" t="s">
        <v>2722</v>
      </c>
      <c r="E1555" t="s">
        <v>1879</v>
      </c>
      <c r="F1555">
        <v>16232</v>
      </c>
    </row>
    <row r="1556" spans="1:6" x14ac:dyDescent="0.25">
      <c r="A1556" t="s">
        <v>3787</v>
      </c>
      <c r="B1556" t="s">
        <v>594</v>
      </c>
      <c r="C1556" t="s">
        <v>73</v>
      </c>
      <c r="D1556" t="s">
        <v>1939</v>
      </c>
      <c r="E1556" t="s">
        <v>1879</v>
      </c>
      <c r="F1556">
        <v>6528</v>
      </c>
    </row>
    <row r="1557" spans="1:6" x14ac:dyDescent="0.25">
      <c r="A1557" t="s">
        <v>3788</v>
      </c>
      <c r="B1557" t="s">
        <v>594</v>
      </c>
      <c r="C1557" t="s">
        <v>73</v>
      </c>
      <c r="D1557" t="s">
        <v>2326</v>
      </c>
      <c r="E1557" t="s">
        <v>1879</v>
      </c>
      <c r="F1557">
        <v>9941</v>
      </c>
    </row>
    <row r="1558" spans="1:6" x14ac:dyDescent="0.25">
      <c r="A1558" t="s">
        <v>3789</v>
      </c>
      <c r="B1558" t="s">
        <v>594</v>
      </c>
      <c r="C1558" t="s">
        <v>73</v>
      </c>
      <c r="D1558" t="s">
        <v>2404</v>
      </c>
      <c r="E1558" t="s">
        <v>1915</v>
      </c>
      <c r="F1558">
        <v>7707</v>
      </c>
    </row>
    <row r="1559" spans="1:6" x14ac:dyDescent="0.25">
      <c r="A1559" t="s">
        <v>3790</v>
      </c>
      <c r="B1559" t="s">
        <v>597</v>
      </c>
      <c r="C1559" t="s">
        <v>87</v>
      </c>
      <c r="D1559" t="s">
        <v>1896</v>
      </c>
      <c r="E1559" t="s">
        <v>1876</v>
      </c>
      <c r="F1559">
        <v>6344</v>
      </c>
    </row>
    <row r="1560" spans="1:6" x14ac:dyDescent="0.25">
      <c r="A1560" t="s">
        <v>3791</v>
      </c>
      <c r="B1560" t="s">
        <v>597</v>
      </c>
      <c r="C1560" t="s">
        <v>87</v>
      </c>
      <c r="D1560" t="s">
        <v>2445</v>
      </c>
      <c r="E1560" t="s">
        <v>1915</v>
      </c>
      <c r="F1560">
        <v>13898</v>
      </c>
    </row>
    <row r="1561" spans="1:6" x14ac:dyDescent="0.25">
      <c r="A1561" t="s">
        <v>3792</v>
      </c>
      <c r="B1561" t="s">
        <v>597</v>
      </c>
      <c r="C1561" t="s">
        <v>87</v>
      </c>
      <c r="D1561" t="s">
        <v>2466</v>
      </c>
      <c r="E1561" t="s">
        <v>1876</v>
      </c>
      <c r="F1561">
        <v>11780</v>
      </c>
    </row>
    <row r="1562" spans="1:6" x14ac:dyDescent="0.25">
      <c r="A1562" t="s">
        <v>3793</v>
      </c>
      <c r="B1562" t="s">
        <v>597</v>
      </c>
      <c r="C1562" t="s">
        <v>87</v>
      </c>
      <c r="D1562" t="s">
        <v>2020</v>
      </c>
      <c r="E1562" t="s">
        <v>1886</v>
      </c>
      <c r="F1562">
        <v>27092</v>
      </c>
    </row>
    <row r="1563" spans="1:6" x14ac:dyDescent="0.25">
      <c r="A1563" t="s">
        <v>3794</v>
      </c>
      <c r="B1563" t="s">
        <v>597</v>
      </c>
      <c r="C1563" t="s">
        <v>87</v>
      </c>
      <c r="D1563" t="s">
        <v>2352</v>
      </c>
      <c r="E1563" t="s">
        <v>1879</v>
      </c>
      <c r="F1563">
        <v>4305</v>
      </c>
    </row>
    <row r="1564" spans="1:6" x14ac:dyDescent="0.25">
      <c r="A1564" t="s">
        <v>3795</v>
      </c>
      <c r="B1564" t="s">
        <v>597</v>
      </c>
      <c r="C1564" t="s">
        <v>87</v>
      </c>
      <c r="D1564" t="s">
        <v>1925</v>
      </c>
      <c r="E1564" t="s">
        <v>1915</v>
      </c>
      <c r="F1564">
        <v>9769</v>
      </c>
    </row>
    <row r="1565" spans="1:6" x14ac:dyDescent="0.25">
      <c r="A1565" t="s">
        <v>3796</v>
      </c>
      <c r="B1565" t="s">
        <v>597</v>
      </c>
      <c r="C1565" t="s">
        <v>87</v>
      </c>
      <c r="D1565" t="s">
        <v>2539</v>
      </c>
      <c r="E1565" t="s">
        <v>1871</v>
      </c>
      <c r="F1565">
        <v>5435</v>
      </c>
    </row>
    <row r="1566" spans="1:6" x14ac:dyDescent="0.25">
      <c r="A1566" t="s">
        <v>3797</v>
      </c>
      <c r="B1566" t="s">
        <v>597</v>
      </c>
      <c r="C1566" t="s">
        <v>87</v>
      </c>
      <c r="D1566" t="s">
        <v>2522</v>
      </c>
      <c r="E1566" t="s">
        <v>1886</v>
      </c>
      <c r="F1566">
        <v>31135</v>
      </c>
    </row>
    <row r="1567" spans="1:6" x14ac:dyDescent="0.25">
      <c r="A1567" t="s">
        <v>3798</v>
      </c>
      <c r="B1567" t="s">
        <v>597</v>
      </c>
      <c r="C1567" t="s">
        <v>87</v>
      </c>
      <c r="D1567" t="s">
        <v>1697</v>
      </c>
      <c r="E1567" t="s">
        <v>1886</v>
      </c>
      <c r="F1567">
        <v>16813</v>
      </c>
    </row>
    <row r="1568" spans="1:6" x14ac:dyDescent="0.25">
      <c r="A1568" t="s">
        <v>3799</v>
      </c>
      <c r="B1568" t="s">
        <v>600</v>
      </c>
      <c r="C1568" t="s">
        <v>146</v>
      </c>
      <c r="D1568" t="s">
        <v>2507</v>
      </c>
      <c r="E1568" t="s">
        <v>1876</v>
      </c>
      <c r="F1568">
        <v>33076</v>
      </c>
    </row>
    <row r="1569" spans="1:6" x14ac:dyDescent="0.25">
      <c r="A1569" t="s">
        <v>3800</v>
      </c>
      <c r="B1569" t="s">
        <v>600</v>
      </c>
      <c r="C1569" t="s">
        <v>146</v>
      </c>
      <c r="D1569" t="s">
        <v>1994</v>
      </c>
      <c r="E1569" t="s">
        <v>1876</v>
      </c>
      <c r="F1569">
        <v>2564</v>
      </c>
    </row>
    <row r="1570" spans="1:6" x14ac:dyDescent="0.25">
      <c r="A1570" t="s">
        <v>3801</v>
      </c>
      <c r="B1570" t="s">
        <v>600</v>
      </c>
      <c r="C1570" t="s">
        <v>146</v>
      </c>
      <c r="D1570" t="s">
        <v>2093</v>
      </c>
      <c r="E1570" t="s">
        <v>1879</v>
      </c>
      <c r="F1570">
        <v>30796</v>
      </c>
    </row>
    <row r="1571" spans="1:6" x14ac:dyDescent="0.25">
      <c r="A1571" t="s">
        <v>3802</v>
      </c>
      <c r="B1571" t="s">
        <v>600</v>
      </c>
      <c r="C1571" t="s">
        <v>146</v>
      </c>
      <c r="D1571" t="s">
        <v>2939</v>
      </c>
      <c r="E1571" t="s">
        <v>1915</v>
      </c>
      <c r="F1571">
        <v>40672</v>
      </c>
    </row>
    <row r="1572" spans="1:6" x14ac:dyDescent="0.25">
      <c r="A1572" t="s">
        <v>3803</v>
      </c>
      <c r="B1572" t="s">
        <v>600</v>
      </c>
      <c r="C1572" t="s">
        <v>146</v>
      </c>
      <c r="D1572" t="s">
        <v>2775</v>
      </c>
      <c r="E1572" t="s">
        <v>1879</v>
      </c>
      <c r="F1572">
        <v>18171</v>
      </c>
    </row>
    <row r="1573" spans="1:6" x14ac:dyDescent="0.25">
      <c r="A1573" t="s">
        <v>3804</v>
      </c>
      <c r="B1573" t="s">
        <v>600</v>
      </c>
      <c r="C1573" t="s">
        <v>146</v>
      </c>
      <c r="D1573" t="s">
        <v>1870</v>
      </c>
      <c r="E1573" t="s">
        <v>1886</v>
      </c>
      <c r="F1573">
        <v>6175</v>
      </c>
    </row>
    <row r="1574" spans="1:6" x14ac:dyDescent="0.25">
      <c r="A1574" t="s">
        <v>3805</v>
      </c>
      <c r="B1574" t="s">
        <v>600</v>
      </c>
      <c r="C1574" t="s">
        <v>146</v>
      </c>
      <c r="D1574" t="s">
        <v>2894</v>
      </c>
      <c r="E1574" t="s">
        <v>1915</v>
      </c>
      <c r="F1574">
        <v>25838</v>
      </c>
    </row>
    <row r="1575" spans="1:6" x14ac:dyDescent="0.25">
      <c r="A1575" t="s">
        <v>3806</v>
      </c>
      <c r="B1575" t="s">
        <v>600</v>
      </c>
      <c r="C1575" t="s">
        <v>146</v>
      </c>
      <c r="D1575" t="s">
        <v>2352</v>
      </c>
      <c r="E1575" t="s">
        <v>1886</v>
      </c>
      <c r="F1575">
        <v>11517</v>
      </c>
    </row>
    <row r="1576" spans="1:6" x14ac:dyDescent="0.25">
      <c r="A1576" t="s">
        <v>3807</v>
      </c>
      <c r="B1576" t="s">
        <v>600</v>
      </c>
      <c r="C1576" t="s">
        <v>146</v>
      </c>
      <c r="D1576" t="s">
        <v>3785</v>
      </c>
      <c r="E1576" t="s">
        <v>1915</v>
      </c>
      <c r="F1576">
        <v>10598</v>
      </c>
    </row>
    <row r="1577" spans="1:6" x14ac:dyDescent="0.25">
      <c r="A1577" t="s">
        <v>3808</v>
      </c>
      <c r="B1577" t="s">
        <v>600</v>
      </c>
      <c r="C1577" t="s">
        <v>146</v>
      </c>
      <c r="D1577" t="s">
        <v>2745</v>
      </c>
      <c r="E1577" t="s">
        <v>1871</v>
      </c>
      <c r="F1577">
        <v>7798</v>
      </c>
    </row>
    <row r="1578" spans="1:6" x14ac:dyDescent="0.25">
      <c r="A1578" t="s">
        <v>3809</v>
      </c>
      <c r="B1578" t="s">
        <v>600</v>
      </c>
      <c r="C1578" t="s">
        <v>146</v>
      </c>
      <c r="D1578" t="s">
        <v>1937</v>
      </c>
      <c r="E1578" t="s">
        <v>1876</v>
      </c>
      <c r="F1578">
        <v>3730</v>
      </c>
    </row>
    <row r="1579" spans="1:6" x14ac:dyDescent="0.25">
      <c r="A1579" t="s">
        <v>3810</v>
      </c>
      <c r="B1579" t="s">
        <v>600</v>
      </c>
      <c r="C1579" t="s">
        <v>146</v>
      </c>
      <c r="D1579" t="s">
        <v>3105</v>
      </c>
      <c r="E1579" t="s">
        <v>1871</v>
      </c>
      <c r="F1579">
        <v>12206</v>
      </c>
    </row>
    <row r="1580" spans="1:6" x14ac:dyDescent="0.25">
      <c r="A1580" t="s">
        <v>3811</v>
      </c>
      <c r="B1580" t="s">
        <v>603</v>
      </c>
      <c r="C1580" t="s">
        <v>51</v>
      </c>
      <c r="D1580" t="s">
        <v>2068</v>
      </c>
      <c r="E1580" t="s">
        <v>1879</v>
      </c>
      <c r="F1580">
        <v>8232</v>
      </c>
    </row>
    <row r="1581" spans="1:6" x14ac:dyDescent="0.25">
      <c r="A1581" t="s">
        <v>3812</v>
      </c>
      <c r="B1581" t="s">
        <v>603</v>
      </c>
      <c r="C1581" t="s">
        <v>51</v>
      </c>
      <c r="D1581" t="s">
        <v>2756</v>
      </c>
      <c r="E1581" t="s">
        <v>1879</v>
      </c>
      <c r="F1581">
        <v>2739</v>
      </c>
    </row>
    <row r="1582" spans="1:6" x14ac:dyDescent="0.25">
      <c r="A1582" t="s">
        <v>3813</v>
      </c>
      <c r="B1582" t="s">
        <v>603</v>
      </c>
      <c r="C1582" t="s">
        <v>51</v>
      </c>
      <c r="D1582" t="s">
        <v>2111</v>
      </c>
      <c r="E1582" t="s">
        <v>1915</v>
      </c>
      <c r="F1582">
        <v>1139</v>
      </c>
    </row>
    <row r="1583" spans="1:6" x14ac:dyDescent="0.25">
      <c r="A1583" t="s">
        <v>3814</v>
      </c>
      <c r="B1583" t="s">
        <v>603</v>
      </c>
      <c r="C1583" t="s">
        <v>51</v>
      </c>
      <c r="D1583" t="s">
        <v>1917</v>
      </c>
      <c r="E1583" t="s">
        <v>1871</v>
      </c>
      <c r="F1583">
        <v>10210</v>
      </c>
    </row>
    <row r="1584" spans="1:6" x14ac:dyDescent="0.25">
      <c r="A1584" t="s">
        <v>3815</v>
      </c>
      <c r="B1584" t="s">
        <v>603</v>
      </c>
      <c r="C1584" t="s">
        <v>51</v>
      </c>
      <c r="D1584" t="s">
        <v>3252</v>
      </c>
      <c r="E1584" t="s">
        <v>1871</v>
      </c>
      <c r="F1584">
        <v>12718</v>
      </c>
    </row>
    <row r="1585" spans="1:6" x14ac:dyDescent="0.25">
      <c r="A1585" t="s">
        <v>3816</v>
      </c>
      <c r="B1585" t="s">
        <v>603</v>
      </c>
      <c r="C1585" t="s">
        <v>51</v>
      </c>
      <c r="D1585" t="s">
        <v>2855</v>
      </c>
      <c r="E1585" t="s">
        <v>1915</v>
      </c>
      <c r="F1585">
        <v>14137</v>
      </c>
    </row>
    <row r="1586" spans="1:6" x14ac:dyDescent="0.25">
      <c r="A1586" t="s">
        <v>3817</v>
      </c>
      <c r="B1586" t="s">
        <v>606</v>
      </c>
      <c r="C1586" t="s">
        <v>146</v>
      </c>
      <c r="D1586" t="s">
        <v>1870</v>
      </c>
      <c r="E1586" t="s">
        <v>1871</v>
      </c>
      <c r="F1586">
        <v>8158</v>
      </c>
    </row>
    <row r="1587" spans="1:6" x14ac:dyDescent="0.25">
      <c r="A1587" t="s">
        <v>3818</v>
      </c>
      <c r="B1587" t="s">
        <v>606</v>
      </c>
      <c r="C1587" t="s">
        <v>146</v>
      </c>
      <c r="D1587" t="s">
        <v>2284</v>
      </c>
      <c r="E1587" t="s">
        <v>1915</v>
      </c>
      <c r="F1587">
        <v>13498</v>
      </c>
    </row>
    <row r="1588" spans="1:6" x14ac:dyDescent="0.25">
      <c r="A1588" t="s">
        <v>3819</v>
      </c>
      <c r="B1588" t="s">
        <v>606</v>
      </c>
      <c r="C1588" t="s">
        <v>146</v>
      </c>
      <c r="D1588" t="s">
        <v>2134</v>
      </c>
      <c r="E1588" t="s">
        <v>1879</v>
      </c>
      <c r="F1588">
        <v>9275</v>
      </c>
    </row>
    <row r="1589" spans="1:6" x14ac:dyDescent="0.25">
      <c r="A1589" t="s">
        <v>3820</v>
      </c>
      <c r="B1589" t="s">
        <v>606</v>
      </c>
      <c r="C1589" t="s">
        <v>146</v>
      </c>
      <c r="D1589" t="s">
        <v>2218</v>
      </c>
      <c r="E1589" t="s">
        <v>1879</v>
      </c>
      <c r="F1589">
        <v>9351</v>
      </c>
    </row>
    <row r="1590" spans="1:6" x14ac:dyDescent="0.25">
      <c r="A1590" t="s">
        <v>3821</v>
      </c>
      <c r="B1590" t="s">
        <v>606</v>
      </c>
      <c r="C1590" t="s">
        <v>146</v>
      </c>
      <c r="D1590" t="s">
        <v>2212</v>
      </c>
      <c r="E1590" t="s">
        <v>1886</v>
      </c>
      <c r="F1590">
        <v>8555</v>
      </c>
    </row>
    <row r="1591" spans="1:6" x14ac:dyDescent="0.25">
      <c r="A1591" t="s">
        <v>3822</v>
      </c>
      <c r="B1591" t="s">
        <v>606</v>
      </c>
      <c r="C1591" t="s">
        <v>146</v>
      </c>
      <c r="D1591" t="s">
        <v>2179</v>
      </c>
      <c r="E1591" t="s">
        <v>1915</v>
      </c>
      <c r="F1591">
        <v>7821</v>
      </c>
    </row>
    <row r="1592" spans="1:6" x14ac:dyDescent="0.25">
      <c r="A1592" t="s">
        <v>3823</v>
      </c>
      <c r="B1592" t="s">
        <v>606</v>
      </c>
      <c r="C1592" t="s">
        <v>146</v>
      </c>
      <c r="D1592" t="s">
        <v>2747</v>
      </c>
      <c r="E1592" t="s">
        <v>1915</v>
      </c>
      <c r="F1592">
        <v>14054</v>
      </c>
    </row>
    <row r="1593" spans="1:6" x14ac:dyDescent="0.25">
      <c r="A1593" t="s">
        <v>3824</v>
      </c>
      <c r="B1593" t="s">
        <v>606</v>
      </c>
      <c r="C1593" t="s">
        <v>146</v>
      </c>
      <c r="D1593" t="s">
        <v>2291</v>
      </c>
      <c r="E1593" t="s">
        <v>1879</v>
      </c>
      <c r="F1593">
        <v>3935</v>
      </c>
    </row>
    <row r="1594" spans="1:6" x14ac:dyDescent="0.25">
      <c r="A1594" t="s">
        <v>3825</v>
      </c>
      <c r="B1594" t="s">
        <v>606</v>
      </c>
      <c r="C1594" t="s">
        <v>146</v>
      </c>
      <c r="D1594" t="s">
        <v>2210</v>
      </c>
      <c r="E1594" t="s">
        <v>1915</v>
      </c>
      <c r="F1594">
        <v>15726</v>
      </c>
    </row>
    <row r="1595" spans="1:6" x14ac:dyDescent="0.25">
      <c r="A1595" t="s">
        <v>3826</v>
      </c>
      <c r="B1595" t="s">
        <v>606</v>
      </c>
      <c r="C1595" t="s">
        <v>146</v>
      </c>
      <c r="D1595" t="s">
        <v>2190</v>
      </c>
      <c r="E1595" t="s">
        <v>1871</v>
      </c>
      <c r="F1595">
        <v>9582</v>
      </c>
    </row>
    <row r="1596" spans="1:6" x14ac:dyDescent="0.25">
      <c r="A1596" t="s">
        <v>3827</v>
      </c>
      <c r="B1596" t="s">
        <v>606</v>
      </c>
      <c r="C1596" t="s">
        <v>146</v>
      </c>
      <c r="D1596" t="s">
        <v>1937</v>
      </c>
      <c r="E1596" t="s">
        <v>1871</v>
      </c>
      <c r="F1596">
        <v>3421</v>
      </c>
    </row>
    <row r="1597" spans="1:6" x14ac:dyDescent="0.25">
      <c r="A1597" t="s">
        <v>3828</v>
      </c>
      <c r="B1597" t="s">
        <v>609</v>
      </c>
      <c r="C1597" t="s">
        <v>87</v>
      </c>
      <c r="D1597" t="s">
        <v>2099</v>
      </c>
      <c r="E1597" t="s">
        <v>1915</v>
      </c>
      <c r="F1597">
        <v>54081</v>
      </c>
    </row>
    <row r="1598" spans="1:6" x14ac:dyDescent="0.25">
      <c r="A1598" t="s">
        <v>3829</v>
      </c>
      <c r="B1598" t="s">
        <v>609</v>
      </c>
      <c r="C1598" t="s">
        <v>87</v>
      </c>
      <c r="D1598" t="s">
        <v>2278</v>
      </c>
      <c r="E1598" t="s">
        <v>1871</v>
      </c>
      <c r="F1598">
        <v>56660</v>
      </c>
    </row>
    <row r="1599" spans="1:6" x14ac:dyDescent="0.25">
      <c r="A1599" t="s">
        <v>3830</v>
      </c>
      <c r="B1599" t="s">
        <v>609</v>
      </c>
      <c r="C1599" t="s">
        <v>87</v>
      </c>
      <c r="D1599" t="s">
        <v>2590</v>
      </c>
      <c r="E1599" t="s">
        <v>1915</v>
      </c>
      <c r="F1599">
        <v>74386</v>
      </c>
    </row>
    <row r="1600" spans="1:6" x14ac:dyDescent="0.25">
      <c r="A1600" t="s">
        <v>3831</v>
      </c>
      <c r="B1600" t="s">
        <v>609</v>
      </c>
      <c r="C1600" t="s">
        <v>87</v>
      </c>
      <c r="D1600" t="s">
        <v>1927</v>
      </c>
      <c r="E1600" t="s">
        <v>1915</v>
      </c>
      <c r="F1600">
        <v>47633</v>
      </c>
    </row>
    <row r="1601" spans="1:6" x14ac:dyDescent="0.25">
      <c r="A1601" t="s">
        <v>3832</v>
      </c>
      <c r="B1601" t="s">
        <v>609</v>
      </c>
      <c r="C1601" t="s">
        <v>87</v>
      </c>
      <c r="D1601" t="s">
        <v>2068</v>
      </c>
      <c r="E1601" t="s">
        <v>1879</v>
      </c>
      <c r="F1601">
        <v>1892</v>
      </c>
    </row>
    <row r="1602" spans="1:6" x14ac:dyDescent="0.25">
      <c r="A1602" t="s">
        <v>3833</v>
      </c>
      <c r="B1602" t="s">
        <v>609</v>
      </c>
      <c r="C1602" t="s">
        <v>87</v>
      </c>
      <c r="D1602" t="s">
        <v>2297</v>
      </c>
      <c r="E1602" t="s">
        <v>1879</v>
      </c>
      <c r="F1602">
        <v>58842</v>
      </c>
    </row>
    <row r="1603" spans="1:6" x14ac:dyDescent="0.25">
      <c r="A1603" t="s">
        <v>3834</v>
      </c>
      <c r="B1603" t="s">
        <v>609</v>
      </c>
      <c r="C1603" t="s">
        <v>87</v>
      </c>
      <c r="D1603" t="s">
        <v>2338</v>
      </c>
      <c r="E1603" t="s">
        <v>1879</v>
      </c>
      <c r="F1603">
        <v>62033</v>
      </c>
    </row>
    <row r="1604" spans="1:6" x14ac:dyDescent="0.25">
      <c r="A1604" t="s">
        <v>3835</v>
      </c>
      <c r="B1604" t="s">
        <v>609</v>
      </c>
      <c r="C1604" t="s">
        <v>87</v>
      </c>
      <c r="D1604" t="s">
        <v>2378</v>
      </c>
      <c r="E1604" t="s">
        <v>1876</v>
      </c>
      <c r="F1604">
        <v>49594</v>
      </c>
    </row>
    <row r="1605" spans="1:6" x14ac:dyDescent="0.25">
      <c r="A1605" t="s">
        <v>3836</v>
      </c>
      <c r="B1605" t="s">
        <v>612</v>
      </c>
      <c r="C1605" t="s">
        <v>73</v>
      </c>
      <c r="D1605" t="s">
        <v>2756</v>
      </c>
      <c r="E1605" t="s">
        <v>1915</v>
      </c>
      <c r="F1605">
        <v>15216</v>
      </c>
    </row>
    <row r="1606" spans="1:6" x14ac:dyDescent="0.25">
      <c r="A1606" t="s">
        <v>3837</v>
      </c>
      <c r="B1606" t="s">
        <v>612</v>
      </c>
      <c r="C1606" t="s">
        <v>73</v>
      </c>
      <c r="D1606" t="s">
        <v>2479</v>
      </c>
      <c r="E1606" t="s">
        <v>1879</v>
      </c>
      <c r="F1606">
        <v>25275</v>
      </c>
    </row>
    <row r="1607" spans="1:6" x14ac:dyDescent="0.25">
      <c r="A1607" t="s">
        <v>3838</v>
      </c>
      <c r="B1607" t="s">
        <v>612</v>
      </c>
      <c r="C1607" t="s">
        <v>73</v>
      </c>
      <c r="D1607" t="s">
        <v>2544</v>
      </c>
      <c r="E1607" t="s">
        <v>1886</v>
      </c>
      <c r="F1607">
        <v>18159</v>
      </c>
    </row>
    <row r="1608" spans="1:6" x14ac:dyDescent="0.25">
      <c r="A1608" t="s">
        <v>3839</v>
      </c>
      <c r="B1608" t="s">
        <v>612</v>
      </c>
      <c r="C1608" t="s">
        <v>73</v>
      </c>
      <c r="D1608" t="s">
        <v>2612</v>
      </c>
      <c r="E1608" t="s">
        <v>1915</v>
      </c>
      <c r="F1608">
        <v>31430</v>
      </c>
    </row>
    <row r="1609" spans="1:6" x14ac:dyDescent="0.25">
      <c r="A1609" t="s">
        <v>3840</v>
      </c>
      <c r="B1609" t="s">
        <v>612</v>
      </c>
      <c r="C1609" t="s">
        <v>73</v>
      </c>
      <c r="D1609" t="s">
        <v>2203</v>
      </c>
      <c r="E1609" t="s">
        <v>1915</v>
      </c>
      <c r="F1609">
        <v>13614</v>
      </c>
    </row>
    <row r="1610" spans="1:6" x14ac:dyDescent="0.25">
      <c r="A1610" t="s">
        <v>3841</v>
      </c>
      <c r="B1610" t="s">
        <v>612</v>
      </c>
      <c r="C1610" t="s">
        <v>73</v>
      </c>
      <c r="D1610" t="s">
        <v>1966</v>
      </c>
      <c r="E1610" t="s">
        <v>1876</v>
      </c>
      <c r="F1610">
        <v>6936</v>
      </c>
    </row>
    <row r="1611" spans="1:6" x14ac:dyDescent="0.25">
      <c r="A1611" t="s">
        <v>3842</v>
      </c>
      <c r="B1611" t="s">
        <v>615</v>
      </c>
      <c r="C1611" t="s">
        <v>146</v>
      </c>
      <c r="D1611" t="s">
        <v>2085</v>
      </c>
      <c r="E1611" t="s">
        <v>1879</v>
      </c>
      <c r="F1611">
        <v>9110</v>
      </c>
    </row>
    <row r="1612" spans="1:6" x14ac:dyDescent="0.25">
      <c r="A1612" t="s">
        <v>3843</v>
      </c>
      <c r="B1612" t="s">
        <v>615</v>
      </c>
      <c r="C1612" t="s">
        <v>146</v>
      </c>
      <c r="D1612" t="s">
        <v>2295</v>
      </c>
      <c r="E1612" t="s">
        <v>1879</v>
      </c>
      <c r="F1612">
        <v>29813</v>
      </c>
    </row>
    <row r="1613" spans="1:6" x14ac:dyDescent="0.25">
      <c r="A1613" t="s">
        <v>3844</v>
      </c>
      <c r="B1613" t="s">
        <v>615</v>
      </c>
      <c r="C1613" t="s">
        <v>146</v>
      </c>
      <c r="D1613" t="s">
        <v>2855</v>
      </c>
      <c r="E1613" t="s">
        <v>1871</v>
      </c>
      <c r="F1613">
        <v>29373</v>
      </c>
    </row>
    <row r="1614" spans="1:6" x14ac:dyDescent="0.25">
      <c r="A1614" t="s">
        <v>3845</v>
      </c>
      <c r="B1614" t="s">
        <v>615</v>
      </c>
      <c r="C1614" t="s">
        <v>146</v>
      </c>
      <c r="D1614" t="s">
        <v>1902</v>
      </c>
      <c r="E1614" t="s">
        <v>1886</v>
      </c>
      <c r="F1614">
        <v>32417</v>
      </c>
    </row>
    <row r="1615" spans="1:6" x14ac:dyDescent="0.25">
      <c r="A1615" t="s">
        <v>3846</v>
      </c>
      <c r="B1615" t="s">
        <v>615</v>
      </c>
      <c r="C1615" t="s">
        <v>146</v>
      </c>
      <c r="D1615" t="s">
        <v>2525</v>
      </c>
      <c r="E1615" t="s">
        <v>1871</v>
      </c>
      <c r="F1615">
        <v>6394</v>
      </c>
    </row>
    <row r="1616" spans="1:6" x14ac:dyDescent="0.25">
      <c r="A1616" t="s">
        <v>3847</v>
      </c>
      <c r="B1616" t="s">
        <v>615</v>
      </c>
      <c r="C1616" t="s">
        <v>146</v>
      </c>
      <c r="D1616" t="s">
        <v>2171</v>
      </c>
      <c r="E1616" t="s">
        <v>1879</v>
      </c>
      <c r="F1616">
        <v>7832</v>
      </c>
    </row>
    <row r="1617" spans="1:6" x14ac:dyDescent="0.25">
      <c r="A1617" t="s">
        <v>3848</v>
      </c>
      <c r="B1617" t="s">
        <v>615</v>
      </c>
      <c r="C1617" t="s">
        <v>146</v>
      </c>
      <c r="D1617" t="s">
        <v>1908</v>
      </c>
      <c r="E1617" t="s">
        <v>1915</v>
      </c>
      <c r="F1617">
        <v>30595</v>
      </c>
    </row>
    <row r="1618" spans="1:6" x14ac:dyDescent="0.25">
      <c r="A1618" t="s">
        <v>3849</v>
      </c>
      <c r="B1618" t="s">
        <v>615</v>
      </c>
      <c r="C1618" t="s">
        <v>146</v>
      </c>
      <c r="D1618" t="s">
        <v>2302</v>
      </c>
      <c r="E1618" t="s">
        <v>1915</v>
      </c>
      <c r="F1618">
        <v>2698</v>
      </c>
    </row>
    <row r="1619" spans="1:6" x14ac:dyDescent="0.25">
      <c r="A1619" t="s">
        <v>3850</v>
      </c>
      <c r="B1619" t="s">
        <v>615</v>
      </c>
      <c r="C1619" t="s">
        <v>146</v>
      </c>
      <c r="D1619" t="s">
        <v>2263</v>
      </c>
      <c r="E1619" t="s">
        <v>1915</v>
      </c>
      <c r="F1619">
        <v>44573</v>
      </c>
    </row>
    <row r="1620" spans="1:6" x14ac:dyDescent="0.25">
      <c r="A1620" t="s">
        <v>3851</v>
      </c>
      <c r="B1620" t="s">
        <v>615</v>
      </c>
      <c r="C1620" t="s">
        <v>146</v>
      </c>
      <c r="D1620" t="s">
        <v>2126</v>
      </c>
      <c r="E1620" t="s">
        <v>1871</v>
      </c>
      <c r="F1620">
        <v>14818</v>
      </c>
    </row>
    <row r="1621" spans="1:6" x14ac:dyDescent="0.25">
      <c r="A1621" t="s">
        <v>3852</v>
      </c>
      <c r="B1621" t="s">
        <v>615</v>
      </c>
      <c r="C1621" t="s">
        <v>146</v>
      </c>
      <c r="D1621" t="s">
        <v>2028</v>
      </c>
      <c r="E1621" t="s">
        <v>1871</v>
      </c>
      <c r="F1621">
        <v>21966</v>
      </c>
    </row>
    <row r="1622" spans="1:6" x14ac:dyDescent="0.25">
      <c r="A1622" t="s">
        <v>3853</v>
      </c>
      <c r="B1622" t="s">
        <v>618</v>
      </c>
      <c r="C1622" t="s">
        <v>146</v>
      </c>
      <c r="D1622" t="s">
        <v>2322</v>
      </c>
      <c r="E1622" t="s">
        <v>1879</v>
      </c>
      <c r="F1622">
        <v>1323</v>
      </c>
    </row>
    <row r="1623" spans="1:6" x14ac:dyDescent="0.25">
      <c r="A1623" t="s">
        <v>3854</v>
      </c>
      <c r="B1623" t="s">
        <v>618</v>
      </c>
      <c r="C1623" t="s">
        <v>146</v>
      </c>
      <c r="D1623" t="s">
        <v>2338</v>
      </c>
      <c r="E1623" t="s">
        <v>1871</v>
      </c>
      <c r="F1623">
        <v>6360</v>
      </c>
    </row>
    <row r="1624" spans="1:6" x14ac:dyDescent="0.25">
      <c r="A1624" t="s">
        <v>3855</v>
      </c>
      <c r="B1624" t="s">
        <v>618</v>
      </c>
      <c r="C1624" t="s">
        <v>146</v>
      </c>
      <c r="D1624" t="s">
        <v>2525</v>
      </c>
      <c r="E1624" t="s">
        <v>1879</v>
      </c>
      <c r="F1624">
        <v>10831</v>
      </c>
    </row>
    <row r="1625" spans="1:6" x14ac:dyDescent="0.25">
      <c r="A1625" t="s">
        <v>3856</v>
      </c>
      <c r="B1625" t="s">
        <v>618</v>
      </c>
      <c r="C1625" t="s">
        <v>146</v>
      </c>
      <c r="D1625" t="s">
        <v>2513</v>
      </c>
      <c r="E1625" t="s">
        <v>1886</v>
      </c>
      <c r="F1625">
        <v>22455</v>
      </c>
    </row>
    <row r="1626" spans="1:6" x14ac:dyDescent="0.25">
      <c r="A1626" t="s">
        <v>3857</v>
      </c>
      <c r="B1626" t="s">
        <v>618</v>
      </c>
      <c r="C1626" t="s">
        <v>146</v>
      </c>
      <c r="D1626" t="s">
        <v>2312</v>
      </c>
      <c r="E1626" t="s">
        <v>1915</v>
      </c>
      <c r="F1626">
        <v>5536</v>
      </c>
    </row>
    <row r="1627" spans="1:6" x14ac:dyDescent="0.25">
      <c r="A1627" t="s">
        <v>3858</v>
      </c>
      <c r="B1627" t="s">
        <v>618</v>
      </c>
      <c r="C1627" t="s">
        <v>146</v>
      </c>
      <c r="D1627" t="s">
        <v>2326</v>
      </c>
      <c r="E1627" t="s">
        <v>1879</v>
      </c>
      <c r="F1627">
        <v>7977</v>
      </c>
    </row>
    <row r="1628" spans="1:6" x14ac:dyDescent="0.25">
      <c r="A1628" t="s">
        <v>3859</v>
      </c>
      <c r="B1628" t="s">
        <v>618</v>
      </c>
      <c r="C1628" t="s">
        <v>146</v>
      </c>
      <c r="D1628" t="s">
        <v>3860</v>
      </c>
      <c r="E1628" t="s">
        <v>1876</v>
      </c>
      <c r="F1628">
        <v>9796</v>
      </c>
    </row>
    <row r="1629" spans="1:6" x14ac:dyDescent="0.25">
      <c r="A1629" t="s">
        <v>3861</v>
      </c>
      <c r="B1629" t="s">
        <v>618</v>
      </c>
      <c r="C1629" t="s">
        <v>146</v>
      </c>
      <c r="D1629" t="s">
        <v>2378</v>
      </c>
      <c r="E1629" t="s">
        <v>1871</v>
      </c>
      <c r="F1629">
        <v>7838</v>
      </c>
    </row>
    <row r="1630" spans="1:6" x14ac:dyDescent="0.25">
      <c r="A1630" t="s">
        <v>3862</v>
      </c>
      <c r="B1630" t="s">
        <v>618</v>
      </c>
      <c r="C1630" t="s">
        <v>146</v>
      </c>
      <c r="D1630" t="s">
        <v>1873</v>
      </c>
      <c r="E1630" t="s">
        <v>1879</v>
      </c>
      <c r="F1630">
        <v>4300</v>
      </c>
    </row>
    <row r="1631" spans="1:6" x14ac:dyDescent="0.25">
      <c r="A1631" t="s">
        <v>3863</v>
      </c>
      <c r="B1631" t="s">
        <v>618</v>
      </c>
      <c r="C1631" t="s">
        <v>146</v>
      </c>
      <c r="D1631" t="s">
        <v>2284</v>
      </c>
      <c r="E1631" t="s">
        <v>1879</v>
      </c>
      <c r="F1631">
        <v>7363</v>
      </c>
    </row>
    <row r="1632" spans="1:6" x14ac:dyDescent="0.25">
      <c r="A1632" t="s">
        <v>3864</v>
      </c>
      <c r="B1632" t="s">
        <v>621</v>
      </c>
      <c r="C1632" t="s">
        <v>73</v>
      </c>
      <c r="D1632" t="s">
        <v>3030</v>
      </c>
      <c r="E1632" t="s">
        <v>1871</v>
      </c>
      <c r="F1632">
        <v>696</v>
      </c>
    </row>
    <row r="1633" spans="1:6" x14ac:dyDescent="0.25">
      <c r="A1633" t="s">
        <v>3865</v>
      </c>
      <c r="B1633" t="s">
        <v>621</v>
      </c>
      <c r="C1633" t="s">
        <v>73</v>
      </c>
      <c r="D1633" t="s">
        <v>2468</v>
      </c>
      <c r="E1633" t="s">
        <v>1871</v>
      </c>
      <c r="F1633">
        <v>4023</v>
      </c>
    </row>
    <row r="1634" spans="1:6" x14ac:dyDescent="0.25">
      <c r="A1634" t="s">
        <v>3866</v>
      </c>
      <c r="B1634" t="s">
        <v>621</v>
      </c>
      <c r="C1634" t="s">
        <v>73</v>
      </c>
      <c r="D1634" t="s">
        <v>1906</v>
      </c>
      <c r="E1634" t="s">
        <v>1876</v>
      </c>
      <c r="F1634">
        <v>323</v>
      </c>
    </row>
    <row r="1635" spans="1:6" x14ac:dyDescent="0.25">
      <c r="A1635" t="s">
        <v>3867</v>
      </c>
      <c r="B1635" t="s">
        <v>621</v>
      </c>
      <c r="C1635" t="s">
        <v>73</v>
      </c>
      <c r="D1635" t="s">
        <v>2024</v>
      </c>
      <c r="E1635" t="s">
        <v>1915</v>
      </c>
      <c r="F1635">
        <v>5802</v>
      </c>
    </row>
    <row r="1636" spans="1:6" x14ac:dyDescent="0.25">
      <c r="A1636" t="s">
        <v>3868</v>
      </c>
      <c r="B1636" t="s">
        <v>621</v>
      </c>
      <c r="C1636" t="s">
        <v>73</v>
      </c>
      <c r="D1636" t="s">
        <v>2109</v>
      </c>
      <c r="E1636" t="s">
        <v>1915</v>
      </c>
      <c r="F1636">
        <v>14172</v>
      </c>
    </row>
    <row r="1637" spans="1:6" x14ac:dyDescent="0.25">
      <c r="A1637" t="s">
        <v>3869</v>
      </c>
      <c r="B1637" t="s">
        <v>621</v>
      </c>
      <c r="C1637" t="s">
        <v>73</v>
      </c>
      <c r="D1637" t="s">
        <v>2539</v>
      </c>
      <c r="E1637" t="s">
        <v>1871</v>
      </c>
      <c r="F1637">
        <v>5820</v>
      </c>
    </row>
    <row r="1638" spans="1:6" x14ac:dyDescent="0.25">
      <c r="A1638" t="s">
        <v>3870</v>
      </c>
      <c r="B1638" t="s">
        <v>621</v>
      </c>
      <c r="C1638" t="s">
        <v>73</v>
      </c>
      <c r="D1638" t="s">
        <v>2210</v>
      </c>
      <c r="E1638" t="s">
        <v>1915</v>
      </c>
      <c r="F1638">
        <v>6627</v>
      </c>
    </row>
    <row r="1639" spans="1:6" x14ac:dyDescent="0.25">
      <c r="A1639" t="s">
        <v>3871</v>
      </c>
      <c r="B1639" t="s">
        <v>621</v>
      </c>
      <c r="C1639" t="s">
        <v>73</v>
      </c>
      <c r="D1639" t="s">
        <v>3105</v>
      </c>
      <c r="E1639" t="s">
        <v>1871</v>
      </c>
      <c r="F1639">
        <v>8290</v>
      </c>
    </row>
    <row r="1640" spans="1:6" x14ac:dyDescent="0.25">
      <c r="A1640" t="s">
        <v>3872</v>
      </c>
      <c r="B1640" t="s">
        <v>621</v>
      </c>
      <c r="C1640" t="s">
        <v>73</v>
      </c>
      <c r="D1640" t="s">
        <v>2278</v>
      </c>
      <c r="E1640" t="s">
        <v>1879</v>
      </c>
      <c r="F1640">
        <v>8719</v>
      </c>
    </row>
    <row r="1641" spans="1:6" x14ac:dyDescent="0.25">
      <c r="A1641" t="s">
        <v>3873</v>
      </c>
      <c r="B1641" t="s">
        <v>621</v>
      </c>
      <c r="C1641" t="s">
        <v>73</v>
      </c>
      <c r="D1641" t="s">
        <v>2012</v>
      </c>
      <c r="E1641" t="s">
        <v>1879</v>
      </c>
      <c r="F1641">
        <v>6870</v>
      </c>
    </row>
    <row r="1642" spans="1:6" x14ac:dyDescent="0.25">
      <c r="A1642" t="s">
        <v>3874</v>
      </c>
      <c r="B1642" t="s">
        <v>621</v>
      </c>
      <c r="C1642" t="s">
        <v>73</v>
      </c>
      <c r="D1642" t="s">
        <v>2114</v>
      </c>
      <c r="E1642" t="s">
        <v>1879</v>
      </c>
      <c r="F1642">
        <v>2874</v>
      </c>
    </row>
    <row r="1643" spans="1:6" x14ac:dyDescent="0.25">
      <c r="A1643" t="s">
        <v>3875</v>
      </c>
      <c r="B1643" t="s">
        <v>621</v>
      </c>
      <c r="C1643" t="s">
        <v>73</v>
      </c>
      <c r="D1643" t="s">
        <v>3233</v>
      </c>
      <c r="E1643" t="s">
        <v>1876</v>
      </c>
      <c r="F1643">
        <v>7794</v>
      </c>
    </row>
    <row r="1644" spans="1:6" x14ac:dyDescent="0.25">
      <c r="A1644" t="s">
        <v>3876</v>
      </c>
      <c r="B1644" t="s">
        <v>624</v>
      </c>
      <c r="C1644" t="s">
        <v>51</v>
      </c>
      <c r="D1644" t="s">
        <v>1957</v>
      </c>
      <c r="E1644" t="s">
        <v>1871</v>
      </c>
      <c r="F1644">
        <v>10005</v>
      </c>
    </row>
    <row r="1645" spans="1:6" x14ac:dyDescent="0.25">
      <c r="A1645" t="s">
        <v>3877</v>
      </c>
      <c r="B1645" t="s">
        <v>624</v>
      </c>
      <c r="C1645" t="s">
        <v>51</v>
      </c>
      <c r="D1645" t="s">
        <v>2046</v>
      </c>
      <c r="E1645" t="s">
        <v>1886</v>
      </c>
      <c r="F1645">
        <v>7417</v>
      </c>
    </row>
    <row r="1646" spans="1:6" x14ac:dyDescent="0.25">
      <c r="A1646" t="s">
        <v>3878</v>
      </c>
      <c r="B1646" t="s">
        <v>624</v>
      </c>
      <c r="C1646" t="s">
        <v>51</v>
      </c>
      <c r="D1646" t="s">
        <v>2615</v>
      </c>
      <c r="E1646" t="s">
        <v>1915</v>
      </c>
      <c r="F1646">
        <v>9560</v>
      </c>
    </row>
    <row r="1647" spans="1:6" x14ac:dyDescent="0.25">
      <c r="A1647" t="s">
        <v>3879</v>
      </c>
      <c r="B1647" t="s">
        <v>624</v>
      </c>
      <c r="C1647" t="s">
        <v>51</v>
      </c>
      <c r="D1647" t="s">
        <v>3486</v>
      </c>
      <c r="E1647" t="s">
        <v>1915</v>
      </c>
      <c r="F1647">
        <v>14769</v>
      </c>
    </row>
    <row r="1648" spans="1:6" x14ac:dyDescent="0.25">
      <c r="A1648" t="s">
        <v>3880</v>
      </c>
      <c r="B1648" t="s">
        <v>624</v>
      </c>
      <c r="C1648" t="s">
        <v>51</v>
      </c>
      <c r="D1648" t="s">
        <v>2002</v>
      </c>
      <c r="E1648" t="s">
        <v>1871</v>
      </c>
      <c r="F1648">
        <v>10852</v>
      </c>
    </row>
    <row r="1649" spans="1:6" x14ac:dyDescent="0.25">
      <c r="A1649" t="s">
        <v>3881</v>
      </c>
      <c r="B1649" t="s">
        <v>624</v>
      </c>
      <c r="C1649" t="s">
        <v>51</v>
      </c>
      <c r="D1649" t="s">
        <v>2395</v>
      </c>
      <c r="E1649" t="s">
        <v>1871</v>
      </c>
      <c r="F1649">
        <v>15080</v>
      </c>
    </row>
    <row r="1650" spans="1:6" x14ac:dyDescent="0.25">
      <c r="A1650" t="s">
        <v>3882</v>
      </c>
      <c r="B1650" t="s">
        <v>624</v>
      </c>
      <c r="C1650" t="s">
        <v>51</v>
      </c>
      <c r="D1650" t="s">
        <v>2437</v>
      </c>
      <c r="E1650" t="s">
        <v>1871</v>
      </c>
      <c r="F1650">
        <v>11764</v>
      </c>
    </row>
    <row r="1651" spans="1:6" x14ac:dyDescent="0.25">
      <c r="A1651" t="s">
        <v>3883</v>
      </c>
      <c r="B1651" t="s">
        <v>624</v>
      </c>
      <c r="C1651" t="s">
        <v>51</v>
      </c>
      <c r="D1651" t="s">
        <v>2016</v>
      </c>
      <c r="E1651" t="s">
        <v>1871</v>
      </c>
      <c r="F1651">
        <v>10504</v>
      </c>
    </row>
    <row r="1652" spans="1:6" x14ac:dyDescent="0.25">
      <c r="A1652" t="s">
        <v>3884</v>
      </c>
      <c r="B1652" t="s">
        <v>624</v>
      </c>
      <c r="C1652" t="s">
        <v>51</v>
      </c>
      <c r="D1652" t="s">
        <v>2387</v>
      </c>
      <c r="E1652" t="s">
        <v>1915</v>
      </c>
      <c r="F1652">
        <v>9503</v>
      </c>
    </row>
    <row r="1653" spans="1:6" x14ac:dyDescent="0.25">
      <c r="A1653" t="s">
        <v>3885</v>
      </c>
      <c r="B1653" t="s">
        <v>624</v>
      </c>
      <c r="C1653" t="s">
        <v>51</v>
      </c>
      <c r="D1653" t="s">
        <v>2863</v>
      </c>
      <c r="E1653" t="s">
        <v>1886</v>
      </c>
      <c r="F1653">
        <v>6622</v>
      </c>
    </row>
    <row r="1654" spans="1:6" x14ac:dyDescent="0.25">
      <c r="A1654" t="s">
        <v>3886</v>
      </c>
      <c r="B1654" t="s">
        <v>624</v>
      </c>
      <c r="C1654" t="s">
        <v>51</v>
      </c>
      <c r="D1654" t="s">
        <v>2588</v>
      </c>
      <c r="E1654" t="s">
        <v>1886</v>
      </c>
      <c r="F1654">
        <v>26337</v>
      </c>
    </row>
    <row r="1655" spans="1:6" x14ac:dyDescent="0.25">
      <c r="A1655" t="s">
        <v>3887</v>
      </c>
      <c r="B1655" t="s">
        <v>624</v>
      </c>
      <c r="C1655" t="s">
        <v>51</v>
      </c>
      <c r="D1655" t="s">
        <v>1931</v>
      </c>
      <c r="E1655" t="s">
        <v>1879</v>
      </c>
      <c r="F1655">
        <v>7756</v>
      </c>
    </row>
    <row r="1656" spans="1:6" x14ac:dyDescent="0.25">
      <c r="A1656" t="s">
        <v>3888</v>
      </c>
      <c r="B1656" t="s">
        <v>627</v>
      </c>
      <c r="C1656" t="s">
        <v>51</v>
      </c>
      <c r="D1656" t="s">
        <v>2055</v>
      </c>
      <c r="E1656" t="s">
        <v>1879</v>
      </c>
      <c r="F1656">
        <v>898</v>
      </c>
    </row>
    <row r="1657" spans="1:6" x14ac:dyDescent="0.25">
      <c r="A1657" t="s">
        <v>3889</v>
      </c>
      <c r="B1657" t="s">
        <v>627</v>
      </c>
      <c r="C1657" t="s">
        <v>51</v>
      </c>
      <c r="D1657" t="s">
        <v>2114</v>
      </c>
      <c r="E1657" t="s">
        <v>1915</v>
      </c>
      <c r="F1657">
        <v>10570</v>
      </c>
    </row>
    <row r="1658" spans="1:6" x14ac:dyDescent="0.25">
      <c r="A1658" t="s">
        <v>3890</v>
      </c>
      <c r="B1658" t="s">
        <v>627</v>
      </c>
      <c r="C1658" t="s">
        <v>51</v>
      </c>
      <c r="D1658" t="s">
        <v>1994</v>
      </c>
      <c r="E1658" t="s">
        <v>1879</v>
      </c>
      <c r="F1658">
        <v>3493</v>
      </c>
    </row>
    <row r="1659" spans="1:6" x14ac:dyDescent="0.25">
      <c r="A1659" t="s">
        <v>3891</v>
      </c>
      <c r="B1659" t="s">
        <v>627</v>
      </c>
      <c r="C1659" t="s">
        <v>51</v>
      </c>
      <c r="D1659" t="s">
        <v>2091</v>
      </c>
      <c r="E1659" t="s">
        <v>1886</v>
      </c>
      <c r="F1659">
        <v>2401</v>
      </c>
    </row>
    <row r="1660" spans="1:6" x14ac:dyDescent="0.25">
      <c r="A1660" t="s">
        <v>3892</v>
      </c>
      <c r="B1660" t="s">
        <v>627</v>
      </c>
      <c r="C1660" t="s">
        <v>51</v>
      </c>
      <c r="D1660" t="s">
        <v>2218</v>
      </c>
      <c r="E1660" t="s">
        <v>1871</v>
      </c>
      <c r="F1660">
        <v>17960</v>
      </c>
    </row>
    <row r="1661" spans="1:6" x14ac:dyDescent="0.25">
      <c r="A1661" t="s">
        <v>3893</v>
      </c>
      <c r="B1661" t="s">
        <v>627</v>
      </c>
      <c r="C1661" t="s">
        <v>51</v>
      </c>
      <c r="D1661" t="s">
        <v>3623</v>
      </c>
      <c r="E1661" t="s">
        <v>1915</v>
      </c>
      <c r="F1661">
        <v>12174</v>
      </c>
    </row>
    <row r="1662" spans="1:6" x14ac:dyDescent="0.25">
      <c r="A1662" t="s">
        <v>3894</v>
      </c>
      <c r="B1662" t="s">
        <v>627</v>
      </c>
      <c r="C1662" t="s">
        <v>51</v>
      </c>
      <c r="D1662" t="s">
        <v>2026</v>
      </c>
      <c r="E1662" t="s">
        <v>1879</v>
      </c>
      <c r="F1662">
        <v>17167</v>
      </c>
    </row>
    <row r="1663" spans="1:6" x14ac:dyDescent="0.25">
      <c r="A1663" t="s">
        <v>3895</v>
      </c>
      <c r="B1663" t="s">
        <v>630</v>
      </c>
      <c r="C1663" t="s">
        <v>87</v>
      </c>
      <c r="D1663" t="s">
        <v>3174</v>
      </c>
      <c r="E1663" t="s">
        <v>1876</v>
      </c>
      <c r="F1663">
        <v>16665</v>
      </c>
    </row>
    <row r="1664" spans="1:6" x14ac:dyDescent="0.25">
      <c r="A1664" t="s">
        <v>3896</v>
      </c>
      <c r="B1664" t="s">
        <v>630</v>
      </c>
      <c r="C1664" t="s">
        <v>87</v>
      </c>
      <c r="D1664" t="s">
        <v>3395</v>
      </c>
      <c r="E1664" t="s">
        <v>1879</v>
      </c>
      <c r="F1664">
        <v>17545</v>
      </c>
    </row>
    <row r="1665" spans="1:6" x14ac:dyDescent="0.25">
      <c r="A1665" t="s">
        <v>3897</v>
      </c>
      <c r="B1665" t="s">
        <v>630</v>
      </c>
      <c r="C1665" t="s">
        <v>87</v>
      </c>
      <c r="D1665" t="s">
        <v>1890</v>
      </c>
      <c r="E1665" t="s">
        <v>1915</v>
      </c>
      <c r="F1665">
        <v>16800</v>
      </c>
    </row>
    <row r="1666" spans="1:6" x14ac:dyDescent="0.25">
      <c r="A1666" t="s">
        <v>3898</v>
      </c>
      <c r="B1666" t="s">
        <v>630</v>
      </c>
      <c r="C1666" t="s">
        <v>87</v>
      </c>
      <c r="D1666" t="s">
        <v>2143</v>
      </c>
      <c r="E1666" t="s">
        <v>1876</v>
      </c>
      <c r="F1666">
        <v>2382</v>
      </c>
    </row>
    <row r="1667" spans="1:6" x14ac:dyDescent="0.25">
      <c r="A1667" t="s">
        <v>3899</v>
      </c>
      <c r="B1667" t="s">
        <v>630</v>
      </c>
      <c r="C1667" t="s">
        <v>87</v>
      </c>
      <c r="D1667" t="s">
        <v>2427</v>
      </c>
      <c r="E1667" t="s">
        <v>1886</v>
      </c>
      <c r="F1667">
        <v>20149</v>
      </c>
    </row>
    <row r="1668" spans="1:6" x14ac:dyDescent="0.25">
      <c r="A1668" t="s">
        <v>3900</v>
      </c>
      <c r="B1668" t="s">
        <v>630</v>
      </c>
      <c r="C1668" t="s">
        <v>87</v>
      </c>
      <c r="D1668" t="s">
        <v>1968</v>
      </c>
      <c r="E1668" t="s">
        <v>1915</v>
      </c>
      <c r="F1668">
        <v>16624</v>
      </c>
    </row>
    <row r="1669" spans="1:6" x14ac:dyDescent="0.25">
      <c r="A1669" t="s">
        <v>3901</v>
      </c>
      <c r="B1669" t="s">
        <v>630</v>
      </c>
      <c r="C1669" t="s">
        <v>87</v>
      </c>
      <c r="D1669" t="s">
        <v>2488</v>
      </c>
      <c r="E1669" t="s">
        <v>1876</v>
      </c>
      <c r="F1669">
        <v>5089</v>
      </c>
    </row>
    <row r="1670" spans="1:6" x14ac:dyDescent="0.25">
      <c r="A1670" t="s">
        <v>3902</v>
      </c>
      <c r="B1670" t="s">
        <v>630</v>
      </c>
      <c r="C1670" t="s">
        <v>87</v>
      </c>
      <c r="D1670" t="s">
        <v>2704</v>
      </c>
      <c r="E1670" t="s">
        <v>1871</v>
      </c>
      <c r="F1670">
        <v>5086</v>
      </c>
    </row>
    <row r="1671" spans="1:6" x14ac:dyDescent="0.25">
      <c r="A1671" t="s">
        <v>3903</v>
      </c>
      <c r="B1671" t="s">
        <v>630</v>
      </c>
      <c r="C1671" t="s">
        <v>87</v>
      </c>
      <c r="D1671" t="s">
        <v>1885</v>
      </c>
      <c r="E1671" t="s">
        <v>1876</v>
      </c>
      <c r="F1671">
        <v>5035</v>
      </c>
    </row>
    <row r="1672" spans="1:6" x14ac:dyDescent="0.25">
      <c r="A1672" t="s">
        <v>3904</v>
      </c>
      <c r="B1672" t="s">
        <v>630</v>
      </c>
      <c r="C1672" t="s">
        <v>87</v>
      </c>
      <c r="D1672" t="s">
        <v>2307</v>
      </c>
      <c r="E1672" t="s">
        <v>1915</v>
      </c>
      <c r="F1672">
        <v>1486</v>
      </c>
    </row>
    <row r="1673" spans="1:6" x14ac:dyDescent="0.25">
      <c r="A1673" t="s">
        <v>3905</v>
      </c>
      <c r="B1673" t="s">
        <v>633</v>
      </c>
      <c r="C1673" t="s">
        <v>146</v>
      </c>
      <c r="D1673" t="s">
        <v>1988</v>
      </c>
      <c r="E1673" t="s">
        <v>1879</v>
      </c>
      <c r="F1673">
        <v>22475</v>
      </c>
    </row>
    <row r="1674" spans="1:6" x14ac:dyDescent="0.25">
      <c r="A1674" t="s">
        <v>3906</v>
      </c>
      <c r="B1674" t="s">
        <v>633</v>
      </c>
      <c r="C1674" t="s">
        <v>146</v>
      </c>
      <c r="D1674" t="s">
        <v>2409</v>
      </c>
      <c r="E1674" t="s">
        <v>1915</v>
      </c>
      <c r="F1674">
        <v>38628</v>
      </c>
    </row>
    <row r="1675" spans="1:6" x14ac:dyDescent="0.25">
      <c r="A1675" t="s">
        <v>3907</v>
      </c>
      <c r="B1675" t="s">
        <v>633</v>
      </c>
      <c r="C1675" t="s">
        <v>146</v>
      </c>
      <c r="D1675" t="s">
        <v>2380</v>
      </c>
      <c r="E1675" t="s">
        <v>1915</v>
      </c>
      <c r="F1675">
        <v>48264</v>
      </c>
    </row>
    <row r="1676" spans="1:6" x14ac:dyDescent="0.25">
      <c r="A1676" t="s">
        <v>3908</v>
      </c>
      <c r="B1676" t="s">
        <v>633</v>
      </c>
      <c r="C1676" t="s">
        <v>146</v>
      </c>
      <c r="D1676" t="s">
        <v>2254</v>
      </c>
      <c r="E1676" t="s">
        <v>1876</v>
      </c>
      <c r="F1676">
        <v>24750</v>
      </c>
    </row>
    <row r="1677" spans="1:6" x14ac:dyDescent="0.25">
      <c r="A1677" t="s">
        <v>3909</v>
      </c>
      <c r="B1677" t="s">
        <v>633</v>
      </c>
      <c r="C1677" t="s">
        <v>146</v>
      </c>
      <c r="D1677" t="s">
        <v>2366</v>
      </c>
      <c r="E1677" t="s">
        <v>1876</v>
      </c>
      <c r="F1677">
        <v>2307</v>
      </c>
    </row>
    <row r="1678" spans="1:6" x14ac:dyDescent="0.25">
      <c r="A1678" t="s">
        <v>3910</v>
      </c>
      <c r="B1678" t="s">
        <v>633</v>
      </c>
      <c r="C1678" t="s">
        <v>146</v>
      </c>
      <c r="D1678" t="s">
        <v>1925</v>
      </c>
      <c r="E1678" t="s">
        <v>1871</v>
      </c>
      <c r="F1678">
        <v>8426</v>
      </c>
    </row>
    <row r="1679" spans="1:6" x14ac:dyDescent="0.25">
      <c r="A1679" t="s">
        <v>3911</v>
      </c>
      <c r="B1679" t="s">
        <v>633</v>
      </c>
      <c r="C1679" t="s">
        <v>146</v>
      </c>
      <c r="D1679" t="s">
        <v>2423</v>
      </c>
      <c r="E1679" t="s">
        <v>1876</v>
      </c>
      <c r="F1679">
        <v>12180</v>
      </c>
    </row>
    <row r="1680" spans="1:6" x14ac:dyDescent="0.25">
      <c r="A1680" t="s">
        <v>3912</v>
      </c>
      <c r="B1680" t="s">
        <v>633</v>
      </c>
      <c r="C1680" t="s">
        <v>146</v>
      </c>
      <c r="D1680" t="s">
        <v>1957</v>
      </c>
      <c r="E1680" t="s">
        <v>1879</v>
      </c>
      <c r="F1680">
        <v>27571</v>
      </c>
    </row>
    <row r="1681" spans="1:6" x14ac:dyDescent="0.25">
      <c r="A1681" t="s">
        <v>3913</v>
      </c>
      <c r="B1681" t="s">
        <v>633</v>
      </c>
      <c r="C1681" t="s">
        <v>146</v>
      </c>
      <c r="D1681" t="s">
        <v>2362</v>
      </c>
      <c r="E1681" t="s">
        <v>1886</v>
      </c>
      <c r="F1681">
        <v>2195</v>
      </c>
    </row>
    <row r="1682" spans="1:6" x14ac:dyDescent="0.25">
      <c r="A1682" t="s">
        <v>3914</v>
      </c>
      <c r="B1682" t="s">
        <v>633</v>
      </c>
      <c r="C1682" t="s">
        <v>146</v>
      </c>
      <c r="D1682" t="s">
        <v>2445</v>
      </c>
      <c r="E1682" t="s">
        <v>1879</v>
      </c>
      <c r="F1682">
        <v>21528</v>
      </c>
    </row>
    <row r="1683" spans="1:6" x14ac:dyDescent="0.25">
      <c r="A1683" t="s">
        <v>3915</v>
      </c>
      <c r="B1683" t="s">
        <v>633</v>
      </c>
      <c r="C1683" t="s">
        <v>146</v>
      </c>
      <c r="D1683" t="s">
        <v>1885</v>
      </c>
      <c r="E1683" t="s">
        <v>1915</v>
      </c>
      <c r="F1683">
        <v>4117</v>
      </c>
    </row>
    <row r="1684" spans="1:6" x14ac:dyDescent="0.25">
      <c r="A1684" t="s">
        <v>3916</v>
      </c>
      <c r="B1684" t="s">
        <v>636</v>
      </c>
      <c r="C1684" t="s">
        <v>146</v>
      </c>
      <c r="D1684" t="s">
        <v>3142</v>
      </c>
      <c r="E1684" t="s">
        <v>1879</v>
      </c>
      <c r="F1684">
        <v>6155</v>
      </c>
    </row>
    <row r="1685" spans="1:6" x14ac:dyDescent="0.25">
      <c r="A1685" t="s">
        <v>3917</v>
      </c>
      <c r="B1685" t="s">
        <v>636</v>
      </c>
      <c r="C1685" t="s">
        <v>146</v>
      </c>
      <c r="D1685" t="s">
        <v>2099</v>
      </c>
      <c r="E1685" t="s">
        <v>1871</v>
      </c>
      <c r="F1685">
        <v>10894</v>
      </c>
    </row>
    <row r="1686" spans="1:6" x14ac:dyDescent="0.25">
      <c r="A1686" t="s">
        <v>3918</v>
      </c>
      <c r="B1686" t="s">
        <v>636</v>
      </c>
      <c r="C1686" t="s">
        <v>146</v>
      </c>
      <c r="D1686" t="s">
        <v>2336</v>
      </c>
      <c r="E1686" t="s">
        <v>1886</v>
      </c>
      <c r="F1686">
        <v>31794</v>
      </c>
    </row>
    <row r="1687" spans="1:6" x14ac:dyDescent="0.25">
      <c r="A1687" t="s">
        <v>3919</v>
      </c>
      <c r="B1687" t="s">
        <v>636</v>
      </c>
      <c r="C1687" t="s">
        <v>146</v>
      </c>
      <c r="D1687" t="s">
        <v>2046</v>
      </c>
      <c r="E1687" t="s">
        <v>1879</v>
      </c>
      <c r="F1687">
        <v>20742</v>
      </c>
    </row>
    <row r="1688" spans="1:6" x14ac:dyDescent="0.25">
      <c r="A1688" t="s">
        <v>3920</v>
      </c>
      <c r="B1688" t="s">
        <v>636</v>
      </c>
      <c r="C1688" t="s">
        <v>146</v>
      </c>
      <c r="D1688" t="s">
        <v>2314</v>
      </c>
      <c r="E1688" t="s">
        <v>1871</v>
      </c>
      <c r="F1688">
        <v>7835</v>
      </c>
    </row>
    <row r="1689" spans="1:6" x14ac:dyDescent="0.25">
      <c r="A1689" t="s">
        <v>3921</v>
      </c>
      <c r="B1689" t="s">
        <v>636</v>
      </c>
      <c r="C1689" t="s">
        <v>146</v>
      </c>
      <c r="D1689" t="s">
        <v>1998</v>
      </c>
      <c r="E1689" t="s">
        <v>1886</v>
      </c>
      <c r="F1689">
        <v>34484</v>
      </c>
    </row>
    <row r="1690" spans="1:6" x14ac:dyDescent="0.25">
      <c r="A1690" t="s">
        <v>3922</v>
      </c>
      <c r="B1690" t="s">
        <v>636</v>
      </c>
      <c r="C1690" t="s">
        <v>146</v>
      </c>
      <c r="D1690" t="s">
        <v>1978</v>
      </c>
      <c r="E1690" t="s">
        <v>1915</v>
      </c>
      <c r="F1690">
        <v>3399</v>
      </c>
    </row>
    <row r="1691" spans="1:6" x14ac:dyDescent="0.25">
      <c r="A1691" t="s">
        <v>3923</v>
      </c>
      <c r="B1691" t="s">
        <v>636</v>
      </c>
      <c r="C1691" t="s">
        <v>146</v>
      </c>
      <c r="D1691" t="s">
        <v>2965</v>
      </c>
      <c r="E1691" t="s">
        <v>1886</v>
      </c>
      <c r="F1691">
        <v>3475</v>
      </c>
    </row>
    <row r="1692" spans="1:6" x14ac:dyDescent="0.25">
      <c r="A1692" t="s">
        <v>3924</v>
      </c>
      <c r="B1692" t="s">
        <v>636</v>
      </c>
      <c r="C1692" t="s">
        <v>146</v>
      </c>
      <c r="D1692" t="s">
        <v>3129</v>
      </c>
      <c r="E1692" t="s">
        <v>1886</v>
      </c>
      <c r="F1692">
        <v>17614</v>
      </c>
    </row>
    <row r="1693" spans="1:6" x14ac:dyDescent="0.25">
      <c r="A1693" t="s">
        <v>3925</v>
      </c>
      <c r="B1693" t="s">
        <v>636</v>
      </c>
      <c r="C1693" t="s">
        <v>146</v>
      </c>
      <c r="D1693" t="s">
        <v>2236</v>
      </c>
      <c r="E1693" t="s">
        <v>1876</v>
      </c>
      <c r="F1693">
        <v>8406</v>
      </c>
    </row>
    <row r="1694" spans="1:6" x14ac:dyDescent="0.25">
      <c r="A1694" t="s">
        <v>3926</v>
      </c>
      <c r="B1694" t="s">
        <v>636</v>
      </c>
      <c r="C1694" t="s">
        <v>146</v>
      </c>
      <c r="D1694" t="s">
        <v>2048</v>
      </c>
      <c r="E1694" t="s">
        <v>1871</v>
      </c>
      <c r="F1694">
        <v>21017</v>
      </c>
    </row>
    <row r="1695" spans="1:6" x14ac:dyDescent="0.25">
      <c r="A1695" t="s">
        <v>3927</v>
      </c>
      <c r="B1695" t="s">
        <v>636</v>
      </c>
      <c r="C1695" t="s">
        <v>146</v>
      </c>
      <c r="D1695" t="s">
        <v>2307</v>
      </c>
      <c r="E1695" t="s">
        <v>1876</v>
      </c>
      <c r="F1695">
        <v>905</v>
      </c>
    </row>
    <row r="1696" spans="1:6" x14ac:dyDescent="0.25">
      <c r="A1696" t="s">
        <v>3928</v>
      </c>
      <c r="B1696" t="s">
        <v>639</v>
      </c>
      <c r="C1696" t="s">
        <v>73</v>
      </c>
      <c r="D1696" t="s">
        <v>2165</v>
      </c>
      <c r="E1696" t="s">
        <v>1871</v>
      </c>
      <c r="F1696">
        <v>47306</v>
      </c>
    </row>
    <row r="1697" spans="1:6" x14ac:dyDescent="0.25">
      <c r="A1697" t="s">
        <v>3929</v>
      </c>
      <c r="B1697" t="s">
        <v>639</v>
      </c>
      <c r="C1697" t="s">
        <v>73</v>
      </c>
      <c r="D1697" t="s">
        <v>2238</v>
      </c>
      <c r="E1697" t="s">
        <v>1879</v>
      </c>
      <c r="F1697">
        <v>31933</v>
      </c>
    </row>
    <row r="1698" spans="1:6" x14ac:dyDescent="0.25">
      <c r="A1698" t="s">
        <v>3930</v>
      </c>
      <c r="B1698" t="s">
        <v>639</v>
      </c>
      <c r="C1698" t="s">
        <v>73</v>
      </c>
      <c r="D1698" t="s">
        <v>2427</v>
      </c>
      <c r="E1698" t="s">
        <v>1876</v>
      </c>
      <c r="F1698">
        <v>34096</v>
      </c>
    </row>
    <row r="1699" spans="1:6" x14ac:dyDescent="0.25">
      <c r="A1699" t="s">
        <v>3931</v>
      </c>
      <c r="B1699" t="s">
        <v>639</v>
      </c>
      <c r="C1699" t="s">
        <v>73</v>
      </c>
      <c r="D1699" t="s">
        <v>3188</v>
      </c>
      <c r="E1699" t="s">
        <v>1876</v>
      </c>
      <c r="F1699">
        <v>2276</v>
      </c>
    </row>
    <row r="1700" spans="1:6" x14ac:dyDescent="0.25">
      <c r="A1700" t="s">
        <v>3932</v>
      </c>
      <c r="B1700" t="s">
        <v>639</v>
      </c>
      <c r="C1700" t="s">
        <v>73</v>
      </c>
      <c r="D1700" t="s">
        <v>3115</v>
      </c>
      <c r="E1700" t="s">
        <v>1879</v>
      </c>
      <c r="F1700">
        <v>46235</v>
      </c>
    </row>
    <row r="1701" spans="1:6" x14ac:dyDescent="0.25">
      <c r="A1701" t="s">
        <v>3933</v>
      </c>
      <c r="B1701" t="s">
        <v>639</v>
      </c>
      <c r="C1701" t="s">
        <v>73</v>
      </c>
      <c r="D1701" t="s">
        <v>2491</v>
      </c>
      <c r="E1701" t="s">
        <v>1886</v>
      </c>
      <c r="F1701">
        <v>11026</v>
      </c>
    </row>
    <row r="1702" spans="1:6" x14ac:dyDescent="0.25">
      <c r="A1702" t="s">
        <v>3934</v>
      </c>
      <c r="B1702" t="s">
        <v>639</v>
      </c>
      <c r="C1702" t="s">
        <v>73</v>
      </c>
      <c r="D1702" t="s">
        <v>2599</v>
      </c>
      <c r="E1702" t="s">
        <v>1876</v>
      </c>
      <c r="F1702">
        <v>355</v>
      </c>
    </row>
    <row r="1703" spans="1:6" x14ac:dyDescent="0.25">
      <c r="A1703" t="s">
        <v>3935</v>
      </c>
      <c r="B1703" t="s">
        <v>639</v>
      </c>
      <c r="C1703" t="s">
        <v>73</v>
      </c>
      <c r="D1703" t="s">
        <v>1988</v>
      </c>
      <c r="E1703" t="s">
        <v>1871</v>
      </c>
      <c r="F1703">
        <v>55763</v>
      </c>
    </row>
    <row r="1704" spans="1:6" x14ac:dyDescent="0.25">
      <c r="A1704" t="s">
        <v>3936</v>
      </c>
      <c r="B1704" t="s">
        <v>639</v>
      </c>
      <c r="C1704" t="s">
        <v>73</v>
      </c>
      <c r="D1704" t="s">
        <v>2756</v>
      </c>
      <c r="E1704" t="s">
        <v>1886</v>
      </c>
      <c r="F1704">
        <v>29504</v>
      </c>
    </row>
    <row r="1705" spans="1:6" x14ac:dyDescent="0.25">
      <c r="A1705" t="s">
        <v>3937</v>
      </c>
      <c r="B1705" t="s">
        <v>639</v>
      </c>
      <c r="C1705" t="s">
        <v>73</v>
      </c>
      <c r="D1705" t="s">
        <v>2316</v>
      </c>
      <c r="E1705" t="s">
        <v>1879</v>
      </c>
      <c r="F1705">
        <v>56390</v>
      </c>
    </row>
    <row r="1706" spans="1:6" x14ac:dyDescent="0.25">
      <c r="A1706" t="s">
        <v>3938</v>
      </c>
      <c r="B1706" t="s">
        <v>642</v>
      </c>
      <c r="C1706" t="s">
        <v>51</v>
      </c>
      <c r="D1706" t="s">
        <v>1960</v>
      </c>
      <c r="E1706" t="s">
        <v>1886</v>
      </c>
      <c r="F1706">
        <v>33995</v>
      </c>
    </row>
    <row r="1707" spans="1:6" x14ac:dyDescent="0.25">
      <c r="A1707" t="s">
        <v>3939</v>
      </c>
      <c r="B1707" t="s">
        <v>642</v>
      </c>
      <c r="C1707" t="s">
        <v>51</v>
      </c>
      <c r="D1707" t="s">
        <v>1986</v>
      </c>
      <c r="E1707" t="s">
        <v>1876</v>
      </c>
      <c r="F1707">
        <v>9759</v>
      </c>
    </row>
    <row r="1708" spans="1:6" x14ac:dyDescent="0.25">
      <c r="A1708" t="s">
        <v>3940</v>
      </c>
      <c r="B1708" t="s">
        <v>642</v>
      </c>
      <c r="C1708" t="s">
        <v>51</v>
      </c>
      <c r="D1708" t="s">
        <v>2032</v>
      </c>
      <c r="E1708" t="s">
        <v>1879</v>
      </c>
      <c r="F1708">
        <v>11728</v>
      </c>
    </row>
    <row r="1709" spans="1:6" x14ac:dyDescent="0.25">
      <c r="A1709" t="s">
        <v>3941</v>
      </c>
      <c r="B1709" t="s">
        <v>642</v>
      </c>
      <c r="C1709" t="s">
        <v>51</v>
      </c>
      <c r="D1709" t="s">
        <v>2179</v>
      </c>
      <c r="E1709" t="s">
        <v>1871</v>
      </c>
      <c r="F1709">
        <v>8089</v>
      </c>
    </row>
    <row r="1710" spans="1:6" x14ac:dyDescent="0.25">
      <c r="A1710" t="s">
        <v>3942</v>
      </c>
      <c r="B1710" t="s">
        <v>642</v>
      </c>
      <c r="C1710" t="s">
        <v>51</v>
      </c>
      <c r="D1710" t="s">
        <v>3076</v>
      </c>
      <c r="E1710" t="s">
        <v>1915</v>
      </c>
      <c r="F1710">
        <v>27475</v>
      </c>
    </row>
    <row r="1711" spans="1:6" x14ac:dyDescent="0.25">
      <c r="A1711" t="s">
        <v>3943</v>
      </c>
      <c r="B1711" t="s">
        <v>642</v>
      </c>
      <c r="C1711" t="s">
        <v>51</v>
      </c>
      <c r="D1711" t="s">
        <v>2535</v>
      </c>
      <c r="E1711" t="s">
        <v>1879</v>
      </c>
      <c r="F1711">
        <v>666</v>
      </c>
    </row>
    <row r="1712" spans="1:6" x14ac:dyDescent="0.25">
      <c r="A1712" t="s">
        <v>3944</v>
      </c>
      <c r="B1712" t="s">
        <v>642</v>
      </c>
      <c r="C1712" t="s">
        <v>51</v>
      </c>
      <c r="D1712" t="s">
        <v>2527</v>
      </c>
      <c r="E1712" t="s">
        <v>1876</v>
      </c>
      <c r="F1712">
        <v>12379</v>
      </c>
    </row>
    <row r="1713" spans="1:6" x14ac:dyDescent="0.25">
      <c r="A1713" t="s">
        <v>3945</v>
      </c>
      <c r="B1713" t="s">
        <v>642</v>
      </c>
      <c r="C1713" t="s">
        <v>51</v>
      </c>
      <c r="D1713" t="s">
        <v>2343</v>
      </c>
      <c r="E1713" t="s">
        <v>1871</v>
      </c>
      <c r="F1713">
        <v>4271</v>
      </c>
    </row>
    <row r="1714" spans="1:6" x14ac:dyDescent="0.25">
      <c r="A1714" t="s">
        <v>3946</v>
      </c>
      <c r="B1714" t="s">
        <v>642</v>
      </c>
      <c r="C1714" t="s">
        <v>51</v>
      </c>
      <c r="D1714" t="s">
        <v>2464</v>
      </c>
      <c r="E1714" t="s">
        <v>1871</v>
      </c>
      <c r="F1714">
        <v>11328</v>
      </c>
    </row>
    <row r="1715" spans="1:6" x14ac:dyDescent="0.25">
      <c r="A1715" t="s">
        <v>3947</v>
      </c>
      <c r="B1715" t="s">
        <v>642</v>
      </c>
      <c r="C1715" t="s">
        <v>51</v>
      </c>
      <c r="D1715" t="s">
        <v>2122</v>
      </c>
      <c r="E1715" t="s">
        <v>1915</v>
      </c>
      <c r="F1715">
        <v>5725</v>
      </c>
    </row>
    <row r="1716" spans="1:6" x14ac:dyDescent="0.25">
      <c r="A1716" t="s">
        <v>3948</v>
      </c>
      <c r="B1716" t="s">
        <v>644</v>
      </c>
      <c r="C1716" t="s">
        <v>146</v>
      </c>
      <c r="D1716" t="s">
        <v>2193</v>
      </c>
      <c r="E1716" t="s">
        <v>1886</v>
      </c>
      <c r="F1716">
        <v>16540</v>
      </c>
    </row>
    <row r="1717" spans="1:6" x14ac:dyDescent="0.25">
      <c r="A1717" t="s">
        <v>3949</v>
      </c>
      <c r="B1717" t="s">
        <v>644</v>
      </c>
      <c r="C1717" t="s">
        <v>146</v>
      </c>
      <c r="D1717" t="s">
        <v>2234</v>
      </c>
      <c r="E1717" t="s">
        <v>1871</v>
      </c>
      <c r="F1717">
        <v>42117</v>
      </c>
    </row>
    <row r="1718" spans="1:6" x14ac:dyDescent="0.25">
      <c r="A1718" t="s">
        <v>3950</v>
      </c>
      <c r="B1718" t="s">
        <v>644</v>
      </c>
      <c r="C1718" t="s">
        <v>146</v>
      </c>
      <c r="D1718" t="s">
        <v>1900</v>
      </c>
      <c r="E1718" t="s">
        <v>1886</v>
      </c>
      <c r="F1718">
        <v>2798</v>
      </c>
    </row>
    <row r="1719" spans="1:6" x14ac:dyDescent="0.25">
      <c r="A1719" t="s">
        <v>3951</v>
      </c>
      <c r="B1719" t="s">
        <v>644</v>
      </c>
      <c r="C1719" t="s">
        <v>146</v>
      </c>
      <c r="D1719" t="s">
        <v>2088</v>
      </c>
      <c r="E1719" t="s">
        <v>1915</v>
      </c>
      <c r="F1719">
        <v>95071</v>
      </c>
    </row>
    <row r="1720" spans="1:6" x14ac:dyDescent="0.25">
      <c r="A1720" t="s">
        <v>3952</v>
      </c>
      <c r="B1720" t="s">
        <v>644</v>
      </c>
      <c r="C1720" t="s">
        <v>146</v>
      </c>
      <c r="D1720" t="s">
        <v>2132</v>
      </c>
      <c r="E1720" t="s">
        <v>1886</v>
      </c>
      <c r="F1720">
        <v>31386</v>
      </c>
    </row>
    <row r="1721" spans="1:6" x14ac:dyDescent="0.25">
      <c r="A1721" t="s">
        <v>3953</v>
      </c>
      <c r="B1721" t="s">
        <v>644</v>
      </c>
      <c r="C1721" t="s">
        <v>146</v>
      </c>
      <c r="D1721" t="s">
        <v>2226</v>
      </c>
      <c r="E1721" t="s">
        <v>1871</v>
      </c>
      <c r="F1721">
        <v>27825</v>
      </c>
    </row>
    <row r="1722" spans="1:6" x14ac:dyDescent="0.25">
      <c r="A1722" t="s">
        <v>3954</v>
      </c>
      <c r="B1722" t="s">
        <v>644</v>
      </c>
      <c r="C1722" t="s">
        <v>146</v>
      </c>
      <c r="D1722" t="s">
        <v>2173</v>
      </c>
      <c r="E1722" t="s">
        <v>1876</v>
      </c>
      <c r="F1722">
        <v>26574</v>
      </c>
    </row>
    <row r="1723" spans="1:6" x14ac:dyDescent="0.25">
      <c r="A1723" t="s">
        <v>3955</v>
      </c>
      <c r="B1723" t="s">
        <v>644</v>
      </c>
      <c r="C1723" t="s">
        <v>146</v>
      </c>
      <c r="D1723" t="s">
        <v>3956</v>
      </c>
      <c r="E1723" t="s">
        <v>1871</v>
      </c>
      <c r="F1723">
        <v>56026</v>
      </c>
    </row>
    <row r="1724" spans="1:6" x14ac:dyDescent="0.25">
      <c r="A1724" t="s">
        <v>3957</v>
      </c>
      <c r="B1724" t="s">
        <v>647</v>
      </c>
      <c r="C1724" t="s">
        <v>146</v>
      </c>
      <c r="D1724" t="s">
        <v>2404</v>
      </c>
      <c r="E1724" t="s">
        <v>1879</v>
      </c>
      <c r="F1724">
        <v>13358</v>
      </c>
    </row>
    <row r="1725" spans="1:6" x14ac:dyDescent="0.25">
      <c r="A1725" t="s">
        <v>3958</v>
      </c>
      <c r="B1725" t="s">
        <v>647</v>
      </c>
      <c r="C1725" t="s">
        <v>146</v>
      </c>
      <c r="D1725" t="s">
        <v>2863</v>
      </c>
      <c r="E1725" t="s">
        <v>1886</v>
      </c>
      <c r="F1725">
        <v>14212</v>
      </c>
    </row>
    <row r="1726" spans="1:6" x14ac:dyDescent="0.25">
      <c r="A1726" t="s">
        <v>3959</v>
      </c>
      <c r="B1726" t="s">
        <v>647</v>
      </c>
      <c r="C1726" t="s">
        <v>146</v>
      </c>
      <c r="D1726" t="s">
        <v>2466</v>
      </c>
      <c r="E1726" t="s">
        <v>1915</v>
      </c>
      <c r="F1726">
        <v>12057</v>
      </c>
    </row>
    <row r="1727" spans="1:6" x14ac:dyDescent="0.25">
      <c r="A1727" t="s">
        <v>3960</v>
      </c>
      <c r="B1727" t="s">
        <v>647</v>
      </c>
      <c r="C1727" t="s">
        <v>146</v>
      </c>
      <c r="D1727" t="s">
        <v>2357</v>
      </c>
      <c r="E1727" t="s">
        <v>1879</v>
      </c>
      <c r="F1727">
        <v>4428</v>
      </c>
    </row>
    <row r="1728" spans="1:6" x14ac:dyDescent="0.25">
      <c r="A1728" t="s">
        <v>3961</v>
      </c>
      <c r="B1728" t="s">
        <v>647</v>
      </c>
      <c r="C1728" t="s">
        <v>146</v>
      </c>
      <c r="D1728" t="s">
        <v>3395</v>
      </c>
      <c r="E1728" t="s">
        <v>1876</v>
      </c>
      <c r="F1728">
        <v>16243</v>
      </c>
    </row>
    <row r="1729" spans="1:6" x14ac:dyDescent="0.25">
      <c r="A1729" t="s">
        <v>3962</v>
      </c>
      <c r="B1729" t="s">
        <v>647</v>
      </c>
      <c r="C1729" t="s">
        <v>146</v>
      </c>
      <c r="D1729" t="s">
        <v>2779</v>
      </c>
      <c r="E1729" t="s">
        <v>1876</v>
      </c>
      <c r="F1729">
        <v>19513</v>
      </c>
    </row>
    <row r="1730" spans="1:6" x14ac:dyDescent="0.25">
      <c r="A1730" t="s">
        <v>3963</v>
      </c>
      <c r="B1730" t="s">
        <v>647</v>
      </c>
      <c r="C1730" t="s">
        <v>146</v>
      </c>
      <c r="D1730" t="s">
        <v>1892</v>
      </c>
      <c r="E1730" t="s">
        <v>1879</v>
      </c>
      <c r="F1730">
        <v>5164</v>
      </c>
    </row>
    <row r="1731" spans="1:6" x14ac:dyDescent="0.25">
      <c r="A1731" t="s">
        <v>3964</v>
      </c>
      <c r="B1731" t="s">
        <v>647</v>
      </c>
      <c r="C1731" t="s">
        <v>146</v>
      </c>
      <c r="D1731" t="s">
        <v>1943</v>
      </c>
      <c r="E1731" t="s">
        <v>1886</v>
      </c>
      <c r="F1731">
        <v>21715</v>
      </c>
    </row>
    <row r="1732" spans="1:6" x14ac:dyDescent="0.25">
      <c r="A1732" t="s">
        <v>3965</v>
      </c>
      <c r="B1732" t="s">
        <v>647</v>
      </c>
      <c r="C1732" t="s">
        <v>146</v>
      </c>
      <c r="D1732" t="s">
        <v>2320</v>
      </c>
      <c r="E1732" t="s">
        <v>1879</v>
      </c>
      <c r="F1732">
        <v>3641</v>
      </c>
    </row>
    <row r="1733" spans="1:6" x14ac:dyDescent="0.25">
      <c r="A1733" t="s">
        <v>3966</v>
      </c>
      <c r="B1733" t="s">
        <v>647</v>
      </c>
      <c r="C1733" t="s">
        <v>146</v>
      </c>
      <c r="D1733" t="s">
        <v>2513</v>
      </c>
      <c r="E1733" t="s">
        <v>1915</v>
      </c>
      <c r="F1733">
        <v>27990</v>
      </c>
    </row>
    <row r="1734" spans="1:6" x14ac:dyDescent="0.25">
      <c r="A1734" t="s">
        <v>3967</v>
      </c>
      <c r="B1734" t="s">
        <v>650</v>
      </c>
      <c r="C1734" t="s">
        <v>87</v>
      </c>
      <c r="D1734" t="s">
        <v>3174</v>
      </c>
      <c r="E1734" t="s">
        <v>1879</v>
      </c>
      <c r="F1734">
        <v>14519</v>
      </c>
    </row>
    <row r="1735" spans="1:6" x14ac:dyDescent="0.25">
      <c r="A1735" t="s">
        <v>3968</v>
      </c>
      <c r="B1735" t="s">
        <v>650</v>
      </c>
      <c r="C1735" t="s">
        <v>87</v>
      </c>
      <c r="D1735" t="s">
        <v>3969</v>
      </c>
      <c r="E1735" t="s">
        <v>1915</v>
      </c>
      <c r="F1735">
        <v>43904</v>
      </c>
    </row>
    <row r="1736" spans="1:6" x14ac:dyDescent="0.25">
      <c r="A1736" t="s">
        <v>3970</v>
      </c>
      <c r="B1736" t="s">
        <v>650</v>
      </c>
      <c r="C1736" t="s">
        <v>87</v>
      </c>
      <c r="D1736" t="s">
        <v>2193</v>
      </c>
      <c r="E1736" t="s">
        <v>1915</v>
      </c>
      <c r="F1736">
        <v>2866</v>
      </c>
    </row>
    <row r="1737" spans="1:6" x14ac:dyDescent="0.25">
      <c r="A1737" t="s">
        <v>3971</v>
      </c>
      <c r="B1737" t="s">
        <v>650</v>
      </c>
      <c r="C1737" t="s">
        <v>87</v>
      </c>
      <c r="D1737" t="s">
        <v>2028</v>
      </c>
      <c r="E1737" t="s">
        <v>1879</v>
      </c>
      <c r="F1737">
        <v>2493</v>
      </c>
    </row>
    <row r="1738" spans="1:6" x14ac:dyDescent="0.25">
      <c r="A1738" t="s">
        <v>3972</v>
      </c>
      <c r="B1738" t="s">
        <v>650</v>
      </c>
      <c r="C1738" t="s">
        <v>87</v>
      </c>
      <c r="D1738" t="s">
        <v>3129</v>
      </c>
      <c r="E1738" t="s">
        <v>1871</v>
      </c>
      <c r="F1738">
        <v>6657</v>
      </c>
    </row>
    <row r="1739" spans="1:6" x14ac:dyDescent="0.25">
      <c r="A1739" t="s">
        <v>3973</v>
      </c>
      <c r="B1739" t="s">
        <v>650</v>
      </c>
      <c r="C1739" t="s">
        <v>87</v>
      </c>
      <c r="D1739" t="s">
        <v>2024</v>
      </c>
      <c r="E1739" t="s">
        <v>1886</v>
      </c>
      <c r="F1739">
        <v>34020</v>
      </c>
    </row>
    <row r="1740" spans="1:6" x14ac:dyDescent="0.25">
      <c r="A1740" t="s">
        <v>3974</v>
      </c>
      <c r="B1740" t="s">
        <v>650</v>
      </c>
      <c r="C1740" t="s">
        <v>87</v>
      </c>
      <c r="D1740" t="s">
        <v>2095</v>
      </c>
      <c r="E1740" t="s">
        <v>1886</v>
      </c>
      <c r="F1740">
        <v>33414</v>
      </c>
    </row>
    <row r="1741" spans="1:6" x14ac:dyDescent="0.25">
      <c r="A1741" t="s">
        <v>3975</v>
      </c>
      <c r="B1741" t="s">
        <v>650</v>
      </c>
      <c r="C1741" t="s">
        <v>87</v>
      </c>
      <c r="D1741" t="s">
        <v>2409</v>
      </c>
      <c r="E1741" t="s">
        <v>1879</v>
      </c>
      <c r="F1741">
        <v>19021</v>
      </c>
    </row>
    <row r="1742" spans="1:6" x14ac:dyDescent="0.25">
      <c r="A1742" t="s">
        <v>3976</v>
      </c>
      <c r="B1742" t="s">
        <v>653</v>
      </c>
      <c r="C1742" t="s">
        <v>146</v>
      </c>
      <c r="D1742" t="s">
        <v>2141</v>
      </c>
      <c r="E1742" t="s">
        <v>1879</v>
      </c>
      <c r="F1742">
        <v>7149</v>
      </c>
    </row>
    <row r="1743" spans="1:6" x14ac:dyDescent="0.25">
      <c r="A1743" t="s">
        <v>3977</v>
      </c>
      <c r="B1743" t="s">
        <v>653</v>
      </c>
      <c r="C1743" t="s">
        <v>146</v>
      </c>
      <c r="D1743" t="s">
        <v>3047</v>
      </c>
      <c r="E1743" t="s">
        <v>1879</v>
      </c>
      <c r="F1743">
        <v>2384</v>
      </c>
    </row>
    <row r="1744" spans="1:6" x14ac:dyDescent="0.25">
      <c r="A1744" t="s">
        <v>3978</v>
      </c>
      <c r="B1744" t="s">
        <v>653</v>
      </c>
      <c r="C1744" t="s">
        <v>146</v>
      </c>
      <c r="D1744" t="s">
        <v>3446</v>
      </c>
      <c r="E1744" t="s">
        <v>1886</v>
      </c>
      <c r="F1744">
        <v>15310</v>
      </c>
    </row>
    <row r="1745" spans="1:6" x14ac:dyDescent="0.25">
      <c r="A1745" t="s">
        <v>3979</v>
      </c>
      <c r="B1745" t="s">
        <v>653</v>
      </c>
      <c r="C1745" t="s">
        <v>146</v>
      </c>
      <c r="D1745" t="s">
        <v>2513</v>
      </c>
      <c r="E1745" t="s">
        <v>1915</v>
      </c>
      <c r="F1745">
        <v>2120</v>
      </c>
    </row>
    <row r="1746" spans="1:6" x14ac:dyDescent="0.25">
      <c r="A1746" t="s">
        <v>3980</v>
      </c>
      <c r="B1746" t="s">
        <v>653</v>
      </c>
      <c r="C1746" t="s">
        <v>146</v>
      </c>
      <c r="D1746" t="s">
        <v>2316</v>
      </c>
      <c r="E1746" t="s">
        <v>1879</v>
      </c>
      <c r="F1746">
        <v>9818</v>
      </c>
    </row>
    <row r="1747" spans="1:6" x14ac:dyDescent="0.25">
      <c r="A1747" t="s">
        <v>3981</v>
      </c>
      <c r="B1747" t="s">
        <v>653</v>
      </c>
      <c r="C1747" t="s">
        <v>146</v>
      </c>
      <c r="D1747" t="s">
        <v>2072</v>
      </c>
      <c r="E1747" t="s">
        <v>1879</v>
      </c>
      <c r="F1747">
        <v>15638</v>
      </c>
    </row>
    <row r="1748" spans="1:6" x14ac:dyDescent="0.25">
      <c r="A1748" t="s">
        <v>3982</v>
      </c>
      <c r="B1748" t="s">
        <v>653</v>
      </c>
      <c r="C1748" t="s">
        <v>146</v>
      </c>
      <c r="D1748" t="s">
        <v>2230</v>
      </c>
      <c r="E1748" t="s">
        <v>1886</v>
      </c>
      <c r="F1748">
        <v>13346</v>
      </c>
    </row>
    <row r="1749" spans="1:6" x14ac:dyDescent="0.25">
      <c r="A1749" t="s">
        <v>3983</v>
      </c>
      <c r="B1749" t="s">
        <v>653</v>
      </c>
      <c r="C1749" t="s">
        <v>146</v>
      </c>
      <c r="D1749" t="s">
        <v>2770</v>
      </c>
      <c r="E1749" t="s">
        <v>1879</v>
      </c>
      <c r="F1749">
        <v>17338</v>
      </c>
    </row>
    <row r="1750" spans="1:6" x14ac:dyDescent="0.25">
      <c r="A1750" t="s">
        <v>3984</v>
      </c>
      <c r="B1750" t="s">
        <v>653</v>
      </c>
      <c r="C1750" t="s">
        <v>146</v>
      </c>
      <c r="D1750" t="s">
        <v>2254</v>
      </c>
      <c r="E1750" t="s">
        <v>1886</v>
      </c>
      <c r="F1750">
        <v>10383</v>
      </c>
    </row>
    <row r="1751" spans="1:6" x14ac:dyDescent="0.25">
      <c r="A1751" t="s">
        <v>3985</v>
      </c>
      <c r="B1751" t="s">
        <v>653</v>
      </c>
      <c r="C1751" t="s">
        <v>146</v>
      </c>
      <c r="D1751" t="s">
        <v>2055</v>
      </c>
      <c r="E1751" t="s">
        <v>1886</v>
      </c>
      <c r="F1751">
        <v>5271</v>
      </c>
    </row>
    <row r="1752" spans="1:6" x14ac:dyDescent="0.25">
      <c r="A1752" t="s">
        <v>3986</v>
      </c>
      <c r="B1752" t="s">
        <v>653</v>
      </c>
      <c r="C1752" t="s">
        <v>146</v>
      </c>
      <c r="D1752" t="s">
        <v>2242</v>
      </c>
      <c r="E1752" t="s">
        <v>1915</v>
      </c>
      <c r="F1752">
        <v>8029</v>
      </c>
    </row>
    <row r="1753" spans="1:6" x14ac:dyDescent="0.25">
      <c r="A1753" t="s">
        <v>3987</v>
      </c>
      <c r="B1753" t="s">
        <v>653</v>
      </c>
      <c r="C1753" t="s">
        <v>146</v>
      </c>
      <c r="D1753" t="s">
        <v>2018</v>
      </c>
      <c r="E1753" t="s">
        <v>1915</v>
      </c>
      <c r="F1753">
        <v>10582</v>
      </c>
    </row>
    <row r="1754" spans="1:6" x14ac:dyDescent="0.25">
      <c r="A1754" t="s">
        <v>3988</v>
      </c>
      <c r="B1754" t="s">
        <v>656</v>
      </c>
      <c r="C1754" t="s">
        <v>73</v>
      </c>
      <c r="D1754" t="s">
        <v>2095</v>
      </c>
      <c r="E1754" t="s">
        <v>1915</v>
      </c>
      <c r="F1754">
        <v>13321</v>
      </c>
    </row>
    <row r="1755" spans="1:6" x14ac:dyDescent="0.25">
      <c r="A1755" t="s">
        <v>3989</v>
      </c>
      <c r="B1755" t="s">
        <v>656</v>
      </c>
      <c r="C1755" t="s">
        <v>73</v>
      </c>
      <c r="D1755" t="s">
        <v>2057</v>
      </c>
      <c r="E1755" t="s">
        <v>1871</v>
      </c>
      <c r="F1755">
        <v>3291</v>
      </c>
    </row>
    <row r="1756" spans="1:6" x14ac:dyDescent="0.25">
      <c r="A1756" t="s">
        <v>3990</v>
      </c>
      <c r="B1756" t="s">
        <v>656</v>
      </c>
      <c r="C1756" t="s">
        <v>73</v>
      </c>
      <c r="D1756" t="s">
        <v>1935</v>
      </c>
      <c r="E1756" t="s">
        <v>1879</v>
      </c>
      <c r="F1756">
        <v>18422</v>
      </c>
    </row>
    <row r="1757" spans="1:6" x14ac:dyDescent="0.25">
      <c r="A1757" t="s">
        <v>3991</v>
      </c>
      <c r="B1757" t="s">
        <v>656</v>
      </c>
      <c r="C1757" t="s">
        <v>73</v>
      </c>
      <c r="D1757" t="s">
        <v>2155</v>
      </c>
      <c r="E1757" t="s">
        <v>1915</v>
      </c>
      <c r="F1757">
        <v>14195</v>
      </c>
    </row>
    <row r="1758" spans="1:6" x14ac:dyDescent="0.25">
      <c r="A1758" t="s">
        <v>3992</v>
      </c>
      <c r="B1758" t="s">
        <v>656</v>
      </c>
      <c r="C1758" t="s">
        <v>73</v>
      </c>
      <c r="D1758" t="s">
        <v>1945</v>
      </c>
      <c r="E1758" t="s">
        <v>1871</v>
      </c>
      <c r="F1758">
        <v>10554</v>
      </c>
    </row>
    <row r="1759" spans="1:6" x14ac:dyDescent="0.25">
      <c r="A1759" t="s">
        <v>3993</v>
      </c>
      <c r="B1759" t="s">
        <v>656</v>
      </c>
      <c r="C1759" t="s">
        <v>73</v>
      </c>
      <c r="D1759" t="s">
        <v>1943</v>
      </c>
      <c r="E1759" t="s">
        <v>1915</v>
      </c>
      <c r="F1759">
        <v>29319</v>
      </c>
    </row>
    <row r="1760" spans="1:6" x14ac:dyDescent="0.25">
      <c r="A1760" t="s">
        <v>3994</v>
      </c>
      <c r="B1760" t="s">
        <v>656</v>
      </c>
      <c r="C1760" t="s">
        <v>73</v>
      </c>
      <c r="D1760" t="s">
        <v>2507</v>
      </c>
      <c r="E1760" t="s">
        <v>1879</v>
      </c>
      <c r="F1760">
        <v>11949</v>
      </c>
    </row>
    <row r="1761" spans="1:6" x14ac:dyDescent="0.25">
      <c r="A1761" t="s">
        <v>3995</v>
      </c>
      <c r="B1761" t="s">
        <v>659</v>
      </c>
      <c r="C1761" t="s">
        <v>96</v>
      </c>
      <c r="D1761" t="s">
        <v>2914</v>
      </c>
      <c r="E1761" t="s">
        <v>1871</v>
      </c>
      <c r="F1761">
        <v>4203</v>
      </c>
    </row>
    <row r="1762" spans="1:6" x14ac:dyDescent="0.25">
      <c r="A1762" t="s">
        <v>3996</v>
      </c>
      <c r="B1762" t="s">
        <v>659</v>
      </c>
      <c r="C1762" t="s">
        <v>96</v>
      </c>
      <c r="D1762" t="s">
        <v>2163</v>
      </c>
      <c r="E1762" t="s">
        <v>1876</v>
      </c>
      <c r="F1762">
        <v>7923</v>
      </c>
    </row>
    <row r="1763" spans="1:6" x14ac:dyDescent="0.25">
      <c r="A1763" t="s">
        <v>3997</v>
      </c>
      <c r="B1763" t="s">
        <v>659</v>
      </c>
      <c r="C1763" t="s">
        <v>96</v>
      </c>
      <c r="D1763" t="s">
        <v>2022</v>
      </c>
      <c r="E1763" t="s">
        <v>1871</v>
      </c>
      <c r="F1763">
        <v>2650</v>
      </c>
    </row>
    <row r="1764" spans="1:6" x14ac:dyDescent="0.25">
      <c r="A1764" t="s">
        <v>3998</v>
      </c>
      <c r="B1764" t="s">
        <v>659</v>
      </c>
      <c r="C1764" t="s">
        <v>96</v>
      </c>
      <c r="D1764" t="s">
        <v>3313</v>
      </c>
      <c r="E1764" t="s">
        <v>1915</v>
      </c>
      <c r="F1764">
        <v>23072</v>
      </c>
    </row>
    <row r="1765" spans="1:6" x14ac:dyDescent="0.25">
      <c r="A1765" t="s">
        <v>3999</v>
      </c>
      <c r="B1765" t="s">
        <v>659</v>
      </c>
      <c r="C1765" t="s">
        <v>96</v>
      </c>
      <c r="D1765" t="s">
        <v>1912</v>
      </c>
      <c r="E1765" t="s">
        <v>1886</v>
      </c>
      <c r="F1765">
        <v>3026</v>
      </c>
    </row>
    <row r="1766" spans="1:6" x14ac:dyDescent="0.25">
      <c r="A1766" t="s">
        <v>4000</v>
      </c>
      <c r="B1766" t="s">
        <v>659</v>
      </c>
      <c r="C1766" t="s">
        <v>96</v>
      </c>
      <c r="D1766" t="s">
        <v>2477</v>
      </c>
      <c r="E1766" t="s">
        <v>1915</v>
      </c>
      <c r="F1766">
        <v>4642</v>
      </c>
    </row>
    <row r="1767" spans="1:6" x14ac:dyDescent="0.25">
      <c r="A1767" t="s">
        <v>4001</v>
      </c>
      <c r="B1767" t="s">
        <v>659</v>
      </c>
      <c r="C1767" t="s">
        <v>96</v>
      </c>
      <c r="D1767" t="s">
        <v>2355</v>
      </c>
      <c r="E1767" t="s">
        <v>1876</v>
      </c>
      <c r="F1767">
        <v>3037</v>
      </c>
    </row>
    <row r="1768" spans="1:6" x14ac:dyDescent="0.25">
      <c r="A1768" t="s">
        <v>4002</v>
      </c>
      <c r="B1768" t="s">
        <v>659</v>
      </c>
      <c r="C1768" t="s">
        <v>96</v>
      </c>
      <c r="D1768" t="s">
        <v>2857</v>
      </c>
      <c r="E1768" t="s">
        <v>1879</v>
      </c>
      <c r="F1768">
        <v>4367</v>
      </c>
    </row>
    <row r="1769" spans="1:6" x14ac:dyDescent="0.25">
      <c r="A1769" t="s">
        <v>4003</v>
      </c>
      <c r="B1769" t="s">
        <v>662</v>
      </c>
      <c r="C1769" t="s">
        <v>51</v>
      </c>
      <c r="D1769" t="s">
        <v>2284</v>
      </c>
      <c r="E1769" t="s">
        <v>1879</v>
      </c>
      <c r="F1769">
        <v>20991</v>
      </c>
    </row>
    <row r="1770" spans="1:6" x14ac:dyDescent="0.25">
      <c r="A1770" t="s">
        <v>4004</v>
      </c>
      <c r="B1770" t="s">
        <v>662</v>
      </c>
      <c r="C1770" t="s">
        <v>51</v>
      </c>
      <c r="D1770" t="s">
        <v>3615</v>
      </c>
      <c r="E1770" t="s">
        <v>1871</v>
      </c>
      <c r="F1770">
        <v>26205</v>
      </c>
    </row>
    <row r="1771" spans="1:6" x14ac:dyDescent="0.25">
      <c r="A1771" t="s">
        <v>4005</v>
      </c>
      <c r="B1771" t="s">
        <v>662</v>
      </c>
      <c r="C1771" t="s">
        <v>51</v>
      </c>
      <c r="D1771" t="s">
        <v>2803</v>
      </c>
      <c r="E1771" t="s">
        <v>1876</v>
      </c>
      <c r="F1771">
        <v>16665</v>
      </c>
    </row>
    <row r="1772" spans="1:6" x14ac:dyDescent="0.25">
      <c r="A1772" t="s">
        <v>4006</v>
      </c>
      <c r="B1772" t="s">
        <v>662</v>
      </c>
      <c r="C1772" t="s">
        <v>51</v>
      </c>
      <c r="D1772" t="s">
        <v>2812</v>
      </c>
      <c r="E1772" t="s">
        <v>1871</v>
      </c>
      <c r="F1772">
        <v>22740</v>
      </c>
    </row>
    <row r="1773" spans="1:6" x14ac:dyDescent="0.25">
      <c r="A1773" t="s">
        <v>4007</v>
      </c>
      <c r="B1773" t="s">
        <v>662</v>
      </c>
      <c r="C1773" t="s">
        <v>51</v>
      </c>
      <c r="D1773" t="s">
        <v>2803</v>
      </c>
      <c r="E1773" t="s">
        <v>1915</v>
      </c>
      <c r="F1773">
        <v>25076</v>
      </c>
    </row>
    <row r="1774" spans="1:6" x14ac:dyDescent="0.25">
      <c r="A1774" t="s">
        <v>4008</v>
      </c>
      <c r="B1774" t="s">
        <v>662</v>
      </c>
      <c r="C1774" t="s">
        <v>51</v>
      </c>
      <c r="D1774" t="s">
        <v>2165</v>
      </c>
      <c r="E1774" t="s">
        <v>1879</v>
      </c>
      <c r="F1774">
        <v>2071</v>
      </c>
    </row>
    <row r="1775" spans="1:6" x14ac:dyDescent="0.25">
      <c r="A1775" t="s">
        <v>4009</v>
      </c>
      <c r="B1775" t="s">
        <v>662</v>
      </c>
      <c r="C1775" t="s">
        <v>51</v>
      </c>
      <c r="D1775" t="s">
        <v>3093</v>
      </c>
      <c r="E1775" t="s">
        <v>1871</v>
      </c>
      <c r="F1775">
        <v>375</v>
      </c>
    </row>
    <row r="1776" spans="1:6" x14ac:dyDescent="0.25">
      <c r="A1776" t="s">
        <v>4010</v>
      </c>
      <c r="B1776" t="s">
        <v>662</v>
      </c>
      <c r="C1776" t="s">
        <v>51</v>
      </c>
      <c r="D1776" t="s">
        <v>1984</v>
      </c>
      <c r="E1776" t="s">
        <v>1915</v>
      </c>
      <c r="F1776">
        <v>44113</v>
      </c>
    </row>
    <row r="1777" spans="1:6" x14ac:dyDescent="0.25">
      <c r="A1777" t="s">
        <v>4011</v>
      </c>
      <c r="B1777" t="s">
        <v>662</v>
      </c>
      <c r="C1777" t="s">
        <v>51</v>
      </c>
      <c r="D1777" t="s">
        <v>2464</v>
      </c>
      <c r="E1777" t="s">
        <v>1879</v>
      </c>
      <c r="F1777">
        <v>28551</v>
      </c>
    </row>
    <row r="1778" spans="1:6" x14ac:dyDescent="0.25">
      <c r="A1778" t="s">
        <v>4012</v>
      </c>
      <c r="B1778" t="s">
        <v>662</v>
      </c>
      <c r="C1778" t="s">
        <v>51</v>
      </c>
      <c r="D1778" t="s">
        <v>1949</v>
      </c>
      <c r="E1778" t="s">
        <v>1876</v>
      </c>
      <c r="F1778">
        <v>32349</v>
      </c>
    </row>
    <row r="1779" spans="1:6" x14ac:dyDescent="0.25">
      <c r="A1779" t="s">
        <v>4013</v>
      </c>
      <c r="B1779" t="s">
        <v>665</v>
      </c>
      <c r="C1779" t="s">
        <v>73</v>
      </c>
      <c r="D1779" t="s">
        <v>2535</v>
      </c>
      <c r="E1779" t="s">
        <v>1876</v>
      </c>
      <c r="F1779">
        <v>5726</v>
      </c>
    </row>
    <row r="1780" spans="1:6" x14ac:dyDescent="0.25">
      <c r="A1780" t="s">
        <v>4014</v>
      </c>
      <c r="B1780" t="s">
        <v>665</v>
      </c>
      <c r="C1780" t="s">
        <v>73</v>
      </c>
      <c r="D1780" t="s">
        <v>1978</v>
      </c>
      <c r="E1780" t="s">
        <v>1886</v>
      </c>
      <c r="F1780">
        <v>16343</v>
      </c>
    </row>
    <row r="1781" spans="1:6" x14ac:dyDescent="0.25">
      <c r="A1781" t="s">
        <v>4015</v>
      </c>
      <c r="B1781" t="s">
        <v>665</v>
      </c>
      <c r="C1781" t="s">
        <v>73</v>
      </c>
      <c r="D1781" t="s">
        <v>2531</v>
      </c>
      <c r="E1781" t="s">
        <v>1871</v>
      </c>
      <c r="F1781">
        <v>6166</v>
      </c>
    </row>
    <row r="1782" spans="1:6" x14ac:dyDescent="0.25">
      <c r="A1782" t="s">
        <v>4016</v>
      </c>
      <c r="B1782" t="s">
        <v>665</v>
      </c>
      <c r="C1782" t="s">
        <v>73</v>
      </c>
      <c r="D1782" t="s">
        <v>2432</v>
      </c>
      <c r="E1782" t="s">
        <v>1876</v>
      </c>
      <c r="F1782">
        <v>7621</v>
      </c>
    </row>
    <row r="1783" spans="1:6" x14ac:dyDescent="0.25">
      <c r="A1783" t="s">
        <v>4017</v>
      </c>
      <c r="B1783" t="s">
        <v>665</v>
      </c>
      <c r="C1783" t="s">
        <v>73</v>
      </c>
      <c r="D1783" t="s">
        <v>2816</v>
      </c>
      <c r="E1783" t="s">
        <v>1886</v>
      </c>
      <c r="F1783">
        <v>13518</v>
      </c>
    </row>
    <row r="1784" spans="1:6" x14ac:dyDescent="0.25">
      <c r="A1784" t="s">
        <v>4018</v>
      </c>
      <c r="B1784" t="s">
        <v>665</v>
      </c>
      <c r="C1784" t="s">
        <v>73</v>
      </c>
      <c r="D1784" t="s">
        <v>2028</v>
      </c>
      <c r="E1784" t="s">
        <v>1886</v>
      </c>
      <c r="F1784">
        <v>20834</v>
      </c>
    </row>
    <row r="1785" spans="1:6" x14ac:dyDescent="0.25">
      <c r="A1785" t="s">
        <v>4019</v>
      </c>
      <c r="B1785" t="s">
        <v>665</v>
      </c>
      <c r="C1785" t="s">
        <v>73</v>
      </c>
      <c r="D1785" t="s">
        <v>1937</v>
      </c>
      <c r="E1785" t="s">
        <v>1871</v>
      </c>
      <c r="F1785">
        <v>8997</v>
      </c>
    </row>
    <row r="1786" spans="1:6" x14ac:dyDescent="0.25">
      <c r="A1786" t="s">
        <v>4020</v>
      </c>
      <c r="B1786" t="s">
        <v>665</v>
      </c>
      <c r="C1786" t="s">
        <v>73</v>
      </c>
      <c r="D1786" t="s">
        <v>2238</v>
      </c>
      <c r="E1786" t="s">
        <v>1915</v>
      </c>
      <c r="F1786">
        <v>16857</v>
      </c>
    </row>
    <row r="1787" spans="1:6" x14ac:dyDescent="0.25">
      <c r="A1787" t="s">
        <v>4021</v>
      </c>
      <c r="B1787" t="s">
        <v>665</v>
      </c>
      <c r="C1787" t="s">
        <v>73</v>
      </c>
      <c r="D1787" t="s">
        <v>2139</v>
      </c>
      <c r="E1787" t="s">
        <v>1876</v>
      </c>
      <c r="F1787">
        <v>4725</v>
      </c>
    </row>
    <row r="1788" spans="1:6" x14ac:dyDescent="0.25">
      <c r="A1788" t="s">
        <v>4022</v>
      </c>
      <c r="B1788" t="s">
        <v>665</v>
      </c>
      <c r="C1788" t="s">
        <v>73</v>
      </c>
      <c r="D1788" t="s">
        <v>2395</v>
      </c>
      <c r="E1788" t="s">
        <v>1871</v>
      </c>
      <c r="F1788">
        <v>1472</v>
      </c>
    </row>
    <row r="1789" spans="1:6" x14ac:dyDescent="0.25">
      <c r="A1789" t="s">
        <v>4023</v>
      </c>
      <c r="B1789" t="s">
        <v>665</v>
      </c>
      <c r="C1789" t="s">
        <v>73</v>
      </c>
      <c r="D1789" t="s">
        <v>2193</v>
      </c>
      <c r="E1789" t="s">
        <v>1871</v>
      </c>
      <c r="F1789">
        <v>640</v>
      </c>
    </row>
    <row r="1790" spans="1:6" x14ac:dyDescent="0.25">
      <c r="A1790" t="s">
        <v>4024</v>
      </c>
      <c r="B1790" t="s">
        <v>665</v>
      </c>
      <c r="C1790" t="s">
        <v>73</v>
      </c>
      <c r="D1790" t="s">
        <v>2095</v>
      </c>
      <c r="E1790" t="s">
        <v>1915</v>
      </c>
      <c r="F1790">
        <v>3728</v>
      </c>
    </row>
    <row r="1791" spans="1:6" x14ac:dyDescent="0.25">
      <c r="A1791" t="s">
        <v>4025</v>
      </c>
      <c r="B1791" t="s">
        <v>668</v>
      </c>
      <c r="C1791" t="s">
        <v>51</v>
      </c>
      <c r="D1791" t="s">
        <v>2628</v>
      </c>
      <c r="E1791" t="s">
        <v>1871</v>
      </c>
      <c r="F1791">
        <v>16576</v>
      </c>
    </row>
    <row r="1792" spans="1:6" x14ac:dyDescent="0.25">
      <c r="A1792" t="s">
        <v>4026</v>
      </c>
      <c r="B1792" t="s">
        <v>668</v>
      </c>
      <c r="C1792" t="s">
        <v>51</v>
      </c>
      <c r="D1792" t="s">
        <v>2139</v>
      </c>
      <c r="E1792" t="s">
        <v>1915</v>
      </c>
      <c r="F1792">
        <v>4423</v>
      </c>
    </row>
    <row r="1793" spans="1:6" x14ac:dyDescent="0.25">
      <c r="A1793" t="s">
        <v>4027</v>
      </c>
      <c r="B1793" t="s">
        <v>668</v>
      </c>
      <c r="C1793" t="s">
        <v>51</v>
      </c>
      <c r="D1793" t="s">
        <v>2914</v>
      </c>
      <c r="E1793" t="s">
        <v>1871</v>
      </c>
      <c r="F1793">
        <v>1962</v>
      </c>
    </row>
    <row r="1794" spans="1:6" x14ac:dyDescent="0.25">
      <c r="A1794" t="s">
        <v>4028</v>
      </c>
      <c r="B1794" t="s">
        <v>668</v>
      </c>
      <c r="C1794" t="s">
        <v>51</v>
      </c>
      <c r="D1794" t="s">
        <v>1943</v>
      </c>
      <c r="E1794" t="s">
        <v>1915</v>
      </c>
      <c r="F1794">
        <v>13089</v>
      </c>
    </row>
    <row r="1795" spans="1:6" x14ac:dyDescent="0.25">
      <c r="A1795" t="s">
        <v>4029</v>
      </c>
      <c r="B1795" t="s">
        <v>668</v>
      </c>
      <c r="C1795" t="s">
        <v>51</v>
      </c>
      <c r="D1795" t="s">
        <v>2488</v>
      </c>
      <c r="E1795" t="s">
        <v>1879</v>
      </c>
      <c r="F1795">
        <v>13047</v>
      </c>
    </row>
    <row r="1796" spans="1:6" x14ac:dyDescent="0.25">
      <c r="A1796" t="s">
        <v>4030</v>
      </c>
      <c r="B1796" t="s">
        <v>668</v>
      </c>
      <c r="C1796" t="s">
        <v>51</v>
      </c>
      <c r="D1796" t="s">
        <v>2181</v>
      </c>
      <c r="E1796" t="s">
        <v>1876</v>
      </c>
      <c r="F1796">
        <v>14583</v>
      </c>
    </row>
    <row r="1797" spans="1:6" x14ac:dyDescent="0.25">
      <c r="A1797" t="s">
        <v>4031</v>
      </c>
      <c r="B1797" t="s">
        <v>671</v>
      </c>
      <c r="C1797" t="s">
        <v>146</v>
      </c>
      <c r="D1797" t="s">
        <v>2226</v>
      </c>
      <c r="E1797" t="s">
        <v>1879</v>
      </c>
      <c r="F1797">
        <v>3205</v>
      </c>
    </row>
    <row r="1798" spans="1:6" x14ac:dyDescent="0.25">
      <c r="A1798" t="s">
        <v>4032</v>
      </c>
      <c r="B1798" t="s">
        <v>671</v>
      </c>
      <c r="C1798" t="s">
        <v>146</v>
      </c>
      <c r="D1798" t="s">
        <v>1975</v>
      </c>
      <c r="E1798" t="s">
        <v>1886</v>
      </c>
      <c r="F1798">
        <v>24415</v>
      </c>
    </row>
    <row r="1799" spans="1:6" x14ac:dyDescent="0.25">
      <c r="A1799" t="s">
        <v>4033</v>
      </c>
      <c r="B1799" t="s">
        <v>671</v>
      </c>
      <c r="C1799" t="s">
        <v>146</v>
      </c>
      <c r="D1799" t="s">
        <v>2030</v>
      </c>
      <c r="E1799" t="s">
        <v>1879</v>
      </c>
      <c r="F1799">
        <v>12535</v>
      </c>
    </row>
    <row r="1800" spans="1:6" x14ac:dyDescent="0.25">
      <c r="A1800" t="s">
        <v>4034</v>
      </c>
      <c r="B1800" t="s">
        <v>671</v>
      </c>
      <c r="C1800" t="s">
        <v>146</v>
      </c>
      <c r="D1800" t="s">
        <v>2735</v>
      </c>
      <c r="E1800" t="s">
        <v>1915</v>
      </c>
      <c r="F1800">
        <v>7067</v>
      </c>
    </row>
    <row r="1801" spans="1:6" x14ac:dyDescent="0.25">
      <c r="A1801" t="s">
        <v>4035</v>
      </c>
      <c r="B1801" t="s">
        <v>671</v>
      </c>
      <c r="C1801" t="s">
        <v>146</v>
      </c>
      <c r="D1801" t="s">
        <v>2278</v>
      </c>
      <c r="E1801" t="s">
        <v>1879</v>
      </c>
      <c r="F1801">
        <v>10775</v>
      </c>
    </row>
    <row r="1802" spans="1:6" x14ac:dyDescent="0.25">
      <c r="A1802" t="s">
        <v>4036</v>
      </c>
      <c r="B1802" t="s">
        <v>671</v>
      </c>
      <c r="C1802" t="s">
        <v>146</v>
      </c>
      <c r="D1802" t="s">
        <v>3142</v>
      </c>
      <c r="E1802" t="s">
        <v>1915</v>
      </c>
      <c r="F1802">
        <v>29137</v>
      </c>
    </row>
    <row r="1803" spans="1:6" x14ac:dyDescent="0.25">
      <c r="A1803" t="s">
        <v>4037</v>
      </c>
      <c r="B1803" t="s">
        <v>671</v>
      </c>
      <c r="C1803" t="s">
        <v>146</v>
      </c>
      <c r="D1803" t="s">
        <v>2230</v>
      </c>
      <c r="E1803" t="s">
        <v>1915</v>
      </c>
      <c r="F1803">
        <v>6997</v>
      </c>
    </row>
    <row r="1804" spans="1:6" x14ac:dyDescent="0.25">
      <c r="A1804" t="s">
        <v>4038</v>
      </c>
      <c r="B1804" t="s">
        <v>674</v>
      </c>
      <c r="C1804" t="s">
        <v>87</v>
      </c>
      <c r="D1804" t="s">
        <v>2502</v>
      </c>
      <c r="E1804" t="s">
        <v>1915</v>
      </c>
      <c r="F1804">
        <v>7110</v>
      </c>
    </row>
    <row r="1805" spans="1:6" x14ac:dyDescent="0.25">
      <c r="A1805" t="s">
        <v>4039</v>
      </c>
      <c r="B1805" t="s">
        <v>674</v>
      </c>
      <c r="C1805" t="s">
        <v>87</v>
      </c>
      <c r="D1805" t="s">
        <v>2649</v>
      </c>
      <c r="E1805" t="s">
        <v>1871</v>
      </c>
      <c r="F1805">
        <v>3529</v>
      </c>
    </row>
    <row r="1806" spans="1:6" x14ac:dyDescent="0.25">
      <c r="A1806" t="s">
        <v>4040</v>
      </c>
      <c r="B1806" t="s">
        <v>674</v>
      </c>
      <c r="C1806" t="s">
        <v>87</v>
      </c>
      <c r="D1806" t="s">
        <v>3486</v>
      </c>
      <c r="E1806" t="s">
        <v>1876</v>
      </c>
      <c r="F1806">
        <v>4915</v>
      </c>
    </row>
    <row r="1807" spans="1:6" x14ac:dyDescent="0.25">
      <c r="A1807" t="s">
        <v>4041</v>
      </c>
      <c r="B1807" t="s">
        <v>674</v>
      </c>
      <c r="C1807" t="s">
        <v>87</v>
      </c>
      <c r="D1807" t="s">
        <v>2173</v>
      </c>
      <c r="E1807" t="s">
        <v>1879</v>
      </c>
      <c r="F1807">
        <v>2159</v>
      </c>
    </row>
    <row r="1808" spans="1:6" x14ac:dyDescent="0.25">
      <c r="A1808" t="s">
        <v>4042</v>
      </c>
      <c r="B1808" t="s">
        <v>674</v>
      </c>
      <c r="C1808" t="s">
        <v>87</v>
      </c>
      <c r="D1808" t="s">
        <v>2855</v>
      </c>
      <c r="E1808" t="s">
        <v>1876</v>
      </c>
      <c r="F1808">
        <v>4859</v>
      </c>
    </row>
    <row r="1809" spans="1:6" x14ac:dyDescent="0.25">
      <c r="A1809" t="s">
        <v>4043</v>
      </c>
      <c r="B1809" t="s">
        <v>674</v>
      </c>
      <c r="C1809" t="s">
        <v>87</v>
      </c>
      <c r="D1809" t="s">
        <v>2409</v>
      </c>
      <c r="E1809" t="s">
        <v>1915</v>
      </c>
      <c r="F1809">
        <v>1905</v>
      </c>
    </row>
    <row r="1810" spans="1:6" x14ac:dyDescent="0.25">
      <c r="A1810" t="s">
        <v>4044</v>
      </c>
      <c r="B1810" t="s">
        <v>674</v>
      </c>
      <c r="C1810" t="s">
        <v>87</v>
      </c>
      <c r="D1810" t="s">
        <v>2747</v>
      </c>
      <c r="E1810" t="s">
        <v>1879</v>
      </c>
      <c r="F1810">
        <v>3716</v>
      </c>
    </row>
    <row r="1811" spans="1:6" x14ac:dyDescent="0.25">
      <c r="A1811" t="s">
        <v>4045</v>
      </c>
      <c r="B1811" t="s">
        <v>674</v>
      </c>
      <c r="C1811" t="s">
        <v>87</v>
      </c>
      <c r="D1811" t="s">
        <v>2314</v>
      </c>
      <c r="E1811" t="s">
        <v>1915</v>
      </c>
      <c r="F1811">
        <v>8997</v>
      </c>
    </row>
    <row r="1812" spans="1:6" x14ac:dyDescent="0.25">
      <c r="A1812" t="s">
        <v>4046</v>
      </c>
      <c r="B1812" t="s">
        <v>677</v>
      </c>
      <c r="C1812" t="s">
        <v>146</v>
      </c>
      <c r="D1812" t="s">
        <v>3615</v>
      </c>
      <c r="E1812" t="s">
        <v>1879</v>
      </c>
      <c r="F1812">
        <v>7466</v>
      </c>
    </row>
    <row r="1813" spans="1:6" x14ac:dyDescent="0.25">
      <c r="A1813" t="s">
        <v>4047</v>
      </c>
      <c r="B1813" t="s">
        <v>677</v>
      </c>
      <c r="C1813" t="s">
        <v>146</v>
      </c>
      <c r="D1813" t="s">
        <v>2364</v>
      </c>
      <c r="E1813" t="s">
        <v>1915</v>
      </c>
      <c r="F1813">
        <v>12917</v>
      </c>
    </row>
    <row r="1814" spans="1:6" x14ac:dyDescent="0.25">
      <c r="A1814" t="s">
        <v>4048</v>
      </c>
      <c r="B1814" t="s">
        <v>677</v>
      </c>
      <c r="C1814" t="s">
        <v>146</v>
      </c>
      <c r="D1814" t="s">
        <v>1978</v>
      </c>
      <c r="E1814" t="s">
        <v>1871</v>
      </c>
      <c r="F1814">
        <v>15005</v>
      </c>
    </row>
    <row r="1815" spans="1:6" x14ac:dyDescent="0.25">
      <c r="A1815" t="s">
        <v>4049</v>
      </c>
      <c r="B1815" t="s">
        <v>677</v>
      </c>
      <c r="C1815" t="s">
        <v>146</v>
      </c>
      <c r="D1815" t="s">
        <v>2269</v>
      </c>
      <c r="E1815" t="s">
        <v>1871</v>
      </c>
      <c r="F1815">
        <v>34927</v>
      </c>
    </row>
    <row r="1816" spans="1:6" x14ac:dyDescent="0.25">
      <c r="A1816" t="s">
        <v>4050</v>
      </c>
      <c r="B1816" t="s">
        <v>677</v>
      </c>
      <c r="C1816" t="s">
        <v>146</v>
      </c>
      <c r="D1816" t="s">
        <v>2468</v>
      </c>
      <c r="E1816" t="s">
        <v>1886</v>
      </c>
      <c r="F1816">
        <v>24191</v>
      </c>
    </row>
    <row r="1817" spans="1:6" x14ac:dyDescent="0.25">
      <c r="A1817" t="s">
        <v>4051</v>
      </c>
      <c r="B1817" t="s">
        <v>677</v>
      </c>
      <c r="C1817" t="s">
        <v>146</v>
      </c>
      <c r="D1817" t="s">
        <v>2155</v>
      </c>
      <c r="E1817" t="s">
        <v>1879</v>
      </c>
      <c r="F1817">
        <v>12133</v>
      </c>
    </row>
    <row r="1818" spans="1:6" x14ac:dyDescent="0.25">
      <c r="A1818" t="s">
        <v>4052</v>
      </c>
      <c r="B1818" t="s">
        <v>677</v>
      </c>
      <c r="C1818" t="s">
        <v>146</v>
      </c>
      <c r="D1818" t="s">
        <v>1910</v>
      </c>
      <c r="E1818" t="s">
        <v>1879</v>
      </c>
      <c r="F1818">
        <v>33708</v>
      </c>
    </row>
    <row r="1819" spans="1:6" x14ac:dyDescent="0.25">
      <c r="A1819" t="s">
        <v>4053</v>
      </c>
      <c r="B1819" t="s">
        <v>677</v>
      </c>
      <c r="C1819" t="s">
        <v>146</v>
      </c>
      <c r="D1819" t="s">
        <v>2849</v>
      </c>
      <c r="E1819" t="s">
        <v>1879</v>
      </c>
      <c r="F1819">
        <v>19869</v>
      </c>
    </row>
    <row r="1820" spans="1:6" x14ac:dyDescent="0.25">
      <c r="A1820" t="s">
        <v>4054</v>
      </c>
      <c r="B1820" t="s">
        <v>677</v>
      </c>
      <c r="C1820" t="s">
        <v>146</v>
      </c>
      <c r="D1820" t="s">
        <v>2271</v>
      </c>
      <c r="E1820" t="s">
        <v>1876</v>
      </c>
      <c r="F1820">
        <v>1650</v>
      </c>
    </row>
    <row r="1821" spans="1:6" x14ac:dyDescent="0.25">
      <c r="A1821" t="s">
        <v>4055</v>
      </c>
      <c r="B1821" t="s">
        <v>680</v>
      </c>
      <c r="C1821" t="s">
        <v>87</v>
      </c>
      <c r="D1821" t="s">
        <v>2473</v>
      </c>
      <c r="E1821" t="s">
        <v>1879</v>
      </c>
      <c r="F1821">
        <v>6725</v>
      </c>
    </row>
    <row r="1822" spans="1:6" x14ac:dyDescent="0.25">
      <c r="A1822" t="s">
        <v>4056</v>
      </c>
      <c r="B1822" t="s">
        <v>680</v>
      </c>
      <c r="C1822" t="s">
        <v>87</v>
      </c>
      <c r="D1822" t="s">
        <v>2333</v>
      </c>
      <c r="E1822" t="s">
        <v>1915</v>
      </c>
      <c r="F1822">
        <v>37079</v>
      </c>
    </row>
    <row r="1823" spans="1:6" x14ac:dyDescent="0.25">
      <c r="A1823" t="s">
        <v>4057</v>
      </c>
      <c r="B1823" t="s">
        <v>680</v>
      </c>
      <c r="C1823" t="s">
        <v>87</v>
      </c>
      <c r="D1823" t="s">
        <v>2148</v>
      </c>
      <c r="E1823" t="s">
        <v>1879</v>
      </c>
      <c r="F1823">
        <v>27782</v>
      </c>
    </row>
    <row r="1824" spans="1:6" x14ac:dyDescent="0.25">
      <c r="A1824" t="s">
        <v>4058</v>
      </c>
      <c r="B1824" t="s">
        <v>680</v>
      </c>
      <c r="C1824" t="s">
        <v>87</v>
      </c>
      <c r="D1824" t="s">
        <v>1960</v>
      </c>
      <c r="E1824" t="s">
        <v>1915</v>
      </c>
      <c r="F1824">
        <v>38055</v>
      </c>
    </row>
    <row r="1825" spans="1:6" x14ac:dyDescent="0.25">
      <c r="A1825" t="s">
        <v>4059</v>
      </c>
      <c r="B1825" t="s">
        <v>680</v>
      </c>
      <c r="C1825" t="s">
        <v>87</v>
      </c>
      <c r="D1825" t="s">
        <v>2722</v>
      </c>
      <c r="E1825" t="s">
        <v>1871</v>
      </c>
      <c r="F1825">
        <v>13575</v>
      </c>
    </row>
    <row r="1826" spans="1:6" x14ac:dyDescent="0.25">
      <c r="A1826" t="s">
        <v>4060</v>
      </c>
      <c r="B1826" t="s">
        <v>680</v>
      </c>
      <c r="C1826" t="s">
        <v>87</v>
      </c>
      <c r="D1826" t="s">
        <v>2053</v>
      </c>
      <c r="E1826" t="s">
        <v>1915</v>
      </c>
      <c r="F1826">
        <v>8843</v>
      </c>
    </row>
    <row r="1827" spans="1:6" x14ac:dyDescent="0.25">
      <c r="A1827" t="s">
        <v>4061</v>
      </c>
      <c r="B1827" t="s">
        <v>680</v>
      </c>
      <c r="C1827" t="s">
        <v>87</v>
      </c>
      <c r="D1827" t="s">
        <v>1902</v>
      </c>
      <c r="E1827" t="s">
        <v>1886</v>
      </c>
      <c r="F1827">
        <v>12593</v>
      </c>
    </row>
    <row r="1828" spans="1:6" x14ac:dyDescent="0.25">
      <c r="A1828" t="s">
        <v>4062</v>
      </c>
      <c r="B1828" t="s">
        <v>680</v>
      </c>
      <c r="C1828" t="s">
        <v>87</v>
      </c>
      <c r="D1828" t="s">
        <v>2978</v>
      </c>
      <c r="E1828" t="s">
        <v>1879</v>
      </c>
      <c r="F1828">
        <v>12663</v>
      </c>
    </row>
    <row r="1829" spans="1:6" x14ac:dyDescent="0.25">
      <c r="A1829" t="s">
        <v>4063</v>
      </c>
      <c r="B1829" t="s">
        <v>680</v>
      </c>
      <c r="C1829" t="s">
        <v>87</v>
      </c>
      <c r="D1829" t="s">
        <v>2099</v>
      </c>
      <c r="E1829" t="s">
        <v>1876</v>
      </c>
      <c r="F1829">
        <v>27672</v>
      </c>
    </row>
    <row r="1830" spans="1:6" x14ac:dyDescent="0.25">
      <c r="A1830" t="s">
        <v>4064</v>
      </c>
      <c r="B1830" t="s">
        <v>680</v>
      </c>
      <c r="C1830" t="s">
        <v>87</v>
      </c>
      <c r="D1830" t="s">
        <v>2366</v>
      </c>
      <c r="E1830" t="s">
        <v>1879</v>
      </c>
      <c r="F1830">
        <v>27000</v>
      </c>
    </row>
    <row r="1831" spans="1:6" x14ac:dyDescent="0.25">
      <c r="A1831" t="s">
        <v>4065</v>
      </c>
      <c r="B1831" t="s">
        <v>683</v>
      </c>
      <c r="C1831" t="s">
        <v>96</v>
      </c>
      <c r="D1831" t="s">
        <v>2956</v>
      </c>
      <c r="E1831" t="s">
        <v>1871</v>
      </c>
      <c r="F1831">
        <v>6638</v>
      </c>
    </row>
    <row r="1832" spans="1:6" x14ac:dyDescent="0.25">
      <c r="A1832" t="s">
        <v>4066</v>
      </c>
      <c r="B1832" t="s">
        <v>683</v>
      </c>
      <c r="C1832" t="s">
        <v>96</v>
      </c>
      <c r="D1832" t="s">
        <v>2738</v>
      </c>
      <c r="E1832" t="s">
        <v>1915</v>
      </c>
      <c r="F1832">
        <v>13878</v>
      </c>
    </row>
    <row r="1833" spans="1:6" x14ac:dyDescent="0.25">
      <c r="A1833" t="s">
        <v>4067</v>
      </c>
      <c r="B1833" t="s">
        <v>683</v>
      </c>
      <c r="C1833" t="s">
        <v>96</v>
      </c>
      <c r="D1833" t="s">
        <v>3623</v>
      </c>
      <c r="E1833" t="s">
        <v>1915</v>
      </c>
      <c r="F1833">
        <v>16173</v>
      </c>
    </row>
    <row r="1834" spans="1:6" x14ac:dyDescent="0.25">
      <c r="A1834" t="s">
        <v>4068</v>
      </c>
      <c r="B1834" t="s">
        <v>683</v>
      </c>
      <c r="C1834" t="s">
        <v>96</v>
      </c>
      <c r="D1834" t="s">
        <v>2137</v>
      </c>
      <c r="E1834" t="s">
        <v>1871</v>
      </c>
      <c r="F1834">
        <v>9003</v>
      </c>
    </row>
    <row r="1835" spans="1:6" x14ac:dyDescent="0.25">
      <c r="A1835" t="s">
        <v>4069</v>
      </c>
      <c r="B1835" t="s">
        <v>683</v>
      </c>
      <c r="C1835" t="s">
        <v>96</v>
      </c>
      <c r="D1835" t="s">
        <v>2295</v>
      </c>
      <c r="E1835" t="s">
        <v>1876</v>
      </c>
      <c r="F1835">
        <v>18892</v>
      </c>
    </row>
    <row r="1836" spans="1:6" x14ac:dyDescent="0.25">
      <c r="A1836" t="s">
        <v>4070</v>
      </c>
      <c r="B1836" t="s">
        <v>683</v>
      </c>
      <c r="C1836" t="s">
        <v>96</v>
      </c>
      <c r="D1836" t="s">
        <v>2185</v>
      </c>
      <c r="E1836" t="s">
        <v>1915</v>
      </c>
      <c r="F1836">
        <v>13239</v>
      </c>
    </row>
    <row r="1837" spans="1:6" x14ac:dyDescent="0.25">
      <c r="A1837" t="s">
        <v>4071</v>
      </c>
      <c r="B1837" t="s">
        <v>683</v>
      </c>
      <c r="C1837" t="s">
        <v>96</v>
      </c>
      <c r="D1837" t="s">
        <v>1931</v>
      </c>
      <c r="E1837" t="s">
        <v>1915</v>
      </c>
      <c r="F1837">
        <v>9654</v>
      </c>
    </row>
    <row r="1838" spans="1:6" x14ac:dyDescent="0.25">
      <c r="A1838" t="s">
        <v>4072</v>
      </c>
      <c r="B1838" t="s">
        <v>683</v>
      </c>
      <c r="C1838" t="s">
        <v>96</v>
      </c>
      <c r="D1838" t="s">
        <v>2708</v>
      </c>
      <c r="E1838" t="s">
        <v>1886</v>
      </c>
      <c r="F1838">
        <v>32716</v>
      </c>
    </row>
    <row r="1839" spans="1:6" x14ac:dyDescent="0.25">
      <c r="A1839" t="s">
        <v>4073</v>
      </c>
      <c r="B1839" t="s">
        <v>683</v>
      </c>
      <c r="C1839" t="s">
        <v>96</v>
      </c>
      <c r="D1839" t="s">
        <v>2978</v>
      </c>
      <c r="E1839" t="s">
        <v>1876</v>
      </c>
      <c r="F1839">
        <v>17398</v>
      </c>
    </row>
    <row r="1840" spans="1:6" x14ac:dyDescent="0.25">
      <c r="A1840" t="s">
        <v>4074</v>
      </c>
      <c r="B1840" t="s">
        <v>683</v>
      </c>
      <c r="C1840" t="s">
        <v>96</v>
      </c>
      <c r="D1840" t="s">
        <v>2169</v>
      </c>
      <c r="E1840" t="s">
        <v>1915</v>
      </c>
      <c r="F1840">
        <v>2021</v>
      </c>
    </row>
    <row r="1841" spans="1:6" x14ac:dyDescent="0.25">
      <c r="A1841" t="s">
        <v>4075</v>
      </c>
      <c r="B1841" t="s">
        <v>683</v>
      </c>
      <c r="C1841" t="s">
        <v>96</v>
      </c>
      <c r="D1841" t="s">
        <v>2713</v>
      </c>
      <c r="E1841" t="s">
        <v>1871</v>
      </c>
      <c r="F1841">
        <v>12500</v>
      </c>
    </row>
    <row r="1842" spans="1:6" x14ac:dyDescent="0.25">
      <c r="A1842" t="s">
        <v>4076</v>
      </c>
      <c r="B1842" t="s">
        <v>686</v>
      </c>
      <c r="C1842" t="s">
        <v>96</v>
      </c>
      <c r="D1842" t="s">
        <v>2445</v>
      </c>
      <c r="E1842" t="s">
        <v>1871</v>
      </c>
      <c r="F1842">
        <v>5630</v>
      </c>
    </row>
    <row r="1843" spans="1:6" x14ac:dyDescent="0.25">
      <c r="A1843" t="s">
        <v>4077</v>
      </c>
      <c r="B1843" t="s">
        <v>686</v>
      </c>
      <c r="C1843" t="s">
        <v>96</v>
      </c>
      <c r="D1843" t="s">
        <v>2473</v>
      </c>
      <c r="E1843" t="s">
        <v>1886</v>
      </c>
      <c r="F1843">
        <v>4553</v>
      </c>
    </row>
    <row r="1844" spans="1:6" x14ac:dyDescent="0.25">
      <c r="A1844" t="s">
        <v>4078</v>
      </c>
      <c r="B1844" t="s">
        <v>686</v>
      </c>
      <c r="C1844" t="s">
        <v>96</v>
      </c>
      <c r="D1844" t="s">
        <v>1762</v>
      </c>
      <c r="E1844" t="s">
        <v>1886</v>
      </c>
      <c r="F1844">
        <v>12943</v>
      </c>
    </row>
    <row r="1845" spans="1:6" x14ac:dyDescent="0.25">
      <c r="A1845" t="s">
        <v>4079</v>
      </c>
      <c r="B1845" t="s">
        <v>686</v>
      </c>
      <c r="C1845" t="s">
        <v>96</v>
      </c>
      <c r="D1845" t="s">
        <v>2583</v>
      </c>
      <c r="E1845" t="s">
        <v>1879</v>
      </c>
      <c r="F1845">
        <v>1203</v>
      </c>
    </row>
    <row r="1846" spans="1:6" x14ac:dyDescent="0.25">
      <c r="A1846" t="s">
        <v>4080</v>
      </c>
      <c r="B1846" t="s">
        <v>686</v>
      </c>
      <c r="C1846" t="s">
        <v>96</v>
      </c>
      <c r="D1846" t="s">
        <v>2450</v>
      </c>
      <c r="E1846" t="s">
        <v>1886</v>
      </c>
      <c r="F1846">
        <v>16673</v>
      </c>
    </row>
    <row r="1847" spans="1:6" x14ac:dyDescent="0.25">
      <c r="A1847" t="s">
        <v>4081</v>
      </c>
      <c r="B1847" t="s">
        <v>686</v>
      </c>
      <c r="C1847" t="s">
        <v>96</v>
      </c>
      <c r="D1847" t="s">
        <v>2887</v>
      </c>
      <c r="E1847" t="s">
        <v>1876</v>
      </c>
      <c r="F1847">
        <v>8781</v>
      </c>
    </row>
    <row r="1848" spans="1:6" x14ac:dyDescent="0.25">
      <c r="A1848" t="s">
        <v>4082</v>
      </c>
      <c r="B1848" t="s">
        <v>689</v>
      </c>
      <c r="C1848" t="s">
        <v>87</v>
      </c>
      <c r="D1848" t="s">
        <v>2395</v>
      </c>
      <c r="E1848" t="s">
        <v>1879</v>
      </c>
      <c r="F1848">
        <v>20229</v>
      </c>
    </row>
    <row r="1849" spans="1:6" x14ac:dyDescent="0.25">
      <c r="A1849" t="s">
        <v>4083</v>
      </c>
      <c r="B1849" t="s">
        <v>689</v>
      </c>
      <c r="C1849" t="s">
        <v>87</v>
      </c>
      <c r="D1849" t="s">
        <v>2382</v>
      </c>
      <c r="E1849" t="s">
        <v>1886</v>
      </c>
      <c r="F1849">
        <v>8297</v>
      </c>
    </row>
    <row r="1850" spans="1:6" x14ac:dyDescent="0.25">
      <c r="A1850" t="s">
        <v>4084</v>
      </c>
      <c r="B1850" t="s">
        <v>689</v>
      </c>
      <c r="C1850" t="s">
        <v>87</v>
      </c>
      <c r="D1850" t="s">
        <v>2395</v>
      </c>
      <c r="E1850" t="s">
        <v>1915</v>
      </c>
      <c r="F1850">
        <v>11358</v>
      </c>
    </row>
    <row r="1851" spans="1:6" x14ac:dyDescent="0.25">
      <c r="A1851" t="s">
        <v>4085</v>
      </c>
      <c r="B1851" t="s">
        <v>689</v>
      </c>
      <c r="C1851" t="s">
        <v>87</v>
      </c>
      <c r="D1851" t="s">
        <v>2747</v>
      </c>
      <c r="E1851" t="s">
        <v>1879</v>
      </c>
      <c r="F1851">
        <v>23511</v>
      </c>
    </row>
    <row r="1852" spans="1:6" x14ac:dyDescent="0.25">
      <c r="A1852" t="s">
        <v>4086</v>
      </c>
      <c r="B1852" t="s">
        <v>689</v>
      </c>
      <c r="C1852" t="s">
        <v>87</v>
      </c>
      <c r="D1852" t="s">
        <v>1962</v>
      </c>
      <c r="E1852" t="s">
        <v>1876</v>
      </c>
      <c r="F1852">
        <v>30816</v>
      </c>
    </row>
    <row r="1853" spans="1:6" x14ac:dyDescent="0.25">
      <c r="A1853" t="s">
        <v>4087</v>
      </c>
      <c r="B1853" t="s">
        <v>689</v>
      </c>
      <c r="C1853" t="s">
        <v>87</v>
      </c>
      <c r="D1853" t="s">
        <v>2615</v>
      </c>
      <c r="E1853" t="s">
        <v>1871</v>
      </c>
      <c r="F1853">
        <v>1555</v>
      </c>
    </row>
    <row r="1854" spans="1:6" x14ac:dyDescent="0.25">
      <c r="A1854" t="s">
        <v>4088</v>
      </c>
      <c r="B1854" t="s">
        <v>689</v>
      </c>
      <c r="C1854" t="s">
        <v>87</v>
      </c>
      <c r="D1854" t="s">
        <v>1975</v>
      </c>
      <c r="E1854" t="s">
        <v>1886</v>
      </c>
      <c r="F1854">
        <v>30285</v>
      </c>
    </row>
    <row r="1855" spans="1:6" x14ac:dyDescent="0.25">
      <c r="A1855" t="s">
        <v>4089</v>
      </c>
      <c r="B1855" t="s">
        <v>692</v>
      </c>
      <c r="C1855" t="s">
        <v>87</v>
      </c>
      <c r="D1855" t="s">
        <v>2297</v>
      </c>
      <c r="E1855" t="s">
        <v>1915</v>
      </c>
      <c r="F1855">
        <v>3858</v>
      </c>
    </row>
    <row r="1856" spans="1:6" x14ac:dyDescent="0.25">
      <c r="A1856" t="s">
        <v>4090</v>
      </c>
      <c r="B1856" t="s">
        <v>692</v>
      </c>
      <c r="C1856" t="s">
        <v>87</v>
      </c>
      <c r="D1856" t="s">
        <v>2387</v>
      </c>
      <c r="E1856" t="s">
        <v>1915</v>
      </c>
      <c r="F1856">
        <v>4017</v>
      </c>
    </row>
    <row r="1857" spans="1:6" x14ac:dyDescent="0.25">
      <c r="A1857" t="s">
        <v>4091</v>
      </c>
      <c r="B1857" t="s">
        <v>692</v>
      </c>
      <c r="C1857" t="s">
        <v>87</v>
      </c>
      <c r="D1857" t="s">
        <v>3785</v>
      </c>
      <c r="E1857" t="s">
        <v>1915</v>
      </c>
      <c r="F1857">
        <v>3980</v>
      </c>
    </row>
    <row r="1858" spans="1:6" x14ac:dyDescent="0.25">
      <c r="A1858" t="s">
        <v>4092</v>
      </c>
      <c r="B1858" t="s">
        <v>692</v>
      </c>
      <c r="C1858" t="s">
        <v>87</v>
      </c>
      <c r="D1858" t="s">
        <v>2464</v>
      </c>
      <c r="E1858" t="s">
        <v>1915</v>
      </c>
      <c r="F1858">
        <v>15640</v>
      </c>
    </row>
    <row r="1859" spans="1:6" x14ac:dyDescent="0.25">
      <c r="A1859" t="s">
        <v>4093</v>
      </c>
      <c r="B1859" t="s">
        <v>692</v>
      </c>
      <c r="C1859" t="s">
        <v>87</v>
      </c>
      <c r="D1859" t="s">
        <v>2269</v>
      </c>
      <c r="E1859" t="s">
        <v>1879</v>
      </c>
      <c r="F1859">
        <v>4048</v>
      </c>
    </row>
    <row r="1860" spans="1:6" x14ac:dyDescent="0.25">
      <c r="A1860" t="s">
        <v>4094</v>
      </c>
      <c r="B1860" t="s">
        <v>692</v>
      </c>
      <c r="C1860" t="s">
        <v>87</v>
      </c>
      <c r="D1860" t="s">
        <v>3710</v>
      </c>
      <c r="E1860" t="s">
        <v>1915</v>
      </c>
      <c r="F1860">
        <v>10154</v>
      </c>
    </row>
    <row r="1861" spans="1:6" x14ac:dyDescent="0.25">
      <c r="A1861" t="s">
        <v>4095</v>
      </c>
      <c r="B1861" t="s">
        <v>692</v>
      </c>
      <c r="C1861" t="s">
        <v>87</v>
      </c>
      <c r="D1861" t="s">
        <v>2624</v>
      </c>
      <c r="E1861" t="s">
        <v>1876</v>
      </c>
      <c r="F1861">
        <v>5924</v>
      </c>
    </row>
    <row r="1862" spans="1:6" x14ac:dyDescent="0.25">
      <c r="A1862" t="s">
        <v>4096</v>
      </c>
      <c r="B1862" t="s">
        <v>695</v>
      </c>
      <c r="C1862" t="s">
        <v>87</v>
      </c>
      <c r="D1862" t="s">
        <v>2498</v>
      </c>
      <c r="E1862" t="s">
        <v>1915</v>
      </c>
      <c r="F1862">
        <v>22754</v>
      </c>
    </row>
    <row r="1863" spans="1:6" x14ac:dyDescent="0.25">
      <c r="A1863" t="s">
        <v>4097</v>
      </c>
      <c r="B1863" t="s">
        <v>695</v>
      </c>
      <c r="C1863" t="s">
        <v>87</v>
      </c>
      <c r="D1863" t="s">
        <v>2132</v>
      </c>
      <c r="E1863" t="s">
        <v>1871</v>
      </c>
      <c r="F1863">
        <v>2723</v>
      </c>
    </row>
    <row r="1864" spans="1:6" x14ac:dyDescent="0.25">
      <c r="A1864" t="s">
        <v>4098</v>
      </c>
      <c r="B1864" t="s">
        <v>695</v>
      </c>
      <c r="C1864" t="s">
        <v>87</v>
      </c>
      <c r="D1864" t="s">
        <v>2040</v>
      </c>
      <c r="E1864" t="s">
        <v>1879</v>
      </c>
      <c r="F1864">
        <v>16847</v>
      </c>
    </row>
    <row r="1865" spans="1:6" x14ac:dyDescent="0.25">
      <c r="A1865" t="s">
        <v>4099</v>
      </c>
      <c r="B1865" t="s">
        <v>695</v>
      </c>
      <c r="C1865" t="s">
        <v>87</v>
      </c>
      <c r="D1865" t="s">
        <v>2666</v>
      </c>
      <c r="E1865" t="s">
        <v>1915</v>
      </c>
      <c r="F1865">
        <v>32430</v>
      </c>
    </row>
    <row r="1866" spans="1:6" x14ac:dyDescent="0.25">
      <c r="A1866" t="s">
        <v>4100</v>
      </c>
      <c r="B1866" t="s">
        <v>695</v>
      </c>
      <c r="C1866" t="s">
        <v>87</v>
      </c>
      <c r="D1866" t="s">
        <v>2612</v>
      </c>
      <c r="E1866" t="s">
        <v>1871</v>
      </c>
      <c r="F1866">
        <v>6768</v>
      </c>
    </row>
    <row r="1867" spans="1:6" x14ac:dyDescent="0.25">
      <c r="A1867" t="s">
        <v>4101</v>
      </c>
      <c r="B1867" t="s">
        <v>695</v>
      </c>
      <c r="C1867" t="s">
        <v>87</v>
      </c>
      <c r="D1867" t="s">
        <v>2328</v>
      </c>
      <c r="E1867" t="s">
        <v>1871</v>
      </c>
      <c r="F1867">
        <v>24606</v>
      </c>
    </row>
    <row r="1868" spans="1:6" x14ac:dyDescent="0.25">
      <c r="A1868" t="s">
        <v>4102</v>
      </c>
      <c r="B1868" t="s">
        <v>695</v>
      </c>
      <c r="C1868" t="s">
        <v>87</v>
      </c>
      <c r="D1868" t="s">
        <v>2412</v>
      </c>
      <c r="E1868" t="s">
        <v>1876</v>
      </c>
      <c r="F1868">
        <v>20091</v>
      </c>
    </row>
    <row r="1869" spans="1:6" x14ac:dyDescent="0.25">
      <c r="A1869" t="s">
        <v>4103</v>
      </c>
      <c r="B1869" t="s">
        <v>698</v>
      </c>
      <c r="C1869" t="s">
        <v>51</v>
      </c>
      <c r="D1869" t="s">
        <v>2557</v>
      </c>
      <c r="E1869" t="s">
        <v>1876</v>
      </c>
      <c r="F1869">
        <v>5124</v>
      </c>
    </row>
    <row r="1870" spans="1:6" x14ac:dyDescent="0.25">
      <c r="A1870" t="s">
        <v>4104</v>
      </c>
      <c r="B1870" t="s">
        <v>698</v>
      </c>
      <c r="C1870" t="s">
        <v>51</v>
      </c>
      <c r="D1870" t="s">
        <v>1885</v>
      </c>
      <c r="E1870" t="s">
        <v>1871</v>
      </c>
      <c r="F1870">
        <v>7932</v>
      </c>
    </row>
    <row r="1871" spans="1:6" x14ac:dyDescent="0.25">
      <c r="A1871" t="s">
        <v>4105</v>
      </c>
      <c r="B1871" t="s">
        <v>698</v>
      </c>
      <c r="C1871" t="s">
        <v>51</v>
      </c>
      <c r="D1871" t="s">
        <v>2291</v>
      </c>
      <c r="E1871" t="s">
        <v>1915</v>
      </c>
      <c r="F1871">
        <v>14973</v>
      </c>
    </row>
    <row r="1872" spans="1:6" x14ac:dyDescent="0.25">
      <c r="A1872" t="s">
        <v>4106</v>
      </c>
      <c r="B1872" t="s">
        <v>698</v>
      </c>
      <c r="C1872" t="s">
        <v>51</v>
      </c>
      <c r="D1872" t="s">
        <v>2770</v>
      </c>
      <c r="E1872" t="s">
        <v>1871</v>
      </c>
      <c r="F1872">
        <v>4322</v>
      </c>
    </row>
    <row r="1873" spans="1:6" x14ac:dyDescent="0.25">
      <c r="A1873" t="s">
        <v>4107</v>
      </c>
      <c r="B1873" t="s">
        <v>698</v>
      </c>
      <c r="C1873" t="s">
        <v>51</v>
      </c>
      <c r="D1873" t="s">
        <v>2794</v>
      </c>
      <c r="E1873" t="s">
        <v>1915</v>
      </c>
      <c r="F1873">
        <v>4097</v>
      </c>
    </row>
    <row r="1874" spans="1:6" x14ac:dyDescent="0.25">
      <c r="A1874" t="s">
        <v>4108</v>
      </c>
      <c r="B1874" t="s">
        <v>698</v>
      </c>
      <c r="C1874" t="s">
        <v>51</v>
      </c>
      <c r="D1874" t="s">
        <v>2066</v>
      </c>
      <c r="E1874" t="s">
        <v>1871</v>
      </c>
      <c r="F1874">
        <v>1984</v>
      </c>
    </row>
    <row r="1875" spans="1:6" x14ac:dyDescent="0.25">
      <c r="A1875" t="s">
        <v>4109</v>
      </c>
      <c r="B1875" t="s">
        <v>698</v>
      </c>
      <c r="C1875" t="s">
        <v>51</v>
      </c>
      <c r="D1875" t="s">
        <v>2645</v>
      </c>
      <c r="E1875" t="s">
        <v>1879</v>
      </c>
      <c r="F1875">
        <v>9568</v>
      </c>
    </row>
    <row r="1876" spans="1:6" x14ac:dyDescent="0.25">
      <c r="A1876" t="s">
        <v>4110</v>
      </c>
      <c r="B1876" t="s">
        <v>698</v>
      </c>
      <c r="C1876" t="s">
        <v>51</v>
      </c>
      <c r="D1876" t="s">
        <v>2028</v>
      </c>
      <c r="E1876" t="s">
        <v>1915</v>
      </c>
      <c r="F1876">
        <v>17930</v>
      </c>
    </row>
    <row r="1877" spans="1:6" x14ac:dyDescent="0.25">
      <c r="A1877" t="s">
        <v>4111</v>
      </c>
      <c r="B1877" t="s">
        <v>698</v>
      </c>
      <c r="C1877" t="s">
        <v>51</v>
      </c>
      <c r="D1877" t="s">
        <v>1939</v>
      </c>
      <c r="E1877" t="s">
        <v>1871</v>
      </c>
      <c r="F1877">
        <v>5039</v>
      </c>
    </row>
    <row r="1878" spans="1:6" x14ac:dyDescent="0.25">
      <c r="A1878" t="s">
        <v>4112</v>
      </c>
      <c r="B1878" t="s">
        <v>698</v>
      </c>
      <c r="C1878" t="s">
        <v>51</v>
      </c>
      <c r="D1878" t="s">
        <v>2732</v>
      </c>
      <c r="E1878" t="s">
        <v>1871</v>
      </c>
      <c r="F1878">
        <v>10641</v>
      </c>
    </row>
    <row r="1879" spans="1:6" x14ac:dyDescent="0.25">
      <c r="A1879" t="s">
        <v>4113</v>
      </c>
      <c r="B1879" t="s">
        <v>698</v>
      </c>
      <c r="C1879" t="s">
        <v>51</v>
      </c>
      <c r="D1879" t="s">
        <v>2238</v>
      </c>
      <c r="E1879" t="s">
        <v>1876</v>
      </c>
      <c r="F1879">
        <v>5302</v>
      </c>
    </row>
    <row r="1880" spans="1:6" x14ac:dyDescent="0.25">
      <c r="A1880" t="s">
        <v>4114</v>
      </c>
      <c r="B1880" t="s">
        <v>701</v>
      </c>
      <c r="C1880" t="s">
        <v>87</v>
      </c>
      <c r="D1880" t="s">
        <v>2026</v>
      </c>
      <c r="E1880" t="s">
        <v>1871</v>
      </c>
      <c r="F1880">
        <v>5709</v>
      </c>
    </row>
    <row r="1881" spans="1:6" x14ac:dyDescent="0.25">
      <c r="A1881" t="s">
        <v>4115</v>
      </c>
      <c r="B1881" t="s">
        <v>701</v>
      </c>
      <c r="C1881" t="s">
        <v>87</v>
      </c>
      <c r="D1881" t="s">
        <v>2238</v>
      </c>
      <c r="E1881" t="s">
        <v>1879</v>
      </c>
      <c r="F1881">
        <v>37943</v>
      </c>
    </row>
    <row r="1882" spans="1:6" x14ac:dyDescent="0.25">
      <c r="A1882" t="s">
        <v>4116</v>
      </c>
      <c r="B1882" t="s">
        <v>701</v>
      </c>
      <c r="C1882" t="s">
        <v>87</v>
      </c>
      <c r="D1882" t="s">
        <v>3174</v>
      </c>
      <c r="E1882" t="s">
        <v>1871</v>
      </c>
      <c r="F1882">
        <v>17968</v>
      </c>
    </row>
    <row r="1883" spans="1:6" x14ac:dyDescent="0.25">
      <c r="A1883" t="s">
        <v>4117</v>
      </c>
      <c r="B1883" t="s">
        <v>701</v>
      </c>
      <c r="C1883" t="s">
        <v>87</v>
      </c>
      <c r="D1883" t="s">
        <v>2238</v>
      </c>
      <c r="E1883" t="s">
        <v>1879</v>
      </c>
      <c r="F1883">
        <v>31729</v>
      </c>
    </row>
    <row r="1884" spans="1:6" x14ac:dyDescent="0.25">
      <c r="A1884" t="s">
        <v>4118</v>
      </c>
      <c r="B1884" t="s">
        <v>701</v>
      </c>
      <c r="C1884" t="s">
        <v>87</v>
      </c>
      <c r="D1884" t="s">
        <v>2624</v>
      </c>
      <c r="E1884" t="s">
        <v>1871</v>
      </c>
      <c r="F1884">
        <v>10211</v>
      </c>
    </row>
    <row r="1885" spans="1:6" x14ac:dyDescent="0.25">
      <c r="A1885" t="s">
        <v>4119</v>
      </c>
      <c r="B1885" t="s">
        <v>701</v>
      </c>
      <c r="C1885" t="s">
        <v>87</v>
      </c>
      <c r="D1885" t="s">
        <v>2333</v>
      </c>
      <c r="E1885" t="s">
        <v>1871</v>
      </c>
      <c r="F1885">
        <v>33857</v>
      </c>
    </row>
    <row r="1886" spans="1:6" x14ac:dyDescent="0.25">
      <c r="A1886" t="s">
        <v>4120</v>
      </c>
      <c r="B1886" t="s">
        <v>701</v>
      </c>
      <c r="C1886" t="s">
        <v>87</v>
      </c>
      <c r="D1886" t="s">
        <v>1892</v>
      </c>
      <c r="E1886" t="s">
        <v>1886</v>
      </c>
      <c r="F1886">
        <v>8764</v>
      </c>
    </row>
    <row r="1887" spans="1:6" x14ac:dyDescent="0.25">
      <c r="A1887" t="s">
        <v>4121</v>
      </c>
      <c r="B1887" t="s">
        <v>701</v>
      </c>
      <c r="C1887" t="s">
        <v>87</v>
      </c>
      <c r="D1887" t="s">
        <v>2101</v>
      </c>
      <c r="E1887" t="s">
        <v>1871</v>
      </c>
      <c r="F1887">
        <v>38562</v>
      </c>
    </row>
    <row r="1888" spans="1:6" x14ac:dyDescent="0.25">
      <c r="A1888" t="s">
        <v>4122</v>
      </c>
      <c r="B1888" t="s">
        <v>704</v>
      </c>
      <c r="C1888" t="s">
        <v>87</v>
      </c>
      <c r="D1888" t="s">
        <v>2291</v>
      </c>
      <c r="E1888" t="s">
        <v>1871</v>
      </c>
      <c r="F1888">
        <v>21574</v>
      </c>
    </row>
    <row r="1889" spans="1:6" x14ac:dyDescent="0.25">
      <c r="A1889" t="s">
        <v>4123</v>
      </c>
      <c r="B1889" t="s">
        <v>704</v>
      </c>
      <c r="C1889" t="s">
        <v>87</v>
      </c>
      <c r="D1889" t="s">
        <v>2055</v>
      </c>
      <c r="E1889" t="s">
        <v>1915</v>
      </c>
      <c r="F1889">
        <v>25475</v>
      </c>
    </row>
    <row r="1890" spans="1:6" x14ac:dyDescent="0.25">
      <c r="A1890" t="s">
        <v>4124</v>
      </c>
      <c r="B1890" t="s">
        <v>704</v>
      </c>
      <c r="C1890" t="s">
        <v>87</v>
      </c>
      <c r="D1890" t="s">
        <v>2770</v>
      </c>
      <c r="E1890" t="s">
        <v>1871</v>
      </c>
      <c r="F1890">
        <v>14026</v>
      </c>
    </row>
    <row r="1891" spans="1:6" x14ac:dyDescent="0.25">
      <c r="A1891" t="s">
        <v>4125</v>
      </c>
      <c r="B1891" t="s">
        <v>704</v>
      </c>
      <c r="C1891" t="s">
        <v>87</v>
      </c>
      <c r="D1891" t="s">
        <v>2132</v>
      </c>
      <c r="E1891" t="s">
        <v>1915</v>
      </c>
      <c r="F1891">
        <v>1021</v>
      </c>
    </row>
    <row r="1892" spans="1:6" x14ac:dyDescent="0.25">
      <c r="A1892" t="s">
        <v>4126</v>
      </c>
      <c r="B1892" t="s">
        <v>704</v>
      </c>
      <c r="C1892" t="s">
        <v>87</v>
      </c>
      <c r="D1892" t="s">
        <v>3860</v>
      </c>
      <c r="E1892" t="s">
        <v>1876</v>
      </c>
      <c r="F1892">
        <v>21884</v>
      </c>
    </row>
    <row r="1893" spans="1:6" x14ac:dyDescent="0.25">
      <c r="A1893" t="s">
        <v>4127</v>
      </c>
      <c r="B1893" t="s">
        <v>704</v>
      </c>
      <c r="C1893" t="s">
        <v>87</v>
      </c>
      <c r="D1893" t="s">
        <v>2699</v>
      </c>
      <c r="E1893" t="s">
        <v>1876</v>
      </c>
      <c r="F1893">
        <v>7699</v>
      </c>
    </row>
    <row r="1894" spans="1:6" x14ac:dyDescent="0.25">
      <c r="A1894" t="s">
        <v>4128</v>
      </c>
      <c r="B1894" t="s">
        <v>704</v>
      </c>
      <c r="C1894" t="s">
        <v>87</v>
      </c>
      <c r="D1894" t="s">
        <v>2517</v>
      </c>
      <c r="E1894" t="s">
        <v>1879</v>
      </c>
      <c r="F1894">
        <v>11304</v>
      </c>
    </row>
    <row r="1895" spans="1:6" x14ac:dyDescent="0.25">
      <c r="A1895" t="s">
        <v>4129</v>
      </c>
      <c r="B1895" t="s">
        <v>704</v>
      </c>
      <c r="C1895" t="s">
        <v>87</v>
      </c>
      <c r="D1895" t="s">
        <v>2095</v>
      </c>
      <c r="E1895" t="s">
        <v>1871</v>
      </c>
      <c r="F1895">
        <v>3920</v>
      </c>
    </row>
    <row r="1896" spans="1:6" x14ac:dyDescent="0.25">
      <c r="A1896" t="s">
        <v>4130</v>
      </c>
      <c r="B1896" t="s">
        <v>704</v>
      </c>
      <c r="C1896" t="s">
        <v>87</v>
      </c>
      <c r="D1896" t="s">
        <v>3119</v>
      </c>
      <c r="E1896" t="s">
        <v>1886</v>
      </c>
      <c r="F1896">
        <v>33834</v>
      </c>
    </row>
    <row r="1897" spans="1:6" x14ac:dyDescent="0.25">
      <c r="A1897" t="s">
        <v>4131</v>
      </c>
      <c r="B1897" t="s">
        <v>704</v>
      </c>
      <c r="C1897" t="s">
        <v>87</v>
      </c>
      <c r="D1897" t="s">
        <v>1949</v>
      </c>
      <c r="E1897" t="s">
        <v>1876</v>
      </c>
      <c r="F1897">
        <v>19628</v>
      </c>
    </row>
    <row r="1898" spans="1:6" x14ac:dyDescent="0.25">
      <c r="A1898" t="s">
        <v>4132</v>
      </c>
      <c r="B1898" t="s">
        <v>707</v>
      </c>
      <c r="C1898" t="s">
        <v>96</v>
      </c>
      <c r="D1898" t="s">
        <v>3062</v>
      </c>
      <c r="E1898" t="s">
        <v>1876</v>
      </c>
      <c r="F1898">
        <v>23168</v>
      </c>
    </row>
    <row r="1899" spans="1:6" x14ac:dyDescent="0.25">
      <c r="A1899" t="s">
        <v>4133</v>
      </c>
      <c r="B1899" t="s">
        <v>707</v>
      </c>
      <c r="C1899" t="s">
        <v>96</v>
      </c>
      <c r="D1899" t="s">
        <v>2404</v>
      </c>
      <c r="E1899" t="s">
        <v>1915</v>
      </c>
      <c r="F1899">
        <v>24324</v>
      </c>
    </row>
    <row r="1900" spans="1:6" x14ac:dyDescent="0.25">
      <c r="A1900" t="s">
        <v>4134</v>
      </c>
      <c r="B1900" t="s">
        <v>707</v>
      </c>
      <c r="C1900" t="s">
        <v>96</v>
      </c>
      <c r="D1900" t="s">
        <v>2580</v>
      </c>
      <c r="E1900" t="s">
        <v>1876</v>
      </c>
      <c r="F1900">
        <v>25702</v>
      </c>
    </row>
    <row r="1901" spans="1:6" x14ac:dyDescent="0.25">
      <c r="A1901" t="s">
        <v>4135</v>
      </c>
      <c r="B1901" t="s">
        <v>707</v>
      </c>
      <c r="C1901" t="s">
        <v>96</v>
      </c>
      <c r="D1901" t="s">
        <v>2471</v>
      </c>
      <c r="E1901" t="s">
        <v>1876</v>
      </c>
      <c r="F1901">
        <v>29881</v>
      </c>
    </row>
    <row r="1902" spans="1:6" x14ac:dyDescent="0.25">
      <c r="A1902" t="s">
        <v>4136</v>
      </c>
      <c r="B1902" t="s">
        <v>707</v>
      </c>
      <c r="C1902" t="s">
        <v>96</v>
      </c>
      <c r="D1902" t="s">
        <v>2040</v>
      </c>
      <c r="E1902" t="s">
        <v>1915</v>
      </c>
      <c r="F1902">
        <v>40483</v>
      </c>
    </row>
    <row r="1903" spans="1:6" x14ac:dyDescent="0.25">
      <c r="A1903" t="s">
        <v>4137</v>
      </c>
      <c r="B1903" t="s">
        <v>707</v>
      </c>
      <c r="C1903" t="s">
        <v>96</v>
      </c>
      <c r="D1903" t="s">
        <v>2028</v>
      </c>
      <c r="E1903" t="s">
        <v>1876</v>
      </c>
      <c r="F1903">
        <v>28177</v>
      </c>
    </row>
    <row r="1904" spans="1:6" x14ac:dyDescent="0.25">
      <c r="A1904" t="s">
        <v>4138</v>
      </c>
      <c r="B1904" t="s">
        <v>707</v>
      </c>
      <c r="C1904" t="s">
        <v>96</v>
      </c>
      <c r="D1904" t="s">
        <v>3446</v>
      </c>
      <c r="E1904" t="s">
        <v>1886</v>
      </c>
      <c r="F1904">
        <v>16579</v>
      </c>
    </row>
    <row r="1905" spans="1:6" x14ac:dyDescent="0.25">
      <c r="A1905" t="s">
        <v>4139</v>
      </c>
      <c r="B1905" t="s">
        <v>707</v>
      </c>
      <c r="C1905" t="s">
        <v>96</v>
      </c>
      <c r="D1905" t="s">
        <v>2320</v>
      </c>
      <c r="E1905" t="s">
        <v>1915</v>
      </c>
      <c r="F1905">
        <v>31514</v>
      </c>
    </row>
    <row r="1906" spans="1:6" x14ac:dyDescent="0.25">
      <c r="A1906" t="s">
        <v>4140</v>
      </c>
      <c r="B1906" t="s">
        <v>707</v>
      </c>
      <c r="C1906" t="s">
        <v>96</v>
      </c>
      <c r="D1906" t="s">
        <v>2473</v>
      </c>
      <c r="E1906" t="s">
        <v>1915</v>
      </c>
      <c r="F1906">
        <v>9052</v>
      </c>
    </row>
    <row r="1907" spans="1:6" x14ac:dyDescent="0.25">
      <c r="A1907" t="s">
        <v>4141</v>
      </c>
      <c r="B1907" t="s">
        <v>707</v>
      </c>
      <c r="C1907" t="s">
        <v>96</v>
      </c>
      <c r="D1907" t="s">
        <v>2134</v>
      </c>
      <c r="E1907" t="s">
        <v>1879</v>
      </c>
      <c r="F1907">
        <v>28561</v>
      </c>
    </row>
    <row r="1908" spans="1:6" x14ac:dyDescent="0.25">
      <c r="A1908" t="s">
        <v>4142</v>
      </c>
      <c r="B1908" t="s">
        <v>707</v>
      </c>
      <c r="C1908" t="s">
        <v>96</v>
      </c>
      <c r="D1908" t="s">
        <v>2466</v>
      </c>
      <c r="E1908" t="s">
        <v>1876</v>
      </c>
      <c r="F1908">
        <v>21290</v>
      </c>
    </row>
    <row r="1909" spans="1:6" x14ac:dyDescent="0.25">
      <c r="A1909" t="s">
        <v>4143</v>
      </c>
      <c r="B1909" t="s">
        <v>710</v>
      </c>
      <c r="C1909" t="s">
        <v>146</v>
      </c>
      <c r="D1909" t="s">
        <v>2000</v>
      </c>
      <c r="E1909" t="s">
        <v>1915</v>
      </c>
      <c r="F1909">
        <v>25290</v>
      </c>
    </row>
    <row r="1910" spans="1:6" x14ac:dyDescent="0.25">
      <c r="A1910" t="s">
        <v>4144</v>
      </c>
      <c r="B1910" t="s">
        <v>710</v>
      </c>
      <c r="C1910" t="s">
        <v>146</v>
      </c>
      <c r="D1910" t="s">
        <v>2477</v>
      </c>
      <c r="E1910" t="s">
        <v>1871</v>
      </c>
      <c r="F1910">
        <v>3141</v>
      </c>
    </row>
    <row r="1911" spans="1:6" x14ac:dyDescent="0.25">
      <c r="A1911" t="s">
        <v>4145</v>
      </c>
      <c r="B1911" t="s">
        <v>710</v>
      </c>
      <c r="C1911" t="s">
        <v>146</v>
      </c>
      <c r="D1911" t="s">
        <v>1949</v>
      </c>
      <c r="E1911" t="s">
        <v>1915</v>
      </c>
      <c r="F1911">
        <v>13887</v>
      </c>
    </row>
    <row r="1912" spans="1:6" x14ac:dyDescent="0.25">
      <c r="A1912" t="s">
        <v>4146</v>
      </c>
      <c r="B1912" t="s">
        <v>710</v>
      </c>
      <c r="C1912" t="s">
        <v>146</v>
      </c>
      <c r="D1912" t="s">
        <v>2028</v>
      </c>
      <c r="E1912" t="s">
        <v>1915</v>
      </c>
      <c r="F1912">
        <v>26323</v>
      </c>
    </row>
    <row r="1913" spans="1:6" x14ac:dyDescent="0.25">
      <c r="A1913" t="s">
        <v>4147</v>
      </c>
      <c r="B1913" t="s">
        <v>710</v>
      </c>
      <c r="C1913" t="s">
        <v>146</v>
      </c>
      <c r="D1913" t="s">
        <v>2068</v>
      </c>
      <c r="E1913" t="s">
        <v>1871</v>
      </c>
      <c r="F1913">
        <v>5299</v>
      </c>
    </row>
    <row r="1914" spans="1:6" x14ac:dyDescent="0.25">
      <c r="A1914" t="s">
        <v>4148</v>
      </c>
      <c r="B1914" t="s">
        <v>710</v>
      </c>
      <c r="C1914" t="s">
        <v>146</v>
      </c>
      <c r="D1914" t="s">
        <v>2535</v>
      </c>
      <c r="E1914" t="s">
        <v>1886</v>
      </c>
      <c r="F1914">
        <v>18968</v>
      </c>
    </row>
    <row r="1915" spans="1:6" x14ac:dyDescent="0.25">
      <c r="A1915" t="s">
        <v>4149</v>
      </c>
      <c r="B1915" t="s">
        <v>710</v>
      </c>
      <c r="C1915" t="s">
        <v>146</v>
      </c>
      <c r="D1915" t="s">
        <v>2471</v>
      </c>
      <c r="E1915" t="s">
        <v>1871</v>
      </c>
      <c r="F1915">
        <v>5581</v>
      </c>
    </row>
    <row r="1916" spans="1:6" x14ac:dyDescent="0.25">
      <c r="A1916" t="s">
        <v>4150</v>
      </c>
      <c r="B1916" t="s">
        <v>713</v>
      </c>
      <c r="C1916" t="s">
        <v>51</v>
      </c>
      <c r="D1916" t="s">
        <v>2159</v>
      </c>
      <c r="E1916" t="s">
        <v>1871</v>
      </c>
      <c r="F1916">
        <v>1846</v>
      </c>
    </row>
    <row r="1917" spans="1:6" x14ac:dyDescent="0.25">
      <c r="A1917" t="s">
        <v>4151</v>
      </c>
      <c r="B1917" t="s">
        <v>713</v>
      </c>
      <c r="C1917" t="s">
        <v>51</v>
      </c>
      <c r="D1917" t="s">
        <v>2494</v>
      </c>
      <c r="E1917" t="s">
        <v>1871</v>
      </c>
      <c r="F1917">
        <v>5138</v>
      </c>
    </row>
    <row r="1918" spans="1:6" x14ac:dyDescent="0.25">
      <c r="A1918" t="s">
        <v>4152</v>
      </c>
      <c r="B1918" t="s">
        <v>713</v>
      </c>
      <c r="C1918" t="s">
        <v>51</v>
      </c>
      <c r="D1918" t="s">
        <v>2529</v>
      </c>
      <c r="E1918" t="s">
        <v>1886</v>
      </c>
      <c r="F1918">
        <v>11509</v>
      </c>
    </row>
    <row r="1919" spans="1:6" x14ac:dyDescent="0.25">
      <c r="A1919" t="s">
        <v>4153</v>
      </c>
      <c r="B1919" t="s">
        <v>713</v>
      </c>
      <c r="C1919" t="s">
        <v>51</v>
      </c>
      <c r="D1919" t="s">
        <v>2773</v>
      </c>
      <c r="E1919" t="s">
        <v>1886</v>
      </c>
      <c r="F1919">
        <v>10262</v>
      </c>
    </row>
    <row r="1920" spans="1:6" x14ac:dyDescent="0.25">
      <c r="A1920" t="s">
        <v>4154</v>
      </c>
      <c r="B1920" t="s">
        <v>713</v>
      </c>
      <c r="C1920" t="s">
        <v>51</v>
      </c>
      <c r="D1920" t="s">
        <v>3093</v>
      </c>
      <c r="E1920" t="s">
        <v>1915</v>
      </c>
      <c r="F1920">
        <v>15041</v>
      </c>
    </row>
    <row r="1921" spans="1:6" x14ac:dyDescent="0.25">
      <c r="A1921" t="s">
        <v>4155</v>
      </c>
      <c r="B1921" t="s">
        <v>713</v>
      </c>
      <c r="C1921" t="s">
        <v>51</v>
      </c>
      <c r="D1921" t="s">
        <v>1966</v>
      </c>
      <c r="E1921" t="s">
        <v>1915</v>
      </c>
      <c r="F1921">
        <v>29868</v>
      </c>
    </row>
    <row r="1922" spans="1:6" x14ac:dyDescent="0.25">
      <c r="A1922" t="s">
        <v>4156</v>
      </c>
      <c r="B1922" t="s">
        <v>713</v>
      </c>
      <c r="C1922" t="s">
        <v>51</v>
      </c>
      <c r="D1922" t="s">
        <v>2364</v>
      </c>
      <c r="E1922" t="s">
        <v>1871</v>
      </c>
      <c r="F1922">
        <v>4665</v>
      </c>
    </row>
    <row r="1923" spans="1:6" x14ac:dyDescent="0.25">
      <c r="A1923" t="s">
        <v>4157</v>
      </c>
      <c r="B1923" t="s">
        <v>713</v>
      </c>
      <c r="C1923" t="s">
        <v>51</v>
      </c>
      <c r="D1923" t="s">
        <v>2137</v>
      </c>
      <c r="E1923" t="s">
        <v>1915</v>
      </c>
      <c r="F1923">
        <v>6910</v>
      </c>
    </row>
    <row r="1924" spans="1:6" x14ac:dyDescent="0.25">
      <c r="A1924" t="s">
        <v>4158</v>
      </c>
      <c r="B1924" t="s">
        <v>713</v>
      </c>
      <c r="C1924" t="s">
        <v>51</v>
      </c>
      <c r="D1924" t="s">
        <v>2022</v>
      </c>
      <c r="E1924" t="s">
        <v>1886</v>
      </c>
      <c r="F1924">
        <v>17192</v>
      </c>
    </row>
    <row r="1925" spans="1:6" x14ac:dyDescent="0.25">
      <c r="A1925" t="s">
        <v>4159</v>
      </c>
      <c r="B1925" t="s">
        <v>716</v>
      </c>
      <c r="C1925" t="s">
        <v>87</v>
      </c>
      <c r="D1925" t="s">
        <v>2404</v>
      </c>
      <c r="E1925" t="s">
        <v>1879</v>
      </c>
      <c r="F1925">
        <v>34453</v>
      </c>
    </row>
    <row r="1926" spans="1:6" x14ac:dyDescent="0.25">
      <c r="A1926" t="s">
        <v>4160</v>
      </c>
      <c r="B1926" t="s">
        <v>716</v>
      </c>
      <c r="C1926" t="s">
        <v>87</v>
      </c>
      <c r="D1926" t="s">
        <v>2586</v>
      </c>
      <c r="E1926" t="s">
        <v>1879</v>
      </c>
      <c r="F1926">
        <v>17062</v>
      </c>
    </row>
    <row r="1927" spans="1:6" x14ac:dyDescent="0.25">
      <c r="A1927" t="s">
        <v>4161</v>
      </c>
      <c r="B1927" t="s">
        <v>716</v>
      </c>
      <c r="C1927" t="s">
        <v>87</v>
      </c>
      <c r="D1927" t="s">
        <v>3142</v>
      </c>
      <c r="E1927" t="s">
        <v>1886</v>
      </c>
      <c r="F1927">
        <v>27305</v>
      </c>
    </row>
    <row r="1928" spans="1:6" x14ac:dyDescent="0.25">
      <c r="A1928" t="s">
        <v>4162</v>
      </c>
      <c r="B1928" t="s">
        <v>716</v>
      </c>
      <c r="C1928" t="s">
        <v>87</v>
      </c>
      <c r="D1928" t="s">
        <v>2441</v>
      </c>
      <c r="E1928" t="s">
        <v>1871</v>
      </c>
      <c r="F1928">
        <v>13847</v>
      </c>
    </row>
    <row r="1929" spans="1:6" x14ac:dyDescent="0.25">
      <c r="A1929" t="s">
        <v>4163</v>
      </c>
      <c r="B1929" t="s">
        <v>716</v>
      </c>
      <c r="C1929" t="s">
        <v>87</v>
      </c>
      <c r="D1929" t="s">
        <v>1890</v>
      </c>
      <c r="E1929" t="s">
        <v>1871</v>
      </c>
      <c r="F1929">
        <v>2701</v>
      </c>
    </row>
    <row r="1930" spans="1:6" x14ac:dyDescent="0.25">
      <c r="A1930" t="s">
        <v>4164</v>
      </c>
      <c r="B1930" t="s">
        <v>716</v>
      </c>
      <c r="C1930" t="s">
        <v>87</v>
      </c>
      <c r="D1930" t="s">
        <v>2745</v>
      </c>
      <c r="E1930" t="s">
        <v>1879</v>
      </c>
      <c r="F1930">
        <v>5091</v>
      </c>
    </row>
    <row r="1931" spans="1:6" x14ac:dyDescent="0.25">
      <c r="A1931" t="s">
        <v>4165</v>
      </c>
      <c r="B1931" t="s">
        <v>716</v>
      </c>
      <c r="C1931" t="s">
        <v>87</v>
      </c>
      <c r="D1931" t="s">
        <v>2101</v>
      </c>
      <c r="E1931" t="s">
        <v>1876</v>
      </c>
      <c r="F1931">
        <v>18384</v>
      </c>
    </row>
    <row r="1932" spans="1:6" x14ac:dyDescent="0.25">
      <c r="A1932" t="s">
        <v>4166</v>
      </c>
      <c r="B1932" t="s">
        <v>716</v>
      </c>
      <c r="C1932" t="s">
        <v>87</v>
      </c>
      <c r="D1932" t="s">
        <v>2034</v>
      </c>
      <c r="E1932" t="s">
        <v>1886</v>
      </c>
      <c r="F1932">
        <v>26433</v>
      </c>
    </row>
    <row r="1933" spans="1:6" x14ac:dyDescent="0.25">
      <c r="A1933" t="s">
        <v>4167</v>
      </c>
      <c r="B1933" t="s">
        <v>716</v>
      </c>
      <c r="C1933" t="s">
        <v>87</v>
      </c>
      <c r="D1933" t="s">
        <v>1945</v>
      </c>
      <c r="E1933" t="s">
        <v>1879</v>
      </c>
      <c r="F1933">
        <v>35699</v>
      </c>
    </row>
    <row r="1934" spans="1:6" x14ac:dyDescent="0.25">
      <c r="A1934" t="s">
        <v>4168</v>
      </c>
      <c r="B1934" t="s">
        <v>716</v>
      </c>
      <c r="C1934" t="s">
        <v>87</v>
      </c>
      <c r="D1934" t="s">
        <v>2352</v>
      </c>
      <c r="E1934" t="s">
        <v>1876</v>
      </c>
      <c r="F1934">
        <v>12359</v>
      </c>
    </row>
    <row r="1935" spans="1:6" x14ac:dyDescent="0.25">
      <c r="A1935" t="s">
        <v>4169</v>
      </c>
      <c r="B1935" t="s">
        <v>716</v>
      </c>
      <c r="C1935" t="s">
        <v>87</v>
      </c>
      <c r="D1935" t="s">
        <v>2007</v>
      </c>
      <c r="E1935" t="s">
        <v>1876</v>
      </c>
      <c r="F1935">
        <v>16660</v>
      </c>
    </row>
    <row r="1936" spans="1:6" x14ac:dyDescent="0.25">
      <c r="A1936" t="s">
        <v>4170</v>
      </c>
      <c r="B1936" t="s">
        <v>716</v>
      </c>
      <c r="C1936" t="s">
        <v>87</v>
      </c>
      <c r="D1936" t="s">
        <v>2649</v>
      </c>
      <c r="E1936" t="s">
        <v>1876</v>
      </c>
      <c r="F1936">
        <v>27974</v>
      </c>
    </row>
    <row r="1937" spans="1:6" x14ac:dyDescent="0.25">
      <c r="A1937" t="s">
        <v>4171</v>
      </c>
      <c r="B1937" t="s">
        <v>719</v>
      </c>
      <c r="C1937" t="s">
        <v>146</v>
      </c>
      <c r="D1937" t="s">
        <v>2307</v>
      </c>
      <c r="E1937" t="s">
        <v>1879</v>
      </c>
      <c r="F1937">
        <v>8698</v>
      </c>
    </row>
    <row r="1938" spans="1:6" x14ac:dyDescent="0.25">
      <c r="A1938" t="s">
        <v>4172</v>
      </c>
      <c r="B1938" t="s">
        <v>719</v>
      </c>
      <c r="C1938" t="s">
        <v>146</v>
      </c>
      <c r="D1938" t="s">
        <v>2479</v>
      </c>
      <c r="E1938" t="s">
        <v>1886</v>
      </c>
      <c r="F1938">
        <v>5190</v>
      </c>
    </row>
    <row r="1939" spans="1:6" x14ac:dyDescent="0.25">
      <c r="A1939" t="s">
        <v>4173</v>
      </c>
      <c r="B1939" t="s">
        <v>719</v>
      </c>
      <c r="C1939" t="s">
        <v>146</v>
      </c>
      <c r="D1939" t="s">
        <v>2829</v>
      </c>
      <c r="E1939" t="s">
        <v>1886</v>
      </c>
      <c r="F1939">
        <v>18040</v>
      </c>
    </row>
    <row r="1940" spans="1:6" x14ac:dyDescent="0.25">
      <c r="A1940" t="s">
        <v>4174</v>
      </c>
      <c r="B1940" t="s">
        <v>719</v>
      </c>
      <c r="C1940" t="s">
        <v>146</v>
      </c>
      <c r="D1940" t="s">
        <v>2068</v>
      </c>
      <c r="E1940" t="s">
        <v>1915</v>
      </c>
      <c r="F1940">
        <v>38033</v>
      </c>
    </row>
    <row r="1941" spans="1:6" x14ac:dyDescent="0.25">
      <c r="A1941" t="s">
        <v>4175</v>
      </c>
      <c r="B1941" t="s">
        <v>719</v>
      </c>
      <c r="C1941" t="s">
        <v>146</v>
      </c>
      <c r="D1941" t="s">
        <v>2014</v>
      </c>
      <c r="E1941" t="s">
        <v>1871</v>
      </c>
      <c r="F1941">
        <v>8171</v>
      </c>
    </row>
    <row r="1942" spans="1:6" x14ac:dyDescent="0.25">
      <c r="A1942" t="s">
        <v>4176</v>
      </c>
      <c r="B1942" t="s">
        <v>719</v>
      </c>
      <c r="C1942" t="s">
        <v>146</v>
      </c>
      <c r="D1942" t="s">
        <v>2336</v>
      </c>
      <c r="E1942" t="s">
        <v>1915</v>
      </c>
      <c r="F1942">
        <v>127701</v>
      </c>
    </row>
    <row r="1943" spans="1:6" x14ac:dyDescent="0.25">
      <c r="A1943" t="s">
        <v>4177</v>
      </c>
      <c r="B1943" t="s">
        <v>719</v>
      </c>
      <c r="C1943" t="s">
        <v>146</v>
      </c>
      <c r="D1943" t="s">
        <v>2036</v>
      </c>
      <c r="E1943" t="s">
        <v>1879</v>
      </c>
      <c r="F1943">
        <v>47772</v>
      </c>
    </row>
    <row r="1944" spans="1:6" x14ac:dyDescent="0.25">
      <c r="A1944" t="s">
        <v>4178</v>
      </c>
      <c r="B1944" t="s">
        <v>719</v>
      </c>
      <c r="C1944" t="s">
        <v>146</v>
      </c>
      <c r="D1944" t="s">
        <v>1919</v>
      </c>
      <c r="E1944" t="s">
        <v>1879</v>
      </c>
      <c r="F1944">
        <v>14226</v>
      </c>
    </row>
    <row r="1945" spans="1:6" x14ac:dyDescent="0.25">
      <c r="A1945" t="s">
        <v>4179</v>
      </c>
      <c r="B1945" t="s">
        <v>722</v>
      </c>
      <c r="C1945" t="s">
        <v>73</v>
      </c>
      <c r="D1945" t="s">
        <v>2649</v>
      </c>
      <c r="E1945" t="s">
        <v>1886</v>
      </c>
      <c r="F1945">
        <v>28621</v>
      </c>
    </row>
    <row r="1946" spans="1:6" x14ac:dyDescent="0.25">
      <c r="A1946" t="s">
        <v>4180</v>
      </c>
      <c r="B1946" t="s">
        <v>722</v>
      </c>
      <c r="C1946" t="s">
        <v>73</v>
      </c>
      <c r="D1946" t="s">
        <v>2531</v>
      </c>
      <c r="E1946" t="s">
        <v>1871</v>
      </c>
      <c r="F1946">
        <v>5082</v>
      </c>
    </row>
    <row r="1947" spans="1:6" x14ac:dyDescent="0.25">
      <c r="A1947" t="s">
        <v>4181</v>
      </c>
      <c r="B1947" t="s">
        <v>722</v>
      </c>
      <c r="C1947" t="s">
        <v>73</v>
      </c>
      <c r="D1947" t="s">
        <v>1881</v>
      </c>
      <c r="E1947" t="s">
        <v>1871</v>
      </c>
      <c r="F1947">
        <v>16746</v>
      </c>
    </row>
    <row r="1948" spans="1:6" x14ac:dyDescent="0.25">
      <c r="A1948" t="s">
        <v>4182</v>
      </c>
      <c r="B1948" t="s">
        <v>722</v>
      </c>
      <c r="C1948" t="s">
        <v>73</v>
      </c>
      <c r="D1948" t="s">
        <v>2645</v>
      </c>
      <c r="E1948" t="s">
        <v>1879</v>
      </c>
      <c r="F1948">
        <v>22471</v>
      </c>
    </row>
    <row r="1949" spans="1:6" x14ac:dyDescent="0.25">
      <c r="A1949" t="s">
        <v>4183</v>
      </c>
      <c r="B1949" t="s">
        <v>722</v>
      </c>
      <c r="C1949" t="s">
        <v>73</v>
      </c>
      <c r="D1949" t="s">
        <v>1875</v>
      </c>
      <c r="E1949" t="s">
        <v>1915</v>
      </c>
      <c r="F1949">
        <v>32447</v>
      </c>
    </row>
    <row r="1950" spans="1:6" x14ac:dyDescent="0.25">
      <c r="A1950" t="s">
        <v>4184</v>
      </c>
      <c r="B1950" t="s">
        <v>722</v>
      </c>
      <c r="C1950" t="s">
        <v>73</v>
      </c>
      <c r="D1950" t="s">
        <v>2580</v>
      </c>
      <c r="E1950" t="s">
        <v>1871</v>
      </c>
      <c r="F1950">
        <v>17260</v>
      </c>
    </row>
    <row r="1951" spans="1:6" x14ac:dyDescent="0.25">
      <c r="A1951" t="s">
        <v>4185</v>
      </c>
      <c r="B1951" t="s">
        <v>722</v>
      </c>
      <c r="C1951" t="s">
        <v>73</v>
      </c>
      <c r="D1951" t="s">
        <v>2364</v>
      </c>
      <c r="E1951" t="s">
        <v>1915</v>
      </c>
      <c r="F1951">
        <v>49742</v>
      </c>
    </row>
    <row r="1952" spans="1:6" x14ac:dyDescent="0.25">
      <c r="A1952" t="s">
        <v>4186</v>
      </c>
      <c r="B1952" t="s">
        <v>722</v>
      </c>
      <c r="C1952" t="s">
        <v>73</v>
      </c>
      <c r="D1952" t="s">
        <v>2704</v>
      </c>
      <c r="E1952" t="s">
        <v>1915</v>
      </c>
      <c r="F1952">
        <v>14165</v>
      </c>
    </row>
    <row r="1953" spans="1:6" x14ac:dyDescent="0.25">
      <c r="A1953" t="s">
        <v>4187</v>
      </c>
      <c r="B1953" t="s">
        <v>725</v>
      </c>
      <c r="C1953" t="s">
        <v>146</v>
      </c>
      <c r="D1953" t="s">
        <v>1697</v>
      </c>
      <c r="E1953" t="s">
        <v>1886</v>
      </c>
      <c r="F1953">
        <v>17971</v>
      </c>
    </row>
    <row r="1954" spans="1:6" x14ac:dyDescent="0.25">
      <c r="A1954" t="s">
        <v>4188</v>
      </c>
      <c r="B1954" t="s">
        <v>725</v>
      </c>
      <c r="C1954" t="s">
        <v>146</v>
      </c>
      <c r="D1954" t="s">
        <v>2171</v>
      </c>
      <c r="E1954" t="s">
        <v>1886</v>
      </c>
      <c r="F1954">
        <v>34375</v>
      </c>
    </row>
    <row r="1955" spans="1:6" x14ac:dyDescent="0.25">
      <c r="A1955" t="s">
        <v>4189</v>
      </c>
      <c r="B1955" t="s">
        <v>725</v>
      </c>
      <c r="C1955" t="s">
        <v>146</v>
      </c>
      <c r="D1955" t="s">
        <v>2148</v>
      </c>
      <c r="E1955" t="s">
        <v>1879</v>
      </c>
      <c r="F1955">
        <v>23248</v>
      </c>
    </row>
    <row r="1956" spans="1:6" x14ac:dyDescent="0.25">
      <c r="A1956" t="s">
        <v>4190</v>
      </c>
      <c r="B1956" t="s">
        <v>725</v>
      </c>
      <c r="C1956" t="s">
        <v>146</v>
      </c>
      <c r="D1956" t="s">
        <v>3956</v>
      </c>
      <c r="E1956" t="s">
        <v>1876</v>
      </c>
      <c r="F1956">
        <v>26210</v>
      </c>
    </row>
    <row r="1957" spans="1:6" x14ac:dyDescent="0.25">
      <c r="A1957" t="s">
        <v>4191</v>
      </c>
      <c r="B1957" t="s">
        <v>725</v>
      </c>
      <c r="C1957" t="s">
        <v>146</v>
      </c>
      <c r="D1957" t="s">
        <v>1957</v>
      </c>
      <c r="E1957" t="s">
        <v>1915</v>
      </c>
      <c r="F1957">
        <v>20298</v>
      </c>
    </row>
    <row r="1958" spans="1:6" x14ac:dyDescent="0.25">
      <c r="A1958" t="s">
        <v>4192</v>
      </c>
      <c r="B1958" t="s">
        <v>725</v>
      </c>
      <c r="C1958" t="s">
        <v>146</v>
      </c>
      <c r="D1958" t="s">
        <v>2427</v>
      </c>
      <c r="E1958" t="s">
        <v>1876</v>
      </c>
      <c r="F1958">
        <v>25290</v>
      </c>
    </row>
    <row r="1959" spans="1:6" x14ac:dyDescent="0.25">
      <c r="A1959" t="s">
        <v>4193</v>
      </c>
      <c r="B1959" t="s">
        <v>728</v>
      </c>
      <c r="C1959" t="s">
        <v>146</v>
      </c>
      <c r="D1959" t="s">
        <v>2657</v>
      </c>
      <c r="E1959" t="s">
        <v>1871</v>
      </c>
      <c r="F1959">
        <v>15684</v>
      </c>
    </row>
    <row r="1960" spans="1:6" x14ac:dyDescent="0.25">
      <c r="A1960" t="s">
        <v>4194</v>
      </c>
      <c r="B1960" t="s">
        <v>728</v>
      </c>
      <c r="C1960" t="s">
        <v>146</v>
      </c>
      <c r="D1960" t="s">
        <v>2437</v>
      </c>
      <c r="E1960" t="s">
        <v>1886</v>
      </c>
      <c r="F1960">
        <v>32090</v>
      </c>
    </row>
    <row r="1961" spans="1:6" x14ac:dyDescent="0.25">
      <c r="A1961" t="s">
        <v>4195</v>
      </c>
      <c r="B1961" t="s">
        <v>728</v>
      </c>
      <c r="C1961" t="s">
        <v>146</v>
      </c>
      <c r="D1961" t="s">
        <v>2163</v>
      </c>
      <c r="E1961" t="s">
        <v>1886</v>
      </c>
      <c r="F1961">
        <v>34263</v>
      </c>
    </row>
    <row r="1962" spans="1:6" x14ac:dyDescent="0.25">
      <c r="A1962" t="s">
        <v>4196</v>
      </c>
      <c r="B1962" t="s">
        <v>728</v>
      </c>
      <c r="C1962" t="s">
        <v>146</v>
      </c>
      <c r="D1962" t="s">
        <v>3313</v>
      </c>
      <c r="E1962" t="s">
        <v>1871</v>
      </c>
      <c r="F1962">
        <v>13147</v>
      </c>
    </row>
    <row r="1963" spans="1:6" x14ac:dyDescent="0.25">
      <c r="A1963" t="s">
        <v>4197</v>
      </c>
      <c r="B1963" t="s">
        <v>728</v>
      </c>
      <c r="C1963" t="s">
        <v>146</v>
      </c>
      <c r="D1963" t="s">
        <v>1935</v>
      </c>
      <c r="E1963" t="s">
        <v>1915</v>
      </c>
      <c r="F1963">
        <v>25065</v>
      </c>
    </row>
    <row r="1964" spans="1:6" x14ac:dyDescent="0.25">
      <c r="A1964" t="s">
        <v>4198</v>
      </c>
      <c r="B1964" t="s">
        <v>728</v>
      </c>
      <c r="C1964" t="s">
        <v>146</v>
      </c>
      <c r="D1964" t="s">
        <v>2119</v>
      </c>
      <c r="E1964" t="s">
        <v>1915</v>
      </c>
      <c r="F1964">
        <v>32889</v>
      </c>
    </row>
    <row r="1965" spans="1:6" x14ac:dyDescent="0.25">
      <c r="A1965" t="s">
        <v>4199</v>
      </c>
      <c r="B1965" t="s">
        <v>728</v>
      </c>
      <c r="C1965" t="s">
        <v>146</v>
      </c>
      <c r="D1965" t="s">
        <v>1931</v>
      </c>
      <c r="E1965" t="s">
        <v>1886</v>
      </c>
      <c r="F1965">
        <v>14436</v>
      </c>
    </row>
    <row r="1966" spans="1:6" x14ac:dyDescent="0.25">
      <c r="A1966" t="s">
        <v>4200</v>
      </c>
      <c r="B1966" t="s">
        <v>728</v>
      </c>
      <c r="C1966" t="s">
        <v>146</v>
      </c>
      <c r="D1966" t="s">
        <v>2513</v>
      </c>
      <c r="E1966" t="s">
        <v>1915</v>
      </c>
      <c r="F1966">
        <v>26275</v>
      </c>
    </row>
    <row r="1967" spans="1:6" x14ac:dyDescent="0.25">
      <c r="A1967" t="s">
        <v>4201</v>
      </c>
      <c r="B1967" t="s">
        <v>728</v>
      </c>
      <c r="C1967" t="s">
        <v>146</v>
      </c>
      <c r="D1967" t="s">
        <v>2179</v>
      </c>
      <c r="E1967" t="s">
        <v>1876</v>
      </c>
      <c r="F1967">
        <v>8413</v>
      </c>
    </row>
    <row r="1968" spans="1:6" x14ac:dyDescent="0.25">
      <c r="A1968" t="s">
        <v>4202</v>
      </c>
      <c r="B1968" t="s">
        <v>728</v>
      </c>
      <c r="C1968" t="s">
        <v>146</v>
      </c>
      <c r="D1968" t="s">
        <v>2441</v>
      </c>
      <c r="E1968" t="s">
        <v>1871</v>
      </c>
      <c r="F1968">
        <v>29060</v>
      </c>
    </row>
    <row r="1969" spans="1:6" x14ac:dyDescent="0.25">
      <c r="A1969" t="s">
        <v>4203</v>
      </c>
      <c r="B1969" t="s">
        <v>728</v>
      </c>
      <c r="C1969" t="s">
        <v>146</v>
      </c>
      <c r="D1969" t="s">
        <v>2657</v>
      </c>
      <c r="E1969" t="s">
        <v>1871</v>
      </c>
      <c r="F1969">
        <v>15642</v>
      </c>
    </row>
    <row r="1970" spans="1:6" x14ac:dyDescent="0.25">
      <c r="A1970" t="s">
        <v>4204</v>
      </c>
      <c r="B1970" t="s">
        <v>728</v>
      </c>
      <c r="C1970" t="s">
        <v>146</v>
      </c>
      <c r="D1970" t="s">
        <v>2273</v>
      </c>
      <c r="E1970" t="s">
        <v>1879</v>
      </c>
      <c r="F1970">
        <v>31463</v>
      </c>
    </row>
    <row r="1971" spans="1:6" x14ac:dyDescent="0.25">
      <c r="A1971" t="s">
        <v>4205</v>
      </c>
      <c r="B1971" t="s">
        <v>731</v>
      </c>
      <c r="C1971" t="s">
        <v>73</v>
      </c>
      <c r="D1971" t="s">
        <v>1992</v>
      </c>
      <c r="E1971" t="s">
        <v>1876</v>
      </c>
      <c r="F1971">
        <v>26468</v>
      </c>
    </row>
    <row r="1972" spans="1:6" x14ac:dyDescent="0.25">
      <c r="A1972" t="s">
        <v>4206</v>
      </c>
      <c r="B1972" t="s">
        <v>731</v>
      </c>
      <c r="C1972" t="s">
        <v>73</v>
      </c>
      <c r="D1972" t="s">
        <v>2280</v>
      </c>
      <c r="E1972" t="s">
        <v>1876</v>
      </c>
      <c r="F1972">
        <v>2696</v>
      </c>
    </row>
    <row r="1973" spans="1:6" x14ac:dyDescent="0.25">
      <c r="A1973" t="s">
        <v>4207</v>
      </c>
      <c r="B1973" t="s">
        <v>731</v>
      </c>
      <c r="C1973" t="s">
        <v>73</v>
      </c>
      <c r="D1973" t="s">
        <v>2425</v>
      </c>
      <c r="E1973" t="s">
        <v>1915</v>
      </c>
      <c r="F1973">
        <v>39533</v>
      </c>
    </row>
    <row r="1974" spans="1:6" x14ac:dyDescent="0.25">
      <c r="A1974" t="s">
        <v>4208</v>
      </c>
      <c r="B1974" t="s">
        <v>731</v>
      </c>
      <c r="C1974" t="s">
        <v>73</v>
      </c>
      <c r="D1974" t="s">
        <v>1896</v>
      </c>
      <c r="E1974" t="s">
        <v>1871</v>
      </c>
      <c r="F1974">
        <v>8252</v>
      </c>
    </row>
    <row r="1975" spans="1:6" x14ac:dyDescent="0.25">
      <c r="A1975" t="s">
        <v>4209</v>
      </c>
      <c r="B1975" t="s">
        <v>731</v>
      </c>
      <c r="C1975" t="s">
        <v>73</v>
      </c>
      <c r="D1975" t="s">
        <v>1988</v>
      </c>
      <c r="E1975" t="s">
        <v>1915</v>
      </c>
      <c r="F1975">
        <v>6402</v>
      </c>
    </row>
    <row r="1976" spans="1:6" x14ac:dyDescent="0.25">
      <c r="A1976" t="s">
        <v>4210</v>
      </c>
      <c r="B1976" t="s">
        <v>731</v>
      </c>
      <c r="C1976" t="s">
        <v>73</v>
      </c>
      <c r="D1976" t="s">
        <v>2109</v>
      </c>
      <c r="E1976" t="s">
        <v>1871</v>
      </c>
      <c r="F1976">
        <v>16790</v>
      </c>
    </row>
    <row r="1977" spans="1:6" x14ac:dyDescent="0.25">
      <c r="A1977" t="s">
        <v>4211</v>
      </c>
      <c r="B1977" t="s">
        <v>734</v>
      </c>
      <c r="C1977" t="s">
        <v>87</v>
      </c>
      <c r="D1977" t="s">
        <v>2687</v>
      </c>
      <c r="E1977" t="s">
        <v>1886</v>
      </c>
      <c r="F1977">
        <v>27300</v>
      </c>
    </row>
    <row r="1978" spans="1:6" x14ac:dyDescent="0.25">
      <c r="A1978" t="s">
        <v>4212</v>
      </c>
      <c r="B1978" t="s">
        <v>734</v>
      </c>
      <c r="C1978" t="s">
        <v>87</v>
      </c>
      <c r="D1978" t="s">
        <v>2036</v>
      </c>
      <c r="E1978" t="s">
        <v>1886</v>
      </c>
      <c r="F1978">
        <v>4821</v>
      </c>
    </row>
    <row r="1979" spans="1:6" x14ac:dyDescent="0.25">
      <c r="A1979" t="s">
        <v>4213</v>
      </c>
      <c r="B1979" t="s">
        <v>734</v>
      </c>
      <c r="C1979" t="s">
        <v>87</v>
      </c>
      <c r="D1979" t="s">
        <v>2066</v>
      </c>
      <c r="E1979" t="s">
        <v>1876</v>
      </c>
      <c r="F1979">
        <v>19938</v>
      </c>
    </row>
    <row r="1980" spans="1:6" x14ac:dyDescent="0.25">
      <c r="A1980" t="s">
        <v>4214</v>
      </c>
      <c r="B1980" t="s">
        <v>734</v>
      </c>
      <c r="C1980" t="s">
        <v>87</v>
      </c>
      <c r="D1980" t="s">
        <v>2109</v>
      </c>
      <c r="E1980" t="s">
        <v>1886</v>
      </c>
      <c r="F1980">
        <v>34545</v>
      </c>
    </row>
    <row r="1981" spans="1:6" x14ac:dyDescent="0.25">
      <c r="A1981" t="s">
        <v>4215</v>
      </c>
      <c r="B1981" t="s">
        <v>734</v>
      </c>
      <c r="C1981" t="s">
        <v>87</v>
      </c>
      <c r="D1981" t="s">
        <v>1975</v>
      </c>
      <c r="E1981" t="s">
        <v>1879</v>
      </c>
      <c r="F1981">
        <v>982</v>
      </c>
    </row>
    <row r="1982" spans="1:6" x14ac:dyDescent="0.25">
      <c r="A1982" t="s">
        <v>4216</v>
      </c>
      <c r="B1982" t="s">
        <v>734</v>
      </c>
      <c r="C1982" t="s">
        <v>87</v>
      </c>
      <c r="D1982" t="s">
        <v>2479</v>
      </c>
      <c r="E1982" t="s">
        <v>1915</v>
      </c>
      <c r="F1982">
        <v>6726</v>
      </c>
    </row>
    <row r="1983" spans="1:6" x14ac:dyDescent="0.25">
      <c r="A1983" t="s">
        <v>4217</v>
      </c>
      <c r="B1983" t="s">
        <v>734</v>
      </c>
      <c r="C1983" t="s">
        <v>87</v>
      </c>
      <c r="D1983" t="s">
        <v>1883</v>
      </c>
      <c r="E1983" t="s">
        <v>1871</v>
      </c>
      <c r="F1983">
        <v>22546</v>
      </c>
    </row>
    <row r="1984" spans="1:6" x14ac:dyDescent="0.25">
      <c r="A1984" t="s">
        <v>4218</v>
      </c>
      <c r="B1984" t="s">
        <v>734</v>
      </c>
      <c r="C1984" t="s">
        <v>87</v>
      </c>
      <c r="D1984" t="s">
        <v>2286</v>
      </c>
      <c r="E1984" t="s">
        <v>1876</v>
      </c>
      <c r="F1984">
        <v>10234</v>
      </c>
    </row>
    <row r="1985" spans="1:6" x14ac:dyDescent="0.25">
      <c r="A1985" t="s">
        <v>4219</v>
      </c>
      <c r="B1985" t="s">
        <v>737</v>
      </c>
      <c r="C1985" t="s">
        <v>73</v>
      </c>
      <c r="D1985" t="s">
        <v>2280</v>
      </c>
      <c r="E1985" t="s">
        <v>1879</v>
      </c>
      <c r="F1985">
        <v>3301</v>
      </c>
    </row>
    <row r="1986" spans="1:6" x14ac:dyDescent="0.25">
      <c r="A1986" t="s">
        <v>4220</v>
      </c>
      <c r="B1986" t="s">
        <v>737</v>
      </c>
      <c r="C1986" t="s">
        <v>73</v>
      </c>
      <c r="D1986" t="s">
        <v>2159</v>
      </c>
      <c r="E1986" t="s">
        <v>1879</v>
      </c>
      <c r="F1986">
        <v>13455</v>
      </c>
    </row>
    <row r="1987" spans="1:6" x14ac:dyDescent="0.25">
      <c r="A1987" t="s">
        <v>4221</v>
      </c>
      <c r="B1987" t="s">
        <v>737</v>
      </c>
      <c r="C1987" t="s">
        <v>73</v>
      </c>
      <c r="D1987" t="s">
        <v>2531</v>
      </c>
      <c r="E1987" t="s">
        <v>1879</v>
      </c>
      <c r="F1987">
        <v>4568</v>
      </c>
    </row>
    <row r="1988" spans="1:6" x14ac:dyDescent="0.25">
      <c r="A1988" t="s">
        <v>4222</v>
      </c>
      <c r="B1988" t="s">
        <v>737</v>
      </c>
      <c r="C1988" t="s">
        <v>73</v>
      </c>
      <c r="D1988" t="s">
        <v>1943</v>
      </c>
      <c r="E1988" t="s">
        <v>1915</v>
      </c>
      <c r="F1988">
        <v>5285</v>
      </c>
    </row>
    <row r="1989" spans="1:6" x14ac:dyDescent="0.25">
      <c r="A1989" t="s">
        <v>4223</v>
      </c>
      <c r="B1989" t="s">
        <v>737</v>
      </c>
      <c r="C1989" t="s">
        <v>73</v>
      </c>
      <c r="D1989" t="s">
        <v>1883</v>
      </c>
      <c r="E1989" t="s">
        <v>1879</v>
      </c>
      <c r="F1989">
        <v>13802</v>
      </c>
    </row>
    <row r="1990" spans="1:6" x14ac:dyDescent="0.25">
      <c r="A1990" t="s">
        <v>4224</v>
      </c>
      <c r="B1990" t="s">
        <v>737</v>
      </c>
      <c r="C1990" t="s">
        <v>73</v>
      </c>
      <c r="D1990" t="s">
        <v>2346</v>
      </c>
      <c r="E1990" t="s">
        <v>1879</v>
      </c>
      <c r="F1990">
        <v>14988</v>
      </c>
    </row>
    <row r="1991" spans="1:6" x14ac:dyDescent="0.25">
      <c r="A1991" t="s">
        <v>4225</v>
      </c>
      <c r="B1991" t="s">
        <v>737</v>
      </c>
      <c r="C1991" t="s">
        <v>73</v>
      </c>
      <c r="D1991" t="s">
        <v>2165</v>
      </c>
      <c r="E1991" t="s">
        <v>1871</v>
      </c>
      <c r="F1991">
        <v>15213</v>
      </c>
    </row>
    <row r="1992" spans="1:6" x14ac:dyDescent="0.25">
      <c r="A1992" t="s">
        <v>4226</v>
      </c>
      <c r="B1992" t="s">
        <v>737</v>
      </c>
      <c r="C1992" t="s">
        <v>73</v>
      </c>
      <c r="D1992" t="s">
        <v>2314</v>
      </c>
      <c r="E1992" t="s">
        <v>1879</v>
      </c>
      <c r="F1992">
        <v>2170</v>
      </c>
    </row>
    <row r="1993" spans="1:6" x14ac:dyDescent="0.25">
      <c r="A1993" t="s">
        <v>4227</v>
      </c>
      <c r="B1993" t="s">
        <v>737</v>
      </c>
      <c r="C1993" t="s">
        <v>73</v>
      </c>
      <c r="D1993" t="s">
        <v>2061</v>
      </c>
      <c r="E1993" t="s">
        <v>1915</v>
      </c>
      <c r="F1993">
        <v>1498</v>
      </c>
    </row>
    <row r="1994" spans="1:6" x14ac:dyDescent="0.25">
      <c r="A1994" t="s">
        <v>4228</v>
      </c>
      <c r="B1994" t="s">
        <v>740</v>
      </c>
      <c r="C1994" t="s">
        <v>87</v>
      </c>
      <c r="D1994" t="s">
        <v>2544</v>
      </c>
      <c r="E1994" t="s">
        <v>1876</v>
      </c>
      <c r="F1994">
        <v>36056</v>
      </c>
    </row>
    <row r="1995" spans="1:6" x14ac:dyDescent="0.25">
      <c r="A1995" t="s">
        <v>4229</v>
      </c>
      <c r="B1995" t="s">
        <v>740</v>
      </c>
      <c r="C1995" t="s">
        <v>87</v>
      </c>
      <c r="D1995" t="s">
        <v>1975</v>
      </c>
      <c r="E1995" t="s">
        <v>1871</v>
      </c>
      <c r="F1995">
        <v>46790</v>
      </c>
    </row>
    <row r="1996" spans="1:6" x14ac:dyDescent="0.25">
      <c r="A1996" t="s">
        <v>4230</v>
      </c>
      <c r="B1996" t="s">
        <v>740</v>
      </c>
      <c r="C1996" t="s">
        <v>87</v>
      </c>
      <c r="D1996" t="s">
        <v>2263</v>
      </c>
      <c r="E1996" t="s">
        <v>1876</v>
      </c>
      <c r="F1996">
        <v>5288</v>
      </c>
    </row>
    <row r="1997" spans="1:6" x14ac:dyDescent="0.25">
      <c r="A1997" t="s">
        <v>4231</v>
      </c>
      <c r="B1997" t="s">
        <v>740</v>
      </c>
      <c r="C1997" t="s">
        <v>87</v>
      </c>
      <c r="D1997" t="s">
        <v>2661</v>
      </c>
      <c r="E1997" t="s">
        <v>1886</v>
      </c>
      <c r="F1997">
        <v>11156</v>
      </c>
    </row>
    <row r="1998" spans="1:6" x14ac:dyDescent="0.25">
      <c r="A1998" t="s">
        <v>4232</v>
      </c>
      <c r="B1998" t="s">
        <v>740</v>
      </c>
      <c r="C1998" t="s">
        <v>87</v>
      </c>
      <c r="D1998" t="s">
        <v>2278</v>
      </c>
      <c r="E1998" t="s">
        <v>1871</v>
      </c>
      <c r="F1998">
        <v>25927</v>
      </c>
    </row>
    <row r="1999" spans="1:6" x14ac:dyDescent="0.25">
      <c r="A1999" t="s">
        <v>4233</v>
      </c>
      <c r="B1999" t="s">
        <v>740</v>
      </c>
      <c r="C1999" t="s">
        <v>87</v>
      </c>
      <c r="D1999" t="s">
        <v>2286</v>
      </c>
      <c r="E1999" t="s">
        <v>1915</v>
      </c>
      <c r="F1999">
        <v>107065</v>
      </c>
    </row>
    <row r="2000" spans="1:6" x14ac:dyDescent="0.25">
      <c r="A2000" t="s">
        <v>4234</v>
      </c>
      <c r="B2000" t="s">
        <v>740</v>
      </c>
      <c r="C2000" t="s">
        <v>87</v>
      </c>
      <c r="D2000" t="s">
        <v>1929</v>
      </c>
      <c r="E2000" t="s">
        <v>1886</v>
      </c>
      <c r="F2000">
        <v>24805</v>
      </c>
    </row>
    <row r="2001" spans="1:6" x14ac:dyDescent="0.25">
      <c r="A2001" t="s">
        <v>4235</v>
      </c>
      <c r="B2001" t="s">
        <v>740</v>
      </c>
      <c r="C2001" t="s">
        <v>87</v>
      </c>
      <c r="D2001" t="s">
        <v>1890</v>
      </c>
      <c r="E2001" t="s">
        <v>1876</v>
      </c>
      <c r="F2001">
        <v>43740</v>
      </c>
    </row>
    <row r="2002" spans="1:6" x14ac:dyDescent="0.25">
      <c r="A2002" t="s">
        <v>4236</v>
      </c>
      <c r="B2002" t="s">
        <v>740</v>
      </c>
      <c r="C2002" t="s">
        <v>87</v>
      </c>
      <c r="D2002" t="s">
        <v>2693</v>
      </c>
      <c r="E2002" t="s">
        <v>1879</v>
      </c>
      <c r="F2002">
        <v>17064</v>
      </c>
    </row>
    <row r="2003" spans="1:6" x14ac:dyDescent="0.25">
      <c r="A2003" t="s">
        <v>4237</v>
      </c>
      <c r="B2003" t="s">
        <v>740</v>
      </c>
      <c r="C2003" t="s">
        <v>87</v>
      </c>
      <c r="D2003" t="s">
        <v>2404</v>
      </c>
      <c r="E2003" t="s">
        <v>1915</v>
      </c>
      <c r="F2003">
        <v>99867</v>
      </c>
    </row>
    <row r="2004" spans="1:6" x14ac:dyDescent="0.25">
      <c r="A2004" t="s">
        <v>4238</v>
      </c>
      <c r="B2004" t="s">
        <v>743</v>
      </c>
      <c r="C2004" t="s">
        <v>73</v>
      </c>
      <c r="D2004" t="s">
        <v>2068</v>
      </c>
      <c r="E2004" t="s">
        <v>1871</v>
      </c>
      <c r="F2004">
        <v>1898</v>
      </c>
    </row>
    <row r="2005" spans="1:6" x14ac:dyDescent="0.25">
      <c r="A2005" t="s">
        <v>4239</v>
      </c>
      <c r="B2005" t="s">
        <v>743</v>
      </c>
      <c r="C2005" t="s">
        <v>73</v>
      </c>
      <c r="D2005" t="s">
        <v>2816</v>
      </c>
      <c r="E2005" t="s">
        <v>1915</v>
      </c>
      <c r="F2005">
        <v>97405</v>
      </c>
    </row>
    <row r="2006" spans="1:6" x14ac:dyDescent="0.25">
      <c r="A2006" t="s">
        <v>4240</v>
      </c>
      <c r="B2006" t="s">
        <v>743</v>
      </c>
      <c r="C2006" t="s">
        <v>73</v>
      </c>
      <c r="D2006" t="s">
        <v>2612</v>
      </c>
      <c r="E2006" t="s">
        <v>1879</v>
      </c>
      <c r="F2006">
        <v>34400</v>
      </c>
    </row>
    <row r="2007" spans="1:6" x14ac:dyDescent="0.25">
      <c r="A2007" t="s">
        <v>4241</v>
      </c>
      <c r="B2007" t="s">
        <v>743</v>
      </c>
      <c r="C2007" t="s">
        <v>73</v>
      </c>
      <c r="D2007" t="s">
        <v>2624</v>
      </c>
      <c r="E2007" t="s">
        <v>1915</v>
      </c>
      <c r="F2007">
        <v>103373</v>
      </c>
    </row>
    <row r="2008" spans="1:6" x14ac:dyDescent="0.25">
      <c r="A2008" t="s">
        <v>4242</v>
      </c>
      <c r="B2008" t="s">
        <v>743</v>
      </c>
      <c r="C2008" t="s">
        <v>73</v>
      </c>
      <c r="D2008" t="s">
        <v>3105</v>
      </c>
      <c r="E2008" t="s">
        <v>1879</v>
      </c>
      <c r="F2008">
        <v>47909</v>
      </c>
    </row>
    <row r="2009" spans="1:6" x14ac:dyDescent="0.25">
      <c r="A2009" t="s">
        <v>4243</v>
      </c>
      <c r="B2009" t="s">
        <v>743</v>
      </c>
      <c r="C2009" t="s">
        <v>73</v>
      </c>
      <c r="D2009" t="s">
        <v>2316</v>
      </c>
      <c r="E2009" t="s">
        <v>1871</v>
      </c>
      <c r="F2009">
        <v>37078</v>
      </c>
    </row>
    <row r="2010" spans="1:6" x14ac:dyDescent="0.25">
      <c r="A2010" t="s">
        <v>4244</v>
      </c>
      <c r="B2010" t="s">
        <v>743</v>
      </c>
      <c r="C2010" t="s">
        <v>73</v>
      </c>
      <c r="D2010" t="s">
        <v>2450</v>
      </c>
      <c r="E2010" t="s">
        <v>1871</v>
      </c>
      <c r="F2010">
        <v>60711</v>
      </c>
    </row>
    <row r="2011" spans="1:6" x14ac:dyDescent="0.25">
      <c r="A2011" t="s">
        <v>4245</v>
      </c>
      <c r="B2011" t="s">
        <v>743</v>
      </c>
      <c r="C2011" t="s">
        <v>73</v>
      </c>
      <c r="D2011" t="s">
        <v>2070</v>
      </c>
      <c r="E2011" t="s">
        <v>1871</v>
      </c>
      <c r="F2011">
        <v>45237</v>
      </c>
    </row>
    <row r="2012" spans="1:6" x14ac:dyDescent="0.25">
      <c r="A2012" t="s">
        <v>4246</v>
      </c>
      <c r="B2012" t="s">
        <v>743</v>
      </c>
      <c r="C2012" t="s">
        <v>73</v>
      </c>
      <c r="D2012" t="s">
        <v>2399</v>
      </c>
      <c r="E2012" t="s">
        <v>1876</v>
      </c>
      <c r="F2012">
        <v>38862</v>
      </c>
    </row>
    <row r="2013" spans="1:6" x14ac:dyDescent="0.25">
      <c r="A2013" t="s">
        <v>4247</v>
      </c>
      <c r="B2013" t="s">
        <v>746</v>
      </c>
      <c r="C2013" t="s">
        <v>73</v>
      </c>
      <c r="D2013" t="s">
        <v>2412</v>
      </c>
      <c r="E2013" t="s">
        <v>1915</v>
      </c>
      <c r="F2013">
        <v>40343</v>
      </c>
    </row>
    <row r="2014" spans="1:6" x14ac:dyDescent="0.25">
      <c r="A2014" t="s">
        <v>4248</v>
      </c>
      <c r="B2014" t="s">
        <v>746</v>
      </c>
      <c r="C2014" t="s">
        <v>73</v>
      </c>
      <c r="D2014" t="s">
        <v>2093</v>
      </c>
      <c r="E2014" t="s">
        <v>1879</v>
      </c>
      <c r="F2014">
        <v>25559</v>
      </c>
    </row>
    <row r="2015" spans="1:6" x14ac:dyDescent="0.25">
      <c r="A2015" t="s">
        <v>4249</v>
      </c>
      <c r="B2015" t="s">
        <v>746</v>
      </c>
      <c r="C2015" t="s">
        <v>73</v>
      </c>
      <c r="D2015" t="s">
        <v>2028</v>
      </c>
      <c r="E2015" t="s">
        <v>1915</v>
      </c>
      <c r="F2015">
        <v>33291</v>
      </c>
    </row>
    <row r="2016" spans="1:6" x14ac:dyDescent="0.25">
      <c r="A2016" t="s">
        <v>4250</v>
      </c>
      <c r="B2016" t="s">
        <v>746</v>
      </c>
      <c r="C2016" t="s">
        <v>73</v>
      </c>
      <c r="D2016" t="s">
        <v>2265</v>
      </c>
      <c r="E2016" t="s">
        <v>1915</v>
      </c>
      <c r="F2016">
        <v>34845</v>
      </c>
    </row>
    <row r="2017" spans="1:6" x14ac:dyDescent="0.25">
      <c r="A2017" t="s">
        <v>4251</v>
      </c>
      <c r="B2017" t="s">
        <v>746</v>
      </c>
      <c r="C2017" t="s">
        <v>73</v>
      </c>
      <c r="D2017" t="s">
        <v>2053</v>
      </c>
      <c r="E2017" t="s">
        <v>1876</v>
      </c>
      <c r="F2017">
        <v>30652</v>
      </c>
    </row>
    <row r="2018" spans="1:6" x14ac:dyDescent="0.25">
      <c r="A2018" t="s">
        <v>4252</v>
      </c>
      <c r="B2018" t="s">
        <v>746</v>
      </c>
      <c r="C2018" t="s">
        <v>73</v>
      </c>
      <c r="D2018" t="s">
        <v>3395</v>
      </c>
      <c r="E2018" t="s">
        <v>1879</v>
      </c>
      <c r="F2018">
        <v>7821</v>
      </c>
    </row>
    <row r="2019" spans="1:6" x14ac:dyDescent="0.25">
      <c r="A2019" t="s">
        <v>4253</v>
      </c>
      <c r="B2019" t="s">
        <v>746</v>
      </c>
      <c r="C2019" t="s">
        <v>73</v>
      </c>
      <c r="D2019" t="s">
        <v>2095</v>
      </c>
      <c r="E2019" t="s">
        <v>1879</v>
      </c>
      <c r="F2019">
        <v>29131</v>
      </c>
    </row>
    <row r="2020" spans="1:6" x14ac:dyDescent="0.25">
      <c r="A2020" t="s">
        <v>4254</v>
      </c>
      <c r="B2020" t="s">
        <v>749</v>
      </c>
      <c r="C2020" t="s">
        <v>146</v>
      </c>
      <c r="D2020" t="s">
        <v>2443</v>
      </c>
      <c r="E2020" t="s">
        <v>1871</v>
      </c>
      <c r="F2020">
        <v>5318</v>
      </c>
    </row>
    <row r="2021" spans="1:6" x14ac:dyDescent="0.25">
      <c r="A2021" t="s">
        <v>4255</v>
      </c>
      <c r="B2021" t="s">
        <v>749</v>
      </c>
      <c r="C2021" t="s">
        <v>146</v>
      </c>
      <c r="D2021" t="s">
        <v>3110</v>
      </c>
      <c r="E2021" t="s">
        <v>1879</v>
      </c>
      <c r="F2021">
        <v>14567</v>
      </c>
    </row>
    <row r="2022" spans="1:6" x14ac:dyDescent="0.25">
      <c r="A2022" t="s">
        <v>4256</v>
      </c>
      <c r="B2022" t="s">
        <v>749</v>
      </c>
      <c r="C2022" t="s">
        <v>146</v>
      </c>
      <c r="D2022" t="s">
        <v>2561</v>
      </c>
      <c r="E2022" t="s">
        <v>1871</v>
      </c>
      <c r="F2022">
        <v>18147</v>
      </c>
    </row>
    <row r="2023" spans="1:6" x14ac:dyDescent="0.25">
      <c r="A2023" t="s">
        <v>4257</v>
      </c>
      <c r="B2023" t="s">
        <v>749</v>
      </c>
      <c r="C2023" t="s">
        <v>146</v>
      </c>
      <c r="D2023" t="s">
        <v>2357</v>
      </c>
      <c r="E2023" t="s">
        <v>1886</v>
      </c>
      <c r="F2023">
        <v>9237</v>
      </c>
    </row>
    <row r="2024" spans="1:6" x14ac:dyDescent="0.25">
      <c r="A2024" t="s">
        <v>4258</v>
      </c>
      <c r="B2024" t="s">
        <v>749</v>
      </c>
      <c r="C2024" t="s">
        <v>146</v>
      </c>
      <c r="D2024" t="s">
        <v>1953</v>
      </c>
      <c r="E2024" t="s">
        <v>1886</v>
      </c>
      <c r="F2024">
        <v>2718</v>
      </c>
    </row>
    <row r="2025" spans="1:6" x14ac:dyDescent="0.25">
      <c r="A2025" t="s">
        <v>4259</v>
      </c>
      <c r="B2025" t="s">
        <v>749</v>
      </c>
      <c r="C2025" t="s">
        <v>146</v>
      </c>
      <c r="D2025" t="s">
        <v>2014</v>
      </c>
      <c r="E2025" t="s">
        <v>1886</v>
      </c>
      <c r="F2025">
        <v>33717</v>
      </c>
    </row>
    <row r="2026" spans="1:6" x14ac:dyDescent="0.25">
      <c r="A2026" t="s">
        <v>4260</v>
      </c>
      <c r="B2026" t="s">
        <v>749</v>
      </c>
      <c r="C2026" t="s">
        <v>146</v>
      </c>
      <c r="D2026" t="s">
        <v>1998</v>
      </c>
      <c r="E2026" t="s">
        <v>1886</v>
      </c>
      <c r="F2026">
        <v>12017</v>
      </c>
    </row>
    <row r="2027" spans="1:6" x14ac:dyDescent="0.25">
      <c r="A2027" t="s">
        <v>4261</v>
      </c>
      <c r="B2027" t="s">
        <v>749</v>
      </c>
      <c r="C2027" t="s">
        <v>146</v>
      </c>
      <c r="D2027" t="s">
        <v>2533</v>
      </c>
      <c r="E2027" t="s">
        <v>1886</v>
      </c>
      <c r="F2027">
        <v>20357</v>
      </c>
    </row>
    <row r="2028" spans="1:6" x14ac:dyDescent="0.25">
      <c r="A2028" t="s">
        <v>4262</v>
      </c>
      <c r="B2028" t="s">
        <v>749</v>
      </c>
      <c r="C2028" t="s">
        <v>146</v>
      </c>
      <c r="D2028" t="s">
        <v>3008</v>
      </c>
      <c r="E2028" t="s">
        <v>1871</v>
      </c>
      <c r="F2028">
        <v>11181</v>
      </c>
    </row>
    <row r="2029" spans="1:6" x14ac:dyDescent="0.25">
      <c r="A2029" t="s">
        <v>4263</v>
      </c>
      <c r="B2029" t="s">
        <v>749</v>
      </c>
      <c r="C2029" t="s">
        <v>146</v>
      </c>
      <c r="D2029" t="s">
        <v>1935</v>
      </c>
      <c r="E2029" t="s">
        <v>1915</v>
      </c>
      <c r="F2029">
        <v>24791</v>
      </c>
    </row>
    <row r="2030" spans="1:6" x14ac:dyDescent="0.25">
      <c r="A2030" t="s">
        <v>4264</v>
      </c>
      <c r="B2030" t="s">
        <v>749</v>
      </c>
      <c r="C2030" t="s">
        <v>146</v>
      </c>
      <c r="D2030" t="s">
        <v>2537</v>
      </c>
      <c r="E2030" t="s">
        <v>1871</v>
      </c>
      <c r="F2030">
        <v>15553</v>
      </c>
    </row>
    <row r="2031" spans="1:6" x14ac:dyDescent="0.25">
      <c r="A2031" t="s">
        <v>4265</v>
      </c>
      <c r="B2031" t="s">
        <v>749</v>
      </c>
      <c r="C2031" t="s">
        <v>146</v>
      </c>
      <c r="D2031" t="s">
        <v>2151</v>
      </c>
      <c r="E2031" t="s">
        <v>1879</v>
      </c>
      <c r="F2031">
        <v>7587</v>
      </c>
    </row>
    <row r="2032" spans="1:6" x14ac:dyDescent="0.25">
      <c r="A2032" t="s">
        <v>4266</v>
      </c>
      <c r="B2032" t="s">
        <v>752</v>
      </c>
      <c r="C2032" t="s">
        <v>87</v>
      </c>
      <c r="D2032" t="s">
        <v>1970</v>
      </c>
      <c r="E2032" t="s">
        <v>1879</v>
      </c>
      <c r="F2032">
        <v>2201</v>
      </c>
    </row>
    <row r="2033" spans="1:6" x14ac:dyDescent="0.25">
      <c r="A2033" t="s">
        <v>4267</v>
      </c>
      <c r="B2033" t="s">
        <v>752</v>
      </c>
      <c r="C2033" t="s">
        <v>87</v>
      </c>
      <c r="D2033" t="s">
        <v>2122</v>
      </c>
      <c r="E2033" t="s">
        <v>1915</v>
      </c>
      <c r="F2033">
        <v>30623</v>
      </c>
    </row>
    <row r="2034" spans="1:6" x14ac:dyDescent="0.25">
      <c r="A2034" t="s">
        <v>4268</v>
      </c>
      <c r="B2034" t="s">
        <v>752</v>
      </c>
      <c r="C2034" t="s">
        <v>87</v>
      </c>
      <c r="D2034" t="s">
        <v>2738</v>
      </c>
      <c r="E2034" t="s">
        <v>1879</v>
      </c>
      <c r="F2034">
        <v>25911</v>
      </c>
    </row>
    <row r="2035" spans="1:6" x14ac:dyDescent="0.25">
      <c r="A2035" t="s">
        <v>4269</v>
      </c>
      <c r="B2035" t="s">
        <v>752</v>
      </c>
      <c r="C2035" t="s">
        <v>87</v>
      </c>
      <c r="D2035" t="s">
        <v>2114</v>
      </c>
      <c r="E2035" t="s">
        <v>1871</v>
      </c>
      <c r="F2035">
        <v>25391</v>
      </c>
    </row>
    <row r="2036" spans="1:6" x14ac:dyDescent="0.25">
      <c r="A2036" t="s">
        <v>4270</v>
      </c>
      <c r="B2036" t="s">
        <v>752</v>
      </c>
      <c r="C2036" t="s">
        <v>87</v>
      </c>
      <c r="D2036" t="s">
        <v>2350</v>
      </c>
      <c r="E2036" t="s">
        <v>1871</v>
      </c>
      <c r="F2036">
        <v>10415</v>
      </c>
    </row>
    <row r="2037" spans="1:6" x14ac:dyDescent="0.25">
      <c r="A2037" t="s">
        <v>4271</v>
      </c>
      <c r="B2037" t="s">
        <v>752</v>
      </c>
      <c r="C2037" t="s">
        <v>87</v>
      </c>
      <c r="D2037" t="s">
        <v>2580</v>
      </c>
      <c r="E2037" t="s">
        <v>1879</v>
      </c>
      <c r="F2037">
        <v>6214</v>
      </c>
    </row>
    <row r="2038" spans="1:6" x14ac:dyDescent="0.25">
      <c r="A2038" t="s">
        <v>4272</v>
      </c>
      <c r="B2038" t="s">
        <v>752</v>
      </c>
      <c r="C2038" t="s">
        <v>87</v>
      </c>
      <c r="D2038" t="s">
        <v>2267</v>
      </c>
      <c r="E2038" t="s">
        <v>1879</v>
      </c>
      <c r="F2038">
        <v>15861</v>
      </c>
    </row>
    <row r="2039" spans="1:6" x14ac:dyDescent="0.25">
      <c r="A2039" t="s">
        <v>4273</v>
      </c>
      <c r="B2039" t="s">
        <v>755</v>
      </c>
      <c r="C2039" t="s">
        <v>51</v>
      </c>
      <c r="D2039" t="s">
        <v>2441</v>
      </c>
      <c r="E2039" t="s">
        <v>1879</v>
      </c>
      <c r="F2039">
        <v>28821</v>
      </c>
    </row>
    <row r="2040" spans="1:6" x14ac:dyDescent="0.25">
      <c r="A2040" t="s">
        <v>4274</v>
      </c>
      <c r="B2040" t="s">
        <v>755</v>
      </c>
      <c r="C2040" t="s">
        <v>51</v>
      </c>
      <c r="D2040" t="s">
        <v>2816</v>
      </c>
      <c r="E2040" t="s">
        <v>1886</v>
      </c>
      <c r="F2040">
        <v>31689</v>
      </c>
    </row>
    <row r="2041" spans="1:6" x14ac:dyDescent="0.25">
      <c r="A2041" t="s">
        <v>4275</v>
      </c>
      <c r="B2041" t="s">
        <v>755</v>
      </c>
      <c r="C2041" t="s">
        <v>51</v>
      </c>
      <c r="D2041" t="s">
        <v>2331</v>
      </c>
      <c r="E2041" t="s">
        <v>1876</v>
      </c>
      <c r="F2041">
        <v>17076</v>
      </c>
    </row>
    <row r="2042" spans="1:6" x14ac:dyDescent="0.25">
      <c r="A2042" t="s">
        <v>4276</v>
      </c>
      <c r="B2042" t="s">
        <v>755</v>
      </c>
      <c r="C2042" t="s">
        <v>51</v>
      </c>
      <c r="D2042" t="s">
        <v>3047</v>
      </c>
      <c r="E2042" t="s">
        <v>1871</v>
      </c>
      <c r="F2042">
        <v>30304</v>
      </c>
    </row>
    <row r="2043" spans="1:6" x14ac:dyDescent="0.25">
      <c r="A2043" t="s">
        <v>4277</v>
      </c>
      <c r="B2043" t="s">
        <v>755</v>
      </c>
      <c r="C2043" t="s">
        <v>51</v>
      </c>
      <c r="D2043" t="s">
        <v>3076</v>
      </c>
      <c r="E2043" t="s">
        <v>1876</v>
      </c>
      <c r="F2043">
        <v>25922</v>
      </c>
    </row>
    <row r="2044" spans="1:6" x14ac:dyDescent="0.25">
      <c r="A2044" t="s">
        <v>4278</v>
      </c>
      <c r="B2044" t="s">
        <v>755</v>
      </c>
      <c r="C2044" t="s">
        <v>51</v>
      </c>
      <c r="D2044" t="s">
        <v>2079</v>
      </c>
      <c r="E2044" t="s">
        <v>1915</v>
      </c>
      <c r="F2044">
        <v>18141</v>
      </c>
    </row>
    <row r="2045" spans="1:6" x14ac:dyDescent="0.25">
      <c r="A2045" t="s">
        <v>4279</v>
      </c>
      <c r="B2045" t="s">
        <v>758</v>
      </c>
      <c r="C2045" t="s">
        <v>146</v>
      </c>
      <c r="D2045" t="s">
        <v>2479</v>
      </c>
      <c r="E2045" t="s">
        <v>1879</v>
      </c>
      <c r="F2045">
        <v>10184</v>
      </c>
    </row>
    <row r="2046" spans="1:6" x14ac:dyDescent="0.25">
      <c r="A2046" t="s">
        <v>4280</v>
      </c>
      <c r="B2046" t="s">
        <v>758</v>
      </c>
      <c r="C2046" t="s">
        <v>146</v>
      </c>
      <c r="D2046" t="s">
        <v>2708</v>
      </c>
      <c r="E2046" t="s">
        <v>1915</v>
      </c>
      <c r="F2046">
        <v>27089</v>
      </c>
    </row>
    <row r="2047" spans="1:6" x14ac:dyDescent="0.25">
      <c r="A2047" t="s">
        <v>4281</v>
      </c>
      <c r="B2047" t="s">
        <v>758</v>
      </c>
      <c r="C2047" t="s">
        <v>146</v>
      </c>
      <c r="D2047" t="s">
        <v>2218</v>
      </c>
      <c r="E2047" t="s">
        <v>1876</v>
      </c>
      <c r="F2047">
        <v>28794</v>
      </c>
    </row>
    <row r="2048" spans="1:6" x14ac:dyDescent="0.25">
      <c r="A2048" t="s">
        <v>4282</v>
      </c>
      <c r="B2048" t="s">
        <v>758</v>
      </c>
      <c r="C2048" t="s">
        <v>146</v>
      </c>
      <c r="D2048" t="s">
        <v>2427</v>
      </c>
      <c r="E2048" t="s">
        <v>1879</v>
      </c>
      <c r="F2048">
        <v>15890</v>
      </c>
    </row>
    <row r="2049" spans="1:6" x14ac:dyDescent="0.25">
      <c r="A2049" t="s">
        <v>4283</v>
      </c>
      <c r="B2049" t="s">
        <v>758</v>
      </c>
      <c r="C2049" t="s">
        <v>146</v>
      </c>
      <c r="D2049" t="s">
        <v>3313</v>
      </c>
      <c r="E2049" t="s">
        <v>1915</v>
      </c>
      <c r="F2049">
        <v>41848</v>
      </c>
    </row>
    <row r="2050" spans="1:6" x14ac:dyDescent="0.25">
      <c r="A2050" t="s">
        <v>4284</v>
      </c>
      <c r="B2050" t="s">
        <v>758</v>
      </c>
      <c r="C2050" t="s">
        <v>146</v>
      </c>
      <c r="D2050" t="s">
        <v>2738</v>
      </c>
      <c r="E2050" t="s">
        <v>1879</v>
      </c>
      <c r="F2050">
        <v>6926</v>
      </c>
    </row>
    <row r="2051" spans="1:6" x14ac:dyDescent="0.25">
      <c r="A2051" t="s">
        <v>4285</v>
      </c>
      <c r="B2051" t="s">
        <v>758</v>
      </c>
      <c r="C2051" t="s">
        <v>146</v>
      </c>
      <c r="D2051" t="s">
        <v>2036</v>
      </c>
      <c r="E2051" t="s">
        <v>1915</v>
      </c>
      <c r="F2051">
        <v>3431</v>
      </c>
    </row>
    <row r="2052" spans="1:6" x14ac:dyDescent="0.25">
      <c r="A2052" t="s">
        <v>4286</v>
      </c>
      <c r="B2052" t="s">
        <v>758</v>
      </c>
      <c r="C2052" t="s">
        <v>146</v>
      </c>
      <c r="D2052" t="s">
        <v>2018</v>
      </c>
      <c r="E2052" t="s">
        <v>1915</v>
      </c>
      <c r="F2052">
        <v>49121</v>
      </c>
    </row>
    <row r="2053" spans="1:6" x14ac:dyDescent="0.25">
      <c r="A2053" t="s">
        <v>4287</v>
      </c>
      <c r="B2053" t="s">
        <v>758</v>
      </c>
      <c r="C2053" t="s">
        <v>146</v>
      </c>
      <c r="D2053" t="s">
        <v>1888</v>
      </c>
      <c r="E2053" t="s">
        <v>1915</v>
      </c>
      <c r="F2053">
        <v>47876</v>
      </c>
    </row>
    <row r="2054" spans="1:6" x14ac:dyDescent="0.25">
      <c r="A2054" t="s">
        <v>4288</v>
      </c>
      <c r="B2054" t="s">
        <v>758</v>
      </c>
      <c r="C2054" t="s">
        <v>146</v>
      </c>
      <c r="D2054" t="s">
        <v>2002</v>
      </c>
      <c r="E2054" t="s">
        <v>1871</v>
      </c>
      <c r="F2054">
        <v>24538</v>
      </c>
    </row>
    <row r="2055" spans="1:6" x14ac:dyDescent="0.25">
      <c r="A2055" t="s">
        <v>4289</v>
      </c>
      <c r="B2055" t="s">
        <v>758</v>
      </c>
      <c r="C2055" t="s">
        <v>146</v>
      </c>
      <c r="D2055" t="s">
        <v>2713</v>
      </c>
      <c r="E2055" t="s">
        <v>1876</v>
      </c>
      <c r="F2055">
        <v>15632</v>
      </c>
    </row>
    <row r="2056" spans="1:6" x14ac:dyDescent="0.25">
      <c r="A2056" t="s">
        <v>4290</v>
      </c>
      <c r="B2056" t="s">
        <v>761</v>
      </c>
      <c r="C2056" t="s">
        <v>146</v>
      </c>
      <c r="D2056" t="s">
        <v>2028</v>
      </c>
      <c r="E2056" t="s">
        <v>1876</v>
      </c>
      <c r="F2056">
        <v>23989</v>
      </c>
    </row>
    <row r="2057" spans="1:6" x14ac:dyDescent="0.25">
      <c r="A2057" t="s">
        <v>4291</v>
      </c>
      <c r="B2057" t="s">
        <v>761</v>
      </c>
      <c r="C2057" t="s">
        <v>146</v>
      </c>
      <c r="D2057" t="s">
        <v>2993</v>
      </c>
      <c r="E2057" t="s">
        <v>1876</v>
      </c>
      <c r="F2057">
        <v>8056</v>
      </c>
    </row>
    <row r="2058" spans="1:6" x14ac:dyDescent="0.25">
      <c r="A2058" t="s">
        <v>4292</v>
      </c>
      <c r="B2058" t="s">
        <v>761</v>
      </c>
      <c r="C2058" t="s">
        <v>146</v>
      </c>
      <c r="D2058" t="s">
        <v>2331</v>
      </c>
      <c r="E2058" t="s">
        <v>1915</v>
      </c>
      <c r="F2058">
        <v>39235</v>
      </c>
    </row>
    <row r="2059" spans="1:6" x14ac:dyDescent="0.25">
      <c r="A2059" t="s">
        <v>4293</v>
      </c>
      <c r="B2059" t="s">
        <v>761</v>
      </c>
      <c r="C2059" t="s">
        <v>146</v>
      </c>
      <c r="D2059" t="s">
        <v>2198</v>
      </c>
      <c r="E2059" t="s">
        <v>1871</v>
      </c>
      <c r="F2059">
        <v>12450</v>
      </c>
    </row>
    <row r="2060" spans="1:6" x14ac:dyDescent="0.25">
      <c r="A2060" t="s">
        <v>4294</v>
      </c>
      <c r="B2060" t="s">
        <v>761</v>
      </c>
      <c r="C2060" t="s">
        <v>146</v>
      </c>
      <c r="D2060" t="s">
        <v>2359</v>
      </c>
      <c r="E2060" t="s">
        <v>1915</v>
      </c>
      <c r="F2060">
        <v>20228</v>
      </c>
    </row>
    <row r="2061" spans="1:6" x14ac:dyDescent="0.25">
      <c r="A2061" t="s">
        <v>4295</v>
      </c>
      <c r="B2061" t="s">
        <v>761</v>
      </c>
      <c r="C2061" t="s">
        <v>146</v>
      </c>
      <c r="D2061" t="s">
        <v>2409</v>
      </c>
      <c r="E2061" t="s">
        <v>1871</v>
      </c>
      <c r="F2061">
        <v>20661</v>
      </c>
    </row>
    <row r="2062" spans="1:6" x14ac:dyDescent="0.25">
      <c r="A2062" t="s">
        <v>4296</v>
      </c>
      <c r="B2062" t="s">
        <v>761</v>
      </c>
      <c r="C2062" t="s">
        <v>146</v>
      </c>
      <c r="D2062" t="s">
        <v>2978</v>
      </c>
      <c r="E2062" t="s">
        <v>1876</v>
      </c>
      <c r="F2062">
        <v>11632</v>
      </c>
    </row>
    <row r="2063" spans="1:6" x14ac:dyDescent="0.25">
      <c r="A2063" t="s">
        <v>4297</v>
      </c>
      <c r="B2063" t="s">
        <v>761</v>
      </c>
      <c r="C2063" t="s">
        <v>146</v>
      </c>
      <c r="D2063" t="s">
        <v>2965</v>
      </c>
      <c r="E2063" t="s">
        <v>1915</v>
      </c>
      <c r="F2063">
        <v>27505</v>
      </c>
    </row>
    <row r="2064" spans="1:6" x14ac:dyDescent="0.25">
      <c r="A2064" t="s">
        <v>4298</v>
      </c>
      <c r="B2064" t="s">
        <v>761</v>
      </c>
      <c r="C2064" t="s">
        <v>146</v>
      </c>
      <c r="D2064" t="s">
        <v>2254</v>
      </c>
      <c r="E2064" t="s">
        <v>1915</v>
      </c>
      <c r="F2064">
        <v>3044</v>
      </c>
    </row>
    <row r="2065" spans="1:6" x14ac:dyDescent="0.25">
      <c r="A2065" t="s">
        <v>4299</v>
      </c>
      <c r="B2065" t="s">
        <v>761</v>
      </c>
      <c r="C2065" t="s">
        <v>146</v>
      </c>
      <c r="D2065" t="s">
        <v>3248</v>
      </c>
      <c r="E2065" t="s">
        <v>1915</v>
      </c>
      <c r="F2065">
        <v>19926</v>
      </c>
    </row>
    <row r="2066" spans="1:6" x14ac:dyDescent="0.25">
      <c r="A2066" t="s">
        <v>4300</v>
      </c>
      <c r="B2066" t="s">
        <v>764</v>
      </c>
      <c r="C2066" t="s">
        <v>146</v>
      </c>
      <c r="D2066" t="s">
        <v>1898</v>
      </c>
      <c r="E2066" t="s">
        <v>1915</v>
      </c>
      <c r="F2066">
        <v>11245</v>
      </c>
    </row>
    <row r="2067" spans="1:6" x14ac:dyDescent="0.25">
      <c r="A2067" t="s">
        <v>4301</v>
      </c>
      <c r="B2067" t="s">
        <v>764</v>
      </c>
      <c r="C2067" t="s">
        <v>146</v>
      </c>
      <c r="D2067" t="s">
        <v>2022</v>
      </c>
      <c r="E2067" t="s">
        <v>1871</v>
      </c>
      <c r="F2067">
        <v>6816</v>
      </c>
    </row>
    <row r="2068" spans="1:6" x14ac:dyDescent="0.25">
      <c r="A2068" t="s">
        <v>4302</v>
      </c>
      <c r="B2068" t="s">
        <v>764</v>
      </c>
      <c r="C2068" t="s">
        <v>146</v>
      </c>
      <c r="D2068" t="s">
        <v>1986</v>
      </c>
      <c r="E2068" t="s">
        <v>1879</v>
      </c>
      <c r="F2068">
        <v>11378</v>
      </c>
    </row>
    <row r="2069" spans="1:6" x14ac:dyDescent="0.25">
      <c r="A2069" t="s">
        <v>4303</v>
      </c>
      <c r="B2069" t="s">
        <v>764</v>
      </c>
      <c r="C2069" t="s">
        <v>146</v>
      </c>
      <c r="D2069" t="s">
        <v>2269</v>
      </c>
      <c r="E2069" t="s">
        <v>1879</v>
      </c>
      <c r="F2069">
        <v>10968</v>
      </c>
    </row>
    <row r="2070" spans="1:6" x14ac:dyDescent="0.25">
      <c r="A2070" t="s">
        <v>4304</v>
      </c>
      <c r="B2070" t="s">
        <v>764</v>
      </c>
      <c r="C2070" t="s">
        <v>146</v>
      </c>
      <c r="D2070" t="s">
        <v>2720</v>
      </c>
      <c r="E2070" t="s">
        <v>1879</v>
      </c>
      <c r="F2070">
        <v>27379</v>
      </c>
    </row>
    <row r="2071" spans="1:6" x14ac:dyDescent="0.25">
      <c r="A2071" t="s">
        <v>4305</v>
      </c>
      <c r="B2071" t="s">
        <v>764</v>
      </c>
      <c r="C2071" t="s">
        <v>146</v>
      </c>
      <c r="D2071" t="s">
        <v>1937</v>
      </c>
      <c r="E2071" t="s">
        <v>1871</v>
      </c>
      <c r="F2071">
        <v>25844</v>
      </c>
    </row>
    <row r="2072" spans="1:6" x14ac:dyDescent="0.25">
      <c r="A2072" t="s">
        <v>4306</v>
      </c>
      <c r="B2072" t="s">
        <v>764</v>
      </c>
      <c r="C2072" t="s">
        <v>146</v>
      </c>
      <c r="D2072" t="s">
        <v>2894</v>
      </c>
      <c r="E2072" t="s">
        <v>1879</v>
      </c>
      <c r="F2072">
        <v>19556</v>
      </c>
    </row>
    <row r="2073" spans="1:6" x14ac:dyDescent="0.25">
      <c r="A2073" t="s">
        <v>4307</v>
      </c>
      <c r="B2073" t="s">
        <v>764</v>
      </c>
      <c r="C2073" t="s">
        <v>146</v>
      </c>
      <c r="D2073" t="s">
        <v>2185</v>
      </c>
      <c r="E2073" t="s">
        <v>1876</v>
      </c>
      <c r="F2073">
        <v>10518</v>
      </c>
    </row>
    <row r="2074" spans="1:6" x14ac:dyDescent="0.25">
      <c r="A2074" t="s">
        <v>4308</v>
      </c>
      <c r="B2074" t="s">
        <v>764</v>
      </c>
      <c r="C2074" t="s">
        <v>146</v>
      </c>
      <c r="D2074" t="s">
        <v>2601</v>
      </c>
      <c r="E2074" t="s">
        <v>1886</v>
      </c>
      <c r="F2074">
        <v>20382</v>
      </c>
    </row>
    <row r="2075" spans="1:6" x14ac:dyDescent="0.25">
      <c r="A2075" t="s">
        <v>4309</v>
      </c>
      <c r="B2075" t="s">
        <v>764</v>
      </c>
      <c r="C2075" t="s">
        <v>146</v>
      </c>
      <c r="D2075" t="s">
        <v>2036</v>
      </c>
      <c r="E2075" t="s">
        <v>1915</v>
      </c>
      <c r="F2075">
        <v>22791</v>
      </c>
    </row>
    <row r="2076" spans="1:6" x14ac:dyDescent="0.25">
      <c r="A2076" t="s">
        <v>4310</v>
      </c>
      <c r="B2076" t="s">
        <v>764</v>
      </c>
      <c r="C2076" t="s">
        <v>146</v>
      </c>
      <c r="D2076" t="s">
        <v>2738</v>
      </c>
      <c r="E2076" t="s">
        <v>1915</v>
      </c>
      <c r="F2076">
        <v>17815</v>
      </c>
    </row>
    <row r="2077" spans="1:6" x14ac:dyDescent="0.25">
      <c r="A2077" t="s">
        <v>4311</v>
      </c>
      <c r="B2077" t="s">
        <v>764</v>
      </c>
      <c r="C2077" t="s">
        <v>146</v>
      </c>
      <c r="D2077" t="s">
        <v>3188</v>
      </c>
      <c r="E2077" t="s">
        <v>1876</v>
      </c>
      <c r="F2077">
        <v>23889</v>
      </c>
    </row>
    <row r="2078" spans="1:6" x14ac:dyDescent="0.25">
      <c r="A2078" t="s">
        <v>4312</v>
      </c>
      <c r="B2078" t="s">
        <v>767</v>
      </c>
      <c r="C2078" t="s">
        <v>146</v>
      </c>
      <c r="D2078" t="s">
        <v>2464</v>
      </c>
      <c r="E2078" t="s">
        <v>1879</v>
      </c>
      <c r="F2078">
        <v>21145</v>
      </c>
    </row>
    <row r="2079" spans="1:6" x14ac:dyDescent="0.25">
      <c r="A2079" t="s">
        <v>4313</v>
      </c>
      <c r="B2079" t="s">
        <v>767</v>
      </c>
      <c r="C2079" t="s">
        <v>146</v>
      </c>
      <c r="D2079" t="s">
        <v>3105</v>
      </c>
      <c r="E2079" t="s">
        <v>1879</v>
      </c>
      <c r="F2079">
        <v>1851</v>
      </c>
    </row>
    <row r="2080" spans="1:6" x14ac:dyDescent="0.25">
      <c r="A2080" t="s">
        <v>4314</v>
      </c>
      <c r="B2080" t="s">
        <v>767</v>
      </c>
      <c r="C2080" t="s">
        <v>146</v>
      </c>
      <c r="D2080" t="s">
        <v>2382</v>
      </c>
      <c r="E2080" t="s">
        <v>1879</v>
      </c>
      <c r="F2080">
        <v>4317</v>
      </c>
    </row>
    <row r="2081" spans="1:6" x14ac:dyDescent="0.25">
      <c r="A2081" t="s">
        <v>4315</v>
      </c>
      <c r="B2081" t="s">
        <v>767</v>
      </c>
      <c r="C2081" t="s">
        <v>146</v>
      </c>
      <c r="D2081" t="s">
        <v>2284</v>
      </c>
      <c r="E2081" t="s">
        <v>1879</v>
      </c>
      <c r="F2081">
        <v>17586</v>
      </c>
    </row>
    <row r="2082" spans="1:6" x14ac:dyDescent="0.25">
      <c r="A2082" t="s">
        <v>4316</v>
      </c>
      <c r="B2082" t="s">
        <v>767</v>
      </c>
      <c r="C2082" t="s">
        <v>146</v>
      </c>
      <c r="D2082" t="s">
        <v>4317</v>
      </c>
      <c r="E2082" t="s">
        <v>1871</v>
      </c>
      <c r="F2082">
        <v>18402</v>
      </c>
    </row>
    <row r="2083" spans="1:6" x14ac:dyDescent="0.25">
      <c r="A2083" t="s">
        <v>4318</v>
      </c>
      <c r="B2083" t="s">
        <v>767</v>
      </c>
      <c r="C2083" t="s">
        <v>146</v>
      </c>
      <c r="D2083" t="s">
        <v>2427</v>
      </c>
      <c r="E2083" t="s">
        <v>1915</v>
      </c>
      <c r="F2083">
        <v>26827</v>
      </c>
    </row>
    <row r="2084" spans="1:6" x14ac:dyDescent="0.25">
      <c r="A2084" t="s">
        <v>4319</v>
      </c>
      <c r="B2084" t="s">
        <v>767</v>
      </c>
      <c r="C2084" t="s">
        <v>146</v>
      </c>
      <c r="D2084" t="s">
        <v>2645</v>
      </c>
      <c r="E2084" t="s">
        <v>1876</v>
      </c>
      <c r="F2084">
        <v>17671</v>
      </c>
    </row>
    <row r="2085" spans="1:6" x14ac:dyDescent="0.25">
      <c r="A2085" t="s">
        <v>4320</v>
      </c>
      <c r="B2085" t="s">
        <v>767</v>
      </c>
      <c r="C2085" t="s">
        <v>146</v>
      </c>
      <c r="D2085" t="s">
        <v>2432</v>
      </c>
      <c r="E2085" t="s">
        <v>1915</v>
      </c>
      <c r="F2085">
        <v>35308</v>
      </c>
    </row>
    <row r="2086" spans="1:6" x14ac:dyDescent="0.25">
      <c r="A2086" t="s">
        <v>4321</v>
      </c>
      <c r="B2086" t="s">
        <v>767</v>
      </c>
      <c r="C2086" t="s">
        <v>146</v>
      </c>
      <c r="D2086" t="s">
        <v>2139</v>
      </c>
      <c r="E2086" t="s">
        <v>1876</v>
      </c>
      <c r="F2086">
        <v>13734</v>
      </c>
    </row>
    <row r="2087" spans="1:6" x14ac:dyDescent="0.25">
      <c r="A2087" t="s">
        <v>4322</v>
      </c>
      <c r="B2087" t="s">
        <v>770</v>
      </c>
      <c r="C2087" t="s">
        <v>51</v>
      </c>
      <c r="D2087" t="s">
        <v>2338</v>
      </c>
      <c r="E2087" t="s">
        <v>1915</v>
      </c>
      <c r="F2087">
        <v>29809</v>
      </c>
    </row>
    <row r="2088" spans="1:6" x14ac:dyDescent="0.25">
      <c r="A2088" t="s">
        <v>4323</v>
      </c>
      <c r="B2088" t="s">
        <v>770</v>
      </c>
      <c r="C2088" t="s">
        <v>51</v>
      </c>
      <c r="D2088" t="s">
        <v>2203</v>
      </c>
      <c r="E2088" t="s">
        <v>1915</v>
      </c>
      <c r="F2088">
        <v>18651</v>
      </c>
    </row>
    <row r="2089" spans="1:6" x14ac:dyDescent="0.25">
      <c r="A2089" t="s">
        <v>4324</v>
      </c>
      <c r="B2089" t="s">
        <v>770</v>
      </c>
      <c r="C2089" t="s">
        <v>51</v>
      </c>
      <c r="D2089" t="s">
        <v>2672</v>
      </c>
      <c r="E2089" t="s">
        <v>1879</v>
      </c>
      <c r="F2089">
        <v>19777</v>
      </c>
    </row>
    <row r="2090" spans="1:6" x14ac:dyDescent="0.25">
      <c r="A2090" t="s">
        <v>4325</v>
      </c>
      <c r="B2090" t="s">
        <v>770</v>
      </c>
      <c r="C2090" t="s">
        <v>51</v>
      </c>
      <c r="D2090" t="s">
        <v>1947</v>
      </c>
      <c r="E2090" t="s">
        <v>1886</v>
      </c>
      <c r="F2090">
        <v>16451</v>
      </c>
    </row>
    <row r="2091" spans="1:6" x14ac:dyDescent="0.25">
      <c r="A2091" t="s">
        <v>4326</v>
      </c>
      <c r="B2091" t="s">
        <v>770</v>
      </c>
      <c r="C2091" t="s">
        <v>51</v>
      </c>
      <c r="D2091" t="s">
        <v>1931</v>
      </c>
      <c r="E2091" t="s">
        <v>1915</v>
      </c>
      <c r="F2091">
        <v>11336</v>
      </c>
    </row>
    <row r="2092" spans="1:6" x14ac:dyDescent="0.25">
      <c r="A2092" t="s">
        <v>4327</v>
      </c>
      <c r="B2092" t="s">
        <v>770</v>
      </c>
      <c r="C2092" t="s">
        <v>51</v>
      </c>
      <c r="D2092" t="s">
        <v>2894</v>
      </c>
      <c r="E2092" t="s">
        <v>1879</v>
      </c>
      <c r="F2092">
        <v>11640</v>
      </c>
    </row>
    <row r="2093" spans="1:6" x14ac:dyDescent="0.25">
      <c r="A2093" t="s">
        <v>4328</v>
      </c>
      <c r="B2093" t="s">
        <v>770</v>
      </c>
      <c r="C2093" t="s">
        <v>51</v>
      </c>
      <c r="D2093" t="s">
        <v>2198</v>
      </c>
      <c r="E2093" t="s">
        <v>1879</v>
      </c>
      <c r="F2093">
        <v>10868</v>
      </c>
    </row>
    <row r="2094" spans="1:6" x14ac:dyDescent="0.25">
      <c r="A2094" t="s">
        <v>4329</v>
      </c>
      <c r="B2094" t="s">
        <v>770</v>
      </c>
      <c r="C2094" t="s">
        <v>51</v>
      </c>
      <c r="D2094" t="s">
        <v>2829</v>
      </c>
      <c r="E2094" t="s">
        <v>1915</v>
      </c>
      <c r="F2094">
        <v>36907</v>
      </c>
    </row>
    <row r="2095" spans="1:6" x14ac:dyDescent="0.25">
      <c r="A2095" t="s">
        <v>4330</v>
      </c>
      <c r="B2095" t="s">
        <v>773</v>
      </c>
      <c r="C2095" t="s">
        <v>87</v>
      </c>
      <c r="D2095" t="s">
        <v>2343</v>
      </c>
      <c r="E2095" t="s">
        <v>1886</v>
      </c>
      <c r="F2095">
        <v>24634</v>
      </c>
    </row>
    <row r="2096" spans="1:6" x14ac:dyDescent="0.25">
      <c r="A2096" t="s">
        <v>4331</v>
      </c>
      <c r="B2096" t="s">
        <v>773</v>
      </c>
      <c r="C2096" t="s">
        <v>87</v>
      </c>
      <c r="D2096" t="s">
        <v>1929</v>
      </c>
      <c r="E2096" t="s">
        <v>1879</v>
      </c>
      <c r="F2096">
        <v>2877</v>
      </c>
    </row>
    <row r="2097" spans="1:6" x14ac:dyDescent="0.25">
      <c r="A2097" t="s">
        <v>4332</v>
      </c>
      <c r="B2097" t="s">
        <v>773</v>
      </c>
      <c r="C2097" t="s">
        <v>87</v>
      </c>
      <c r="D2097" t="s">
        <v>3710</v>
      </c>
      <c r="E2097" t="s">
        <v>1915</v>
      </c>
      <c r="F2097">
        <v>1547</v>
      </c>
    </row>
    <row r="2098" spans="1:6" x14ac:dyDescent="0.25">
      <c r="A2098" t="s">
        <v>4333</v>
      </c>
      <c r="B2098" t="s">
        <v>773</v>
      </c>
      <c r="C2098" t="s">
        <v>87</v>
      </c>
      <c r="D2098" t="s">
        <v>2378</v>
      </c>
      <c r="E2098" t="s">
        <v>1876</v>
      </c>
      <c r="F2098">
        <v>5953</v>
      </c>
    </row>
    <row r="2099" spans="1:6" x14ac:dyDescent="0.25">
      <c r="A2099" t="s">
        <v>4334</v>
      </c>
      <c r="B2099" t="s">
        <v>773</v>
      </c>
      <c r="C2099" t="s">
        <v>87</v>
      </c>
      <c r="D2099" t="s">
        <v>2104</v>
      </c>
      <c r="E2099" t="s">
        <v>1915</v>
      </c>
      <c r="F2099">
        <v>13859</v>
      </c>
    </row>
    <row r="2100" spans="1:6" x14ac:dyDescent="0.25">
      <c r="A2100" t="s">
        <v>4335</v>
      </c>
      <c r="B2100" t="s">
        <v>773</v>
      </c>
      <c r="C2100" t="s">
        <v>87</v>
      </c>
      <c r="D2100" t="s">
        <v>1953</v>
      </c>
      <c r="E2100" t="s">
        <v>1871</v>
      </c>
      <c r="F2100">
        <v>10412</v>
      </c>
    </row>
    <row r="2101" spans="1:6" x14ac:dyDescent="0.25">
      <c r="A2101" t="s">
        <v>4336</v>
      </c>
      <c r="B2101" t="s">
        <v>773</v>
      </c>
      <c r="C2101" t="s">
        <v>87</v>
      </c>
      <c r="D2101" t="s">
        <v>1480</v>
      </c>
      <c r="E2101" t="s">
        <v>1915</v>
      </c>
      <c r="F2101">
        <v>6122</v>
      </c>
    </row>
    <row r="2102" spans="1:6" x14ac:dyDescent="0.25">
      <c r="A2102" t="s">
        <v>4337</v>
      </c>
      <c r="B2102" t="s">
        <v>773</v>
      </c>
      <c r="C2102" t="s">
        <v>87</v>
      </c>
      <c r="D2102" t="s">
        <v>1875</v>
      </c>
      <c r="E2102" t="s">
        <v>1886</v>
      </c>
      <c r="F2102">
        <v>11759</v>
      </c>
    </row>
    <row r="2103" spans="1:6" x14ac:dyDescent="0.25">
      <c r="A2103" t="s">
        <v>4338</v>
      </c>
      <c r="B2103" t="s">
        <v>773</v>
      </c>
      <c r="C2103" t="s">
        <v>87</v>
      </c>
      <c r="D2103" t="s">
        <v>2072</v>
      </c>
      <c r="E2103" t="s">
        <v>1915</v>
      </c>
      <c r="F2103">
        <v>12666</v>
      </c>
    </row>
    <row r="2104" spans="1:6" x14ac:dyDescent="0.25">
      <c r="A2104" t="s">
        <v>4339</v>
      </c>
      <c r="B2104" t="s">
        <v>773</v>
      </c>
      <c r="C2104" t="s">
        <v>87</v>
      </c>
      <c r="D2104" t="s">
        <v>2208</v>
      </c>
      <c r="E2104" t="s">
        <v>1886</v>
      </c>
      <c r="F2104">
        <v>27816</v>
      </c>
    </row>
    <row r="2105" spans="1:6" x14ac:dyDescent="0.25">
      <c r="A2105" t="s">
        <v>4340</v>
      </c>
      <c r="B2105" t="s">
        <v>776</v>
      </c>
      <c r="C2105" t="s">
        <v>96</v>
      </c>
      <c r="D2105" t="s">
        <v>2040</v>
      </c>
      <c r="E2105" t="s">
        <v>1886</v>
      </c>
      <c r="F2105">
        <v>9199</v>
      </c>
    </row>
    <row r="2106" spans="1:6" x14ac:dyDescent="0.25">
      <c r="A2106" t="s">
        <v>4341</v>
      </c>
      <c r="B2106" t="s">
        <v>776</v>
      </c>
      <c r="C2106" t="s">
        <v>96</v>
      </c>
      <c r="D2106" t="s">
        <v>3486</v>
      </c>
      <c r="E2106" t="s">
        <v>1871</v>
      </c>
      <c r="F2106">
        <v>2662</v>
      </c>
    </row>
    <row r="2107" spans="1:6" x14ac:dyDescent="0.25">
      <c r="A2107" t="s">
        <v>4342</v>
      </c>
      <c r="B2107" t="s">
        <v>776</v>
      </c>
      <c r="C2107" t="s">
        <v>96</v>
      </c>
      <c r="D2107" t="s">
        <v>2002</v>
      </c>
      <c r="E2107" t="s">
        <v>1915</v>
      </c>
      <c r="F2107">
        <v>7193</v>
      </c>
    </row>
    <row r="2108" spans="1:6" x14ac:dyDescent="0.25">
      <c r="A2108" t="s">
        <v>4343</v>
      </c>
      <c r="B2108" t="s">
        <v>776</v>
      </c>
      <c r="C2108" t="s">
        <v>96</v>
      </c>
      <c r="D2108" t="s">
        <v>2765</v>
      </c>
      <c r="E2108" t="s">
        <v>1915</v>
      </c>
      <c r="F2108">
        <v>16156</v>
      </c>
    </row>
    <row r="2109" spans="1:6" x14ac:dyDescent="0.25">
      <c r="A2109" t="s">
        <v>4344</v>
      </c>
      <c r="B2109" t="s">
        <v>776</v>
      </c>
      <c r="C2109" t="s">
        <v>96</v>
      </c>
      <c r="D2109" t="s">
        <v>2498</v>
      </c>
      <c r="E2109" t="s">
        <v>1871</v>
      </c>
      <c r="F2109">
        <v>2238</v>
      </c>
    </row>
    <row r="2110" spans="1:6" x14ac:dyDescent="0.25">
      <c r="A2110" t="s">
        <v>4345</v>
      </c>
      <c r="B2110" t="s">
        <v>776</v>
      </c>
      <c r="C2110" t="s">
        <v>96</v>
      </c>
      <c r="D2110" t="s">
        <v>2894</v>
      </c>
      <c r="E2110" t="s">
        <v>1886</v>
      </c>
      <c r="F2110">
        <v>12947</v>
      </c>
    </row>
    <row r="2111" spans="1:6" x14ac:dyDescent="0.25">
      <c r="A2111" t="s">
        <v>4346</v>
      </c>
      <c r="B2111" t="s">
        <v>776</v>
      </c>
      <c r="C2111" t="s">
        <v>96</v>
      </c>
      <c r="D2111" t="s">
        <v>1875</v>
      </c>
      <c r="E2111" t="s">
        <v>1915</v>
      </c>
      <c r="F2111">
        <v>11110</v>
      </c>
    </row>
    <row r="2112" spans="1:6" x14ac:dyDescent="0.25">
      <c r="A2112" t="s">
        <v>4347</v>
      </c>
      <c r="B2112" t="s">
        <v>776</v>
      </c>
      <c r="C2112" t="s">
        <v>96</v>
      </c>
      <c r="D2112" t="s">
        <v>1929</v>
      </c>
      <c r="E2112" t="s">
        <v>1886</v>
      </c>
      <c r="F2112">
        <v>5463</v>
      </c>
    </row>
    <row r="2113" spans="1:6" x14ac:dyDescent="0.25">
      <c r="A2113" t="s">
        <v>4348</v>
      </c>
      <c r="B2113" t="s">
        <v>776</v>
      </c>
      <c r="C2113" t="s">
        <v>96</v>
      </c>
      <c r="D2113" t="s">
        <v>1937</v>
      </c>
      <c r="E2113" t="s">
        <v>1886</v>
      </c>
      <c r="F2113">
        <v>29379</v>
      </c>
    </row>
    <row r="2114" spans="1:6" x14ac:dyDescent="0.25">
      <c r="A2114" t="s">
        <v>4349</v>
      </c>
      <c r="B2114" t="s">
        <v>776</v>
      </c>
      <c r="C2114" t="s">
        <v>96</v>
      </c>
      <c r="D2114" t="s">
        <v>2561</v>
      </c>
      <c r="E2114" t="s">
        <v>1876</v>
      </c>
      <c r="F2114">
        <v>3288</v>
      </c>
    </row>
    <row r="2115" spans="1:6" x14ac:dyDescent="0.25">
      <c r="A2115" t="s">
        <v>4350</v>
      </c>
      <c r="B2115" t="s">
        <v>779</v>
      </c>
      <c r="C2115" t="s">
        <v>87</v>
      </c>
      <c r="D2115" t="s">
        <v>2993</v>
      </c>
      <c r="E2115" t="s">
        <v>1886</v>
      </c>
      <c r="F2115">
        <v>7581</v>
      </c>
    </row>
    <row r="2116" spans="1:6" x14ac:dyDescent="0.25">
      <c r="A2116" t="s">
        <v>4351</v>
      </c>
      <c r="B2116" t="s">
        <v>779</v>
      </c>
      <c r="C2116" t="s">
        <v>87</v>
      </c>
      <c r="D2116" t="s">
        <v>1910</v>
      </c>
      <c r="E2116" t="s">
        <v>1915</v>
      </c>
      <c r="F2116">
        <v>11476</v>
      </c>
    </row>
    <row r="2117" spans="1:6" x14ac:dyDescent="0.25">
      <c r="A2117" t="s">
        <v>4352</v>
      </c>
      <c r="B2117" t="s">
        <v>779</v>
      </c>
      <c r="C2117" t="s">
        <v>87</v>
      </c>
      <c r="D2117" t="s">
        <v>2109</v>
      </c>
      <c r="E2117" t="s">
        <v>1871</v>
      </c>
      <c r="F2117">
        <v>9192</v>
      </c>
    </row>
    <row r="2118" spans="1:6" x14ac:dyDescent="0.25">
      <c r="A2118" t="s">
        <v>4353</v>
      </c>
      <c r="B2118" t="s">
        <v>779</v>
      </c>
      <c r="C2118" t="s">
        <v>87</v>
      </c>
      <c r="D2118" t="s">
        <v>2708</v>
      </c>
      <c r="E2118" t="s">
        <v>1915</v>
      </c>
      <c r="F2118">
        <v>20414</v>
      </c>
    </row>
    <row r="2119" spans="1:6" x14ac:dyDescent="0.25">
      <c r="A2119" t="s">
        <v>4354</v>
      </c>
      <c r="B2119" t="s">
        <v>779</v>
      </c>
      <c r="C2119" t="s">
        <v>87</v>
      </c>
      <c r="D2119" t="s">
        <v>2030</v>
      </c>
      <c r="E2119" t="s">
        <v>1871</v>
      </c>
      <c r="F2119">
        <v>15903</v>
      </c>
    </row>
    <row r="2120" spans="1:6" x14ac:dyDescent="0.25">
      <c r="A2120" t="s">
        <v>4355</v>
      </c>
      <c r="B2120" t="s">
        <v>779</v>
      </c>
      <c r="C2120" t="s">
        <v>87</v>
      </c>
      <c r="D2120" t="s">
        <v>2887</v>
      </c>
      <c r="E2120" t="s">
        <v>1879</v>
      </c>
      <c r="F2120">
        <v>4369</v>
      </c>
    </row>
    <row r="2121" spans="1:6" x14ac:dyDescent="0.25">
      <c r="A2121" t="s">
        <v>4356</v>
      </c>
      <c r="B2121" t="s">
        <v>779</v>
      </c>
      <c r="C2121" t="s">
        <v>87</v>
      </c>
      <c r="D2121" t="s">
        <v>2012</v>
      </c>
      <c r="E2121" t="s">
        <v>1886</v>
      </c>
      <c r="F2121">
        <v>2836</v>
      </c>
    </row>
    <row r="2122" spans="1:6" x14ac:dyDescent="0.25">
      <c r="A2122" t="s">
        <v>4357</v>
      </c>
      <c r="B2122" t="s">
        <v>779</v>
      </c>
      <c r="C2122" t="s">
        <v>87</v>
      </c>
      <c r="D2122" t="s">
        <v>2230</v>
      </c>
      <c r="E2122" t="s">
        <v>1879</v>
      </c>
      <c r="F2122">
        <v>3542</v>
      </c>
    </row>
    <row r="2123" spans="1:6" x14ac:dyDescent="0.25">
      <c r="A2123" t="s">
        <v>4358</v>
      </c>
      <c r="B2123" t="s">
        <v>779</v>
      </c>
      <c r="C2123" t="s">
        <v>87</v>
      </c>
      <c r="D2123" t="s">
        <v>1937</v>
      </c>
      <c r="E2123" t="s">
        <v>1886</v>
      </c>
      <c r="F2123">
        <v>12538</v>
      </c>
    </row>
    <row r="2124" spans="1:6" x14ac:dyDescent="0.25">
      <c r="A2124" t="s">
        <v>4359</v>
      </c>
      <c r="B2124" t="s">
        <v>779</v>
      </c>
      <c r="C2124" t="s">
        <v>87</v>
      </c>
      <c r="D2124" t="s">
        <v>2466</v>
      </c>
      <c r="E2124" t="s">
        <v>1915</v>
      </c>
      <c r="F2124">
        <v>6755</v>
      </c>
    </row>
    <row r="2125" spans="1:6" x14ac:dyDescent="0.25">
      <c r="A2125" t="s">
        <v>4360</v>
      </c>
      <c r="B2125" t="s">
        <v>779</v>
      </c>
      <c r="C2125" t="s">
        <v>87</v>
      </c>
      <c r="D2125" t="s">
        <v>3110</v>
      </c>
      <c r="E2125" t="s">
        <v>1915</v>
      </c>
      <c r="F2125">
        <v>12195</v>
      </c>
    </row>
    <row r="2126" spans="1:6" x14ac:dyDescent="0.25">
      <c r="A2126" t="s">
        <v>4361</v>
      </c>
      <c r="B2126" t="s">
        <v>782</v>
      </c>
      <c r="C2126" t="s">
        <v>73</v>
      </c>
      <c r="D2126" t="s">
        <v>2307</v>
      </c>
      <c r="E2126" t="s">
        <v>1915</v>
      </c>
      <c r="F2126">
        <v>5904</v>
      </c>
    </row>
    <row r="2127" spans="1:6" x14ac:dyDescent="0.25">
      <c r="A2127" t="s">
        <v>4362</v>
      </c>
      <c r="B2127" t="s">
        <v>782</v>
      </c>
      <c r="C2127" t="s">
        <v>73</v>
      </c>
      <c r="D2127" t="s">
        <v>2284</v>
      </c>
      <c r="E2127" t="s">
        <v>1886</v>
      </c>
      <c r="F2127">
        <v>13109</v>
      </c>
    </row>
    <row r="2128" spans="1:6" x14ac:dyDescent="0.25">
      <c r="A2128" t="s">
        <v>4363</v>
      </c>
      <c r="B2128" t="s">
        <v>782</v>
      </c>
      <c r="C2128" t="s">
        <v>73</v>
      </c>
      <c r="D2128" t="s">
        <v>2659</v>
      </c>
      <c r="E2128" t="s">
        <v>1879</v>
      </c>
      <c r="F2128">
        <v>3484</v>
      </c>
    </row>
    <row r="2129" spans="1:6" x14ac:dyDescent="0.25">
      <c r="A2129" t="s">
        <v>4364</v>
      </c>
      <c r="B2129" t="s">
        <v>782</v>
      </c>
      <c r="C2129" t="s">
        <v>73</v>
      </c>
      <c r="D2129" t="s">
        <v>2878</v>
      </c>
      <c r="E2129" t="s">
        <v>1915</v>
      </c>
      <c r="F2129">
        <v>5329</v>
      </c>
    </row>
    <row r="2130" spans="1:6" x14ac:dyDescent="0.25">
      <c r="A2130" t="s">
        <v>4365</v>
      </c>
      <c r="B2130" t="s">
        <v>782</v>
      </c>
      <c r="C2130" t="s">
        <v>73</v>
      </c>
      <c r="D2130" t="s">
        <v>1917</v>
      </c>
      <c r="E2130" t="s">
        <v>1879</v>
      </c>
      <c r="F2130">
        <v>1329</v>
      </c>
    </row>
    <row r="2131" spans="1:6" x14ac:dyDescent="0.25">
      <c r="A2131" t="s">
        <v>4366</v>
      </c>
      <c r="B2131" t="s">
        <v>782</v>
      </c>
      <c r="C2131" t="s">
        <v>73</v>
      </c>
      <c r="D2131" t="s">
        <v>3105</v>
      </c>
      <c r="E2131" t="s">
        <v>1871</v>
      </c>
      <c r="F2131">
        <v>3461</v>
      </c>
    </row>
    <row r="2132" spans="1:6" x14ac:dyDescent="0.25">
      <c r="A2132" t="s">
        <v>4367</v>
      </c>
      <c r="B2132" t="s">
        <v>782</v>
      </c>
      <c r="C2132" t="s">
        <v>73</v>
      </c>
      <c r="D2132" t="s">
        <v>2494</v>
      </c>
      <c r="E2132" t="s">
        <v>1876</v>
      </c>
      <c r="F2132">
        <v>3312</v>
      </c>
    </row>
    <row r="2133" spans="1:6" x14ac:dyDescent="0.25">
      <c r="A2133" t="s">
        <v>4368</v>
      </c>
      <c r="B2133" t="s">
        <v>785</v>
      </c>
      <c r="C2133" t="s">
        <v>73</v>
      </c>
      <c r="D2133" t="s">
        <v>2134</v>
      </c>
      <c r="E2133" t="s">
        <v>1876</v>
      </c>
      <c r="F2133">
        <v>12665</v>
      </c>
    </row>
    <row r="2134" spans="1:6" x14ac:dyDescent="0.25">
      <c r="A2134" t="s">
        <v>4369</v>
      </c>
      <c r="B2134" t="s">
        <v>785</v>
      </c>
      <c r="C2134" t="s">
        <v>73</v>
      </c>
      <c r="D2134" t="s">
        <v>2863</v>
      </c>
      <c r="E2134" t="s">
        <v>1886</v>
      </c>
      <c r="F2134">
        <v>2229</v>
      </c>
    </row>
    <row r="2135" spans="1:6" x14ac:dyDescent="0.25">
      <c r="A2135" t="s">
        <v>4370</v>
      </c>
      <c r="B2135" t="s">
        <v>785</v>
      </c>
      <c r="C2135" t="s">
        <v>73</v>
      </c>
      <c r="D2135" t="s">
        <v>2350</v>
      </c>
      <c r="E2135" t="s">
        <v>1879</v>
      </c>
      <c r="F2135">
        <v>9026</v>
      </c>
    </row>
    <row r="2136" spans="1:6" x14ac:dyDescent="0.25">
      <c r="A2136" t="s">
        <v>4371</v>
      </c>
      <c r="B2136" t="s">
        <v>785</v>
      </c>
      <c r="C2136" t="s">
        <v>73</v>
      </c>
      <c r="D2136" t="s">
        <v>2659</v>
      </c>
      <c r="E2136" t="s">
        <v>1886</v>
      </c>
      <c r="F2136">
        <v>8240</v>
      </c>
    </row>
    <row r="2137" spans="1:6" x14ac:dyDescent="0.25">
      <c r="A2137" t="s">
        <v>4372</v>
      </c>
      <c r="B2137" t="s">
        <v>785</v>
      </c>
      <c r="C2137" t="s">
        <v>73</v>
      </c>
      <c r="D2137" t="s">
        <v>2713</v>
      </c>
      <c r="E2137" t="s">
        <v>1886</v>
      </c>
      <c r="F2137">
        <v>22304</v>
      </c>
    </row>
    <row r="2138" spans="1:6" x14ac:dyDescent="0.25">
      <c r="A2138" t="s">
        <v>4373</v>
      </c>
      <c r="B2138" t="s">
        <v>785</v>
      </c>
      <c r="C2138" t="s">
        <v>73</v>
      </c>
      <c r="D2138" t="s">
        <v>2042</v>
      </c>
      <c r="E2138" t="s">
        <v>1879</v>
      </c>
      <c r="F2138">
        <v>17547</v>
      </c>
    </row>
    <row r="2139" spans="1:6" x14ac:dyDescent="0.25">
      <c r="A2139" t="s">
        <v>4374</v>
      </c>
      <c r="B2139" t="s">
        <v>785</v>
      </c>
      <c r="C2139" t="s">
        <v>73</v>
      </c>
      <c r="D2139" t="s">
        <v>2009</v>
      </c>
      <c r="E2139" t="s">
        <v>1915</v>
      </c>
      <c r="F2139">
        <v>6317</v>
      </c>
    </row>
    <row r="2140" spans="1:6" x14ac:dyDescent="0.25">
      <c r="A2140" t="s">
        <v>4375</v>
      </c>
      <c r="B2140" t="s">
        <v>785</v>
      </c>
      <c r="C2140" t="s">
        <v>73</v>
      </c>
      <c r="D2140" t="s">
        <v>2295</v>
      </c>
      <c r="E2140" t="s">
        <v>1876</v>
      </c>
      <c r="F2140">
        <v>23715</v>
      </c>
    </row>
    <row r="2141" spans="1:6" x14ac:dyDescent="0.25">
      <c r="A2141" t="s">
        <v>4376</v>
      </c>
      <c r="B2141" t="s">
        <v>785</v>
      </c>
      <c r="C2141" t="s">
        <v>73</v>
      </c>
      <c r="D2141" t="s">
        <v>2517</v>
      </c>
      <c r="E2141" t="s">
        <v>1876</v>
      </c>
      <c r="F2141">
        <v>20201</v>
      </c>
    </row>
    <row r="2142" spans="1:6" x14ac:dyDescent="0.25">
      <c r="A2142" t="s">
        <v>4377</v>
      </c>
      <c r="B2142" t="s">
        <v>785</v>
      </c>
      <c r="C2142" t="s">
        <v>73</v>
      </c>
      <c r="D2142" t="s">
        <v>2091</v>
      </c>
      <c r="E2142" t="s">
        <v>1915</v>
      </c>
      <c r="F2142">
        <v>20959</v>
      </c>
    </row>
    <row r="2143" spans="1:6" x14ac:dyDescent="0.25">
      <c r="A2143" t="s">
        <v>4378</v>
      </c>
      <c r="B2143" t="s">
        <v>787</v>
      </c>
      <c r="C2143" t="s">
        <v>51</v>
      </c>
      <c r="D2143" t="s">
        <v>2159</v>
      </c>
      <c r="E2143" t="s">
        <v>1871</v>
      </c>
      <c r="F2143">
        <v>13394</v>
      </c>
    </row>
    <row r="2144" spans="1:6" x14ac:dyDescent="0.25">
      <c r="A2144" t="s">
        <v>4379</v>
      </c>
      <c r="B2144" t="s">
        <v>787</v>
      </c>
      <c r="C2144" t="s">
        <v>51</v>
      </c>
      <c r="D2144" t="s">
        <v>3623</v>
      </c>
      <c r="E2144" t="s">
        <v>1915</v>
      </c>
      <c r="F2144">
        <v>32567</v>
      </c>
    </row>
    <row r="2145" spans="1:6" x14ac:dyDescent="0.25">
      <c r="A2145" t="s">
        <v>4380</v>
      </c>
      <c r="B2145" t="s">
        <v>787</v>
      </c>
      <c r="C2145" t="s">
        <v>51</v>
      </c>
      <c r="D2145" t="s">
        <v>1906</v>
      </c>
      <c r="E2145" t="s">
        <v>1879</v>
      </c>
      <c r="F2145">
        <v>13944</v>
      </c>
    </row>
    <row r="2146" spans="1:6" x14ac:dyDescent="0.25">
      <c r="A2146" t="s">
        <v>4381</v>
      </c>
      <c r="B2146" t="s">
        <v>787</v>
      </c>
      <c r="C2146" t="s">
        <v>51</v>
      </c>
      <c r="D2146" t="s">
        <v>1873</v>
      </c>
      <c r="E2146" t="s">
        <v>1876</v>
      </c>
      <c r="F2146">
        <v>25556</v>
      </c>
    </row>
    <row r="2147" spans="1:6" x14ac:dyDescent="0.25">
      <c r="A2147" t="s">
        <v>4382</v>
      </c>
      <c r="B2147" t="s">
        <v>787</v>
      </c>
      <c r="C2147" t="s">
        <v>51</v>
      </c>
      <c r="D2147" t="s">
        <v>1919</v>
      </c>
      <c r="E2147" t="s">
        <v>1871</v>
      </c>
      <c r="F2147">
        <v>17882</v>
      </c>
    </row>
    <row r="2148" spans="1:6" x14ac:dyDescent="0.25">
      <c r="A2148" t="s">
        <v>4383</v>
      </c>
      <c r="B2148" t="s">
        <v>787</v>
      </c>
      <c r="C2148" t="s">
        <v>51</v>
      </c>
      <c r="D2148" t="s">
        <v>2343</v>
      </c>
      <c r="E2148" t="s">
        <v>1886</v>
      </c>
      <c r="F2148">
        <v>13635</v>
      </c>
    </row>
    <row r="2149" spans="1:6" x14ac:dyDescent="0.25">
      <c r="A2149" t="s">
        <v>4384</v>
      </c>
      <c r="B2149" t="s">
        <v>787</v>
      </c>
      <c r="C2149" t="s">
        <v>51</v>
      </c>
      <c r="D2149" t="s">
        <v>2639</v>
      </c>
      <c r="E2149" t="s">
        <v>1886</v>
      </c>
      <c r="F2149">
        <v>27534</v>
      </c>
    </row>
    <row r="2150" spans="1:6" x14ac:dyDescent="0.25">
      <c r="A2150" t="s">
        <v>4385</v>
      </c>
      <c r="B2150" t="s">
        <v>787</v>
      </c>
      <c r="C2150" t="s">
        <v>51</v>
      </c>
      <c r="D2150" t="s">
        <v>2224</v>
      </c>
      <c r="E2150" t="s">
        <v>1876</v>
      </c>
      <c r="F2150">
        <v>16543</v>
      </c>
    </row>
    <row r="2151" spans="1:6" x14ac:dyDescent="0.25">
      <c r="A2151" t="s">
        <v>4386</v>
      </c>
      <c r="B2151" t="s">
        <v>787</v>
      </c>
      <c r="C2151" t="s">
        <v>51</v>
      </c>
      <c r="D2151" t="s">
        <v>2000</v>
      </c>
      <c r="E2151" t="s">
        <v>1876</v>
      </c>
      <c r="F2151">
        <v>5582</v>
      </c>
    </row>
    <row r="2152" spans="1:6" x14ac:dyDescent="0.25">
      <c r="A2152" t="s">
        <v>4387</v>
      </c>
      <c r="B2152" t="s">
        <v>790</v>
      </c>
      <c r="C2152" t="s">
        <v>51</v>
      </c>
      <c r="D2152" t="s">
        <v>2143</v>
      </c>
      <c r="E2152" t="s">
        <v>1915</v>
      </c>
      <c r="F2152">
        <v>19426</v>
      </c>
    </row>
    <row r="2153" spans="1:6" x14ac:dyDescent="0.25">
      <c r="A2153" t="s">
        <v>4388</v>
      </c>
      <c r="B2153" t="s">
        <v>790</v>
      </c>
      <c r="C2153" t="s">
        <v>51</v>
      </c>
      <c r="D2153" t="s">
        <v>2228</v>
      </c>
      <c r="E2153" t="s">
        <v>1876</v>
      </c>
      <c r="F2153">
        <v>22478</v>
      </c>
    </row>
    <row r="2154" spans="1:6" x14ac:dyDescent="0.25">
      <c r="A2154" t="s">
        <v>4389</v>
      </c>
      <c r="B2154" t="s">
        <v>790</v>
      </c>
      <c r="C2154" t="s">
        <v>51</v>
      </c>
      <c r="D2154" t="s">
        <v>2978</v>
      </c>
      <c r="E2154" t="s">
        <v>1879</v>
      </c>
      <c r="F2154">
        <v>13627</v>
      </c>
    </row>
    <row r="2155" spans="1:6" x14ac:dyDescent="0.25">
      <c r="A2155" t="s">
        <v>4390</v>
      </c>
      <c r="B2155" t="s">
        <v>790</v>
      </c>
      <c r="C2155" t="s">
        <v>51</v>
      </c>
      <c r="D2155" t="s">
        <v>2378</v>
      </c>
      <c r="E2155" t="s">
        <v>1871</v>
      </c>
      <c r="F2155">
        <v>18665</v>
      </c>
    </row>
    <row r="2156" spans="1:6" x14ac:dyDescent="0.25">
      <c r="A2156" t="s">
        <v>4391</v>
      </c>
      <c r="B2156" t="s">
        <v>790</v>
      </c>
      <c r="C2156" t="s">
        <v>51</v>
      </c>
      <c r="D2156" t="s">
        <v>2048</v>
      </c>
      <c r="E2156" t="s">
        <v>1876</v>
      </c>
      <c r="F2156">
        <v>1695</v>
      </c>
    </row>
    <row r="2157" spans="1:6" x14ac:dyDescent="0.25">
      <c r="A2157" t="s">
        <v>4392</v>
      </c>
      <c r="B2157" t="s">
        <v>790</v>
      </c>
      <c r="C2157" t="s">
        <v>51</v>
      </c>
      <c r="D2157" t="s">
        <v>2064</v>
      </c>
      <c r="E2157" t="s">
        <v>1879</v>
      </c>
      <c r="F2157">
        <v>10279</v>
      </c>
    </row>
    <row r="2158" spans="1:6" x14ac:dyDescent="0.25">
      <c r="A2158" t="s">
        <v>4393</v>
      </c>
      <c r="B2158" t="s">
        <v>790</v>
      </c>
      <c r="C2158" t="s">
        <v>51</v>
      </c>
      <c r="D2158" t="s">
        <v>1896</v>
      </c>
      <c r="E2158" t="s">
        <v>1879</v>
      </c>
      <c r="F2158">
        <v>25581</v>
      </c>
    </row>
    <row r="2159" spans="1:6" x14ac:dyDescent="0.25">
      <c r="A2159" t="s">
        <v>4394</v>
      </c>
      <c r="B2159" t="s">
        <v>790</v>
      </c>
      <c r="C2159" t="s">
        <v>51</v>
      </c>
      <c r="D2159" t="s">
        <v>2672</v>
      </c>
      <c r="E2159" t="s">
        <v>1876</v>
      </c>
      <c r="F2159">
        <v>24255</v>
      </c>
    </row>
    <row r="2160" spans="1:6" x14ac:dyDescent="0.25">
      <c r="A2160" t="s">
        <v>4395</v>
      </c>
      <c r="B2160" t="s">
        <v>790</v>
      </c>
      <c r="C2160" t="s">
        <v>51</v>
      </c>
      <c r="D2160" t="s">
        <v>1921</v>
      </c>
      <c r="E2160" t="s">
        <v>1871</v>
      </c>
      <c r="F2160">
        <v>26980</v>
      </c>
    </row>
    <row r="2161" spans="1:6" x14ac:dyDescent="0.25">
      <c r="A2161" t="s">
        <v>4396</v>
      </c>
      <c r="B2161" t="s">
        <v>790</v>
      </c>
      <c r="C2161" t="s">
        <v>51</v>
      </c>
      <c r="D2161" t="s">
        <v>1923</v>
      </c>
      <c r="E2161" t="s">
        <v>1886</v>
      </c>
      <c r="F2161">
        <v>30222</v>
      </c>
    </row>
    <row r="2162" spans="1:6" x14ac:dyDescent="0.25">
      <c r="A2162" t="s">
        <v>4397</v>
      </c>
      <c r="B2162" t="s">
        <v>790</v>
      </c>
      <c r="C2162" t="s">
        <v>51</v>
      </c>
      <c r="D2162" t="s">
        <v>1888</v>
      </c>
      <c r="E2162" t="s">
        <v>1915</v>
      </c>
      <c r="F2162">
        <v>14016</v>
      </c>
    </row>
    <row r="2163" spans="1:6" x14ac:dyDescent="0.25">
      <c r="A2163" t="s">
        <v>4398</v>
      </c>
      <c r="B2163" t="s">
        <v>790</v>
      </c>
      <c r="C2163" t="s">
        <v>51</v>
      </c>
      <c r="D2163" t="s">
        <v>1935</v>
      </c>
      <c r="E2163" t="s">
        <v>1879</v>
      </c>
      <c r="F2163">
        <v>8203</v>
      </c>
    </row>
    <row r="2164" spans="1:6" x14ac:dyDescent="0.25">
      <c r="A2164" t="s">
        <v>4399</v>
      </c>
      <c r="B2164" t="s">
        <v>793</v>
      </c>
      <c r="C2164" t="s">
        <v>96</v>
      </c>
      <c r="D2164" t="s">
        <v>2101</v>
      </c>
      <c r="E2164" t="s">
        <v>1876</v>
      </c>
      <c r="F2164">
        <v>9488</v>
      </c>
    </row>
    <row r="2165" spans="1:6" x14ac:dyDescent="0.25">
      <c r="A2165" t="s">
        <v>4400</v>
      </c>
      <c r="B2165" t="s">
        <v>793</v>
      </c>
      <c r="C2165" t="s">
        <v>96</v>
      </c>
      <c r="D2165" t="s">
        <v>3030</v>
      </c>
      <c r="E2165" t="s">
        <v>1879</v>
      </c>
      <c r="F2165">
        <v>945</v>
      </c>
    </row>
    <row r="2166" spans="1:6" x14ac:dyDescent="0.25">
      <c r="A2166" t="s">
        <v>4401</v>
      </c>
      <c r="B2166" t="s">
        <v>793</v>
      </c>
      <c r="C2166" t="s">
        <v>96</v>
      </c>
      <c r="D2166" t="s">
        <v>2693</v>
      </c>
      <c r="E2166" t="s">
        <v>1879</v>
      </c>
      <c r="F2166">
        <v>6604</v>
      </c>
    </row>
    <row r="2167" spans="1:6" x14ac:dyDescent="0.25">
      <c r="A2167" t="s">
        <v>4402</v>
      </c>
      <c r="B2167" t="s">
        <v>793</v>
      </c>
      <c r="C2167" t="s">
        <v>96</v>
      </c>
      <c r="D2167" t="s">
        <v>2387</v>
      </c>
      <c r="E2167" t="s">
        <v>1871</v>
      </c>
      <c r="F2167">
        <v>13185</v>
      </c>
    </row>
    <row r="2168" spans="1:6" x14ac:dyDescent="0.25">
      <c r="A2168" t="s">
        <v>4403</v>
      </c>
      <c r="B2168" t="s">
        <v>793</v>
      </c>
      <c r="C2168" t="s">
        <v>96</v>
      </c>
      <c r="D2168" t="s">
        <v>3026</v>
      </c>
      <c r="E2168" t="s">
        <v>1876</v>
      </c>
      <c r="F2168">
        <v>4701</v>
      </c>
    </row>
    <row r="2169" spans="1:6" x14ac:dyDescent="0.25">
      <c r="A2169" t="s">
        <v>4404</v>
      </c>
      <c r="B2169" t="s">
        <v>793</v>
      </c>
      <c r="C2169" t="s">
        <v>96</v>
      </c>
      <c r="D2169" t="s">
        <v>2079</v>
      </c>
      <c r="E2169" t="s">
        <v>1876</v>
      </c>
      <c r="F2169">
        <v>382</v>
      </c>
    </row>
    <row r="2170" spans="1:6" x14ac:dyDescent="0.25">
      <c r="A2170" t="s">
        <v>4405</v>
      </c>
      <c r="B2170" t="s">
        <v>793</v>
      </c>
      <c r="C2170" t="s">
        <v>96</v>
      </c>
      <c r="D2170" t="s">
        <v>2615</v>
      </c>
      <c r="E2170" t="s">
        <v>1915</v>
      </c>
      <c r="F2170">
        <v>22617</v>
      </c>
    </row>
    <row r="2171" spans="1:6" x14ac:dyDescent="0.25">
      <c r="A2171" t="s">
        <v>4406</v>
      </c>
      <c r="B2171" t="s">
        <v>793</v>
      </c>
      <c r="C2171" t="s">
        <v>96</v>
      </c>
      <c r="D2171" t="s">
        <v>1892</v>
      </c>
      <c r="E2171" t="s">
        <v>1876</v>
      </c>
      <c r="F2171">
        <v>13071</v>
      </c>
    </row>
    <row r="2172" spans="1:6" x14ac:dyDescent="0.25">
      <c r="A2172" t="s">
        <v>4407</v>
      </c>
      <c r="B2172" t="s">
        <v>793</v>
      </c>
      <c r="C2172" t="s">
        <v>96</v>
      </c>
      <c r="D2172" t="s">
        <v>1964</v>
      </c>
      <c r="E2172" t="s">
        <v>1876</v>
      </c>
      <c r="F2172">
        <v>10743</v>
      </c>
    </row>
    <row r="2173" spans="1:6" x14ac:dyDescent="0.25">
      <c r="A2173" t="s">
        <v>4408</v>
      </c>
      <c r="B2173" t="s">
        <v>796</v>
      </c>
      <c r="C2173" t="s">
        <v>73</v>
      </c>
      <c r="D2173" t="s">
        <v>2382</v>
      </c>
      <c r="E2173" t="s">
        <v>1879</v>
      </c>
      <c r="F2173">
        <v>4356</v>
      </c>
    </row>
    <row r="2174" spans="1:6" x14ac:dyDescent="0.25">
      <c r="A2174" t="s">
        <v>4409</v>
      </c>
      <c r="B2174" t="s">
        <v>796</v>
      </c>
      <c r="C2174" t="s">
        <v>73</v>
      </c>
      <c r="D2174" t="s">
        <v>2816</v>
      </c>
      <c r="E2174" t="s">
        <v>1871</v>
      </c>
      <c r="F2174">
        <v>2767</v>
      </c>
    </row>
    <row r="2175" spans="1:6" x14ac:dyDescent="0.25">
      <c r="A2175" t="s">
        <v>4410</v>
      </c>
      <c r="B2175" t="s">
        <v>796</v>
      </c>
      <c r="C2175" t="s">
        <v>73</v>
      </c>
      <c r="D2175" t="s">
        <v>2531</v>
      </c>
      <c r="E2175" t="s">
        <v>1876</v>
      </c>
      <c r="F2175">
        <v>746</v>
      </c>
    </row>
    <row r="2176" spans="1:6" x14ac:dyDescent="0.25">
      <c r="A2176" t="s">
        <v>4411</v>
      </c>
      <c r="B2176" t="s">
        <v>796</v>
      </c>
      <c r="C2176" t="s">
        <v>73</v>
      </c>
      <c r="D2176" t="s">
        <v>3615</v>
      </c>
      <c r="E2176" t="s">
        <v>1886</v>
      </c>
      <c r="F2176">
        <v>11691</v>
      </c>
    </row>
    <row r="2177" spans="1:6" x14ac:dyDescent="0.25">
      <c r="A2177" t="s">
        <v>4412</v>
      </c>
      <c r="B2177" t="s">
        <v>796</v>
      </c>
      <c r="C2177" t="s">
        <v>73</v>
      </c>
      <c r="D2177" t="s">
        <v>2747</v>
      </c>
      <c r="E2177" t="s">
        <v>1871</v>
      </c>
      <c r="F2177">
        <v>4456</v>
      </c>
    </row>
    <row r="2178" spans="1:6" x14ac:dyDescent="0.25">
      <c r="A2178" t="s">
        <v>4413</v>
      </c>
      <c r="B2178" t="s">
        <v>796</v>
      </c>
      <c r="C2178" t="s">
        <v>73</v>
      </c>
      <c r="D2178" t="s">
        <v>3313</v>
      </c>
      <c r="E2178" t="s">
        <v>1886</v>
      </c>
      <c r="F2178">
        <v>34967</v>
      </c>
    </row>
    <row r="2179" spans="1:6" x14ac:dyDescent="0.25">
      <c r="A2179" t="s">
        <v>4414</v>
      </c>
      <c r="B2179" t="s">
        <v>796</v>
      </c>
      <c r="C2179" t="s">
        <v>73</v>
      </c>
      <c r="D2179" t="s">
        <v>1923</v>
      </c>
      <c r="E2179" t="s">
        <v>1915</v>
      </c>
      <c r="F2179">
        <v>5754</v>
      </c>
    </row>
    <row r="2180" spans="1:6" x14ac:dyDescent="0.25">
      <c r="A2180" t="s">
        <v>4415</v>
      </c>
      <c r="B2180" t="s">
        <v>796</v>
      </c>
      <c r="C2180" t="s">
        <v>73</v>
      </c>
      <c r="D2180" t="s">
        <v>2000</v>
      </c>
      <c r="E2180" t="s">
        <v>1915</v>
      </c>
      <c r="F2180">
        <v>5278</v>
      </c>
    </row>
    <row r="2181" spans="1:6" x14ac:dyDescent="0.25">
      <c r="A2181" t="s">
        <v>4416</v>
      </c>
      <c r="B2181" t="s">
        <v>796</v>
      </c>
      <c r="C2181" t="s">
        <v>73</v>
      </c>
      <c r="D2181" t="s">
        <v>2101</v>
      </c>
      <c r="E2181" t="s">
        <v>1886</v>
      </c>
      <c r="F2181">
        <v>28841</v>
      </c>
    </row>
    <row r="2182" spans="1:6" x14ac:dyDescent="0.25">
      <c r="A2182" t="s">
        <v>4417</v>
      </c>
      <c r="B2182" t="s">
        <v>796</v>
      </c>
      <c r="C2182" t="s">
        <v>73</v>
      </c>
      <c r="D2182" t="s">
        <v>2143</v>
      </c>
      <c r="E2182" t="s">
        <v>1876</v>
      </c>
      <c r="F2182">
        <v>5768</v>
      </c>
    </row>
    <row r="2183" spans="1:6" x14ac:dyDescent="0.25">
      <c r="A2183" t="s">
        <v>4418</v>
      </c>
      <c r="B2183" t="s">
        <v>799</v>
      </c>
      <c r="C2183" t="s">
        <v>146</v>
      </c>
      <c r="D2183" t="s">
        <v>1885</v>
      </c>
      <c r="E2183" t="s">
        <v>1876</v>
      </c>
      <c r="F2183">
        <v>2418</v>
      </c>
    </row>
    <row r="2184" spans="1:6" x14ac:dyDescent="0.25">
      <c r="A2184" t="s">
        <v>4419</v>
      </c>
      <c r="B2184" t="s">
        <v>799</v>
      </c>
      <c r="C2184" t="s">
        <v>146</v>
      </c>
      <c r="D2184" t="s">
        <v>1990</v>
      </c>
      <c r="E2184" t="s">
        <v>1879</v>
      </c>
      <c r="F2184">
        <v>6488</v>
      </c>
    </row>
    <row r="2185" spans="1:6" x14ac:dyDescent="0.25">
      <c r="A2185" t="s">
        <v>4420</v>
      </c>
      <c r="B2185" t="s">
        <v>799</v>
      </c>
      <c r="C2185" t="s">
        <v>146</v>
      </c>
      <c r="D2185" t="s">
        <v>2074</v>
      </c>
      <c r="E2185" t="s">
        <v>1879</v>
      </c>
      <c r="F2185">
        <v>21270</v>
      </c>
    </row>
    <row r="2186" spans="1:6" x14ac:dyDescent="0.25">
      <c r="A2186" t="s">
        <v>4421</v>
      </c>
      <c r="B2186" t="s">
        <v>799</v>
      </c>
      <c r="C2186" t="s">
        <v>146</v>
      </c>
      <c r="D2186" t="s">
        <v>1980</v>
      </c>
      <c r="E2186" t="s">
        <v>1879</v>
      </c>
      <c r="F2186">
        <v>12912</v>
      </c>
    </row>
    <row r="2187" spans="1:6" x14ac:dyDescent="0.25">
      <c r="A2187" t="s">
        <v>4422</v>
      </c>
      <c r="B2187" t="s">
        <v>799</v>
      </c>
      <c r="C2187" t="s">
        <v>146</v>
      </c>
      <c r="D2187" t="s">
        <v>2307</v>
      </c>
      <c r="E2187" t="s">
        <v>1886</v>
      </c>
      <c r="F2187">
        <v>3856</v>
      </c>
    </row>
    <row r="2188" spans="1:6" x14ac:dyDescent="0.25">
      <c r="A2188" t="s">
        <v>4423</v>
      </c>
      <c r="B2188" t="s">
        <v>799</v>
      </c>
      <c r="C2188" t="s">
        <v>146</v>
      </c>
      <c r="D2188" t="s">
        <v>3486</v>
      </c>
      <c r="E2188" t="s">
        <v>1879</v>
      </c>
      <c r="F2188">
        <v>7234</v>
      </c>
    </row>
    <row r="2189" spans="1:6" x14ac:dyDescent="0.25">
      <c r="A2189" t="s">
        <v>4424</v>
      </c>
      <c r="B2189" t="s">
        <v>799</v>
      </c>
      <c r="C2189" t="s">
        <v>146</v>
      </c>
      <c r="D2189" t="s">
        <v>2488</v>
      </c>
      <c r="E2189" t="s">
        <v>1915</v>
      </c>
      <c r="F2189">
        <v>19137</v>
      </c>
    </row>
    <row r="2190" spans="1:6" x14ac:dyDescent="0.25">
      <c r="A2190" t="s">
        <v>4425</v>
      </c>
      <c r="B2190" t="s">
        <v>799</v>
      </c>
      <c r="C2190" t="s">
        <v>146</v>
      </c>
      <c r="D2190" t="s">
        <v>1914</v>
      </c>
      <c r="E2190" t="s">
        <v>1879</v>
      </c>
      <c r="F2190">
        <v>4599</v>
      </c>
    </row>
    <row r="2191" spans="1:6" x14ac:dyDescent="0.25">
      <c r="A2191" t="s">
        <v>4426</v>
      </c>
      <c r="B2191" t="s">
        <v>799</v>
      </c>
      <c r="C2191" t="s">
        <v>146</v>
      </c>
      <c r="D2191" t="s">
        <v>1890</v>
      </c>
      <c r="E2191" t="s">
        <v>1915</v>
      </c>
      <c r="F2191">
        <v>5304</v>
      </c>
    </row>
    <row r="2192" spans="1:6" x14ac:dyDescent="0.25">
      <c r="A2192" t="s">
        <v>4427</v>
      </c>
      <c r="B2192" t="s">
        <v>802</v>
      </c>
      <c r="C2192" t="s">
        <v>51</v>
      </c>
      <c r="D2192" t="s">
        <v>2978</v>
      </c>
      <c r="E2192" t="s">
        <v>1871</v>
      </c>
      <c r="F2192">
        <v>11094</v>
      </c>
    </row>
    <row r="2193" spans="1:6" x14ac:dyDescent="0.25">
      <c r="A2193" t="s">
        <v>4428</v>
      </c>
      <c r="B2193" t="s">
        <v>802</v>
      </c>
      <c r="C2193" t="s">
        <v>51</v>
      </c>
      <c r="D2193" t="s">
        <v>3110</v>
      </c>
      <c r="E2193" t="s">
        <v>1915</v>
      </c>
      <c r="F2193">
        <v>23078</v>
      </c>
    </row>
    <row r="2194" spans="1:6" x14ac:dyDescent="0.25">
      <c r="A2194" t="s">
        <v>4429</v>
      </c>
      <c r="B2194" t="s">
        <v>802</v>
      </c>
      <c r="C2194" t="s">
        <v>51</v>
      </c>
      <c r="D2194" t="s">
        <v>2756</v>
      </c>
      <c r="E2194" t="s">
        <v>1879</v>
      </c>
      <c r="F2194">
        <v>11774</v>
      </c>
    </row>
    <row r="2195" spans="1:6" x14ac:dyDescent="0.25">
      <c r="A2195" t="s">
        <v>4430</v>
      </c>
      <c r="B2195" t="s">
        <v>802</v>
      </c>
      <c r="C2195" t="s">
        <v>51</v>
      </c>
      <c r="D2195" t="s">
        <v>2104</v>
      </c>
      <c r="E2195" t="s">
        <v>1886</v>
      </c>
      <c r="F2195">
        <v>10976</v>
      </c>
    </row>
    <row r="2196" spans="1:6" x14ac:dyDescent="0.25">
      <c r="A2196" t="s">
        <v>4431</v>
      </c>
      <c r="B2196" t="s">
        <v>802</v>
      </c>
      <c r="C2196" t="s">
        <v>51</v>
      </c>
      <c r="D2196" t="s">
        <v>2221</v>
      </c>
      <c r="E2196" t="s">
        <v>1876</v>
      </c>
      <c r="F2196">
        <v>13300</v>
      </c>
    </row>
    <row r="2197" spans="1:6" x14ac:dyDescent="0.25">
      <c r="A2197" t="s">
        <v>4432</v>
      </c>
      <c r="B2197" t="s">
        <v>802</v>
      </c>
      <c r="C2197" t="s">
        <v>51</v>
      </c>
      <c r="D2197" t="s">
        <v>2193</v>
      </c>
      <c r="E2197" t="s">
        <v>1879</v>
      </c>
      <c r="F2197">
        <v>6632</v>
      </c>
    </row>
    <row r="2198" spans="1:6" x14ac:dyDescent="0.25">
      <c r="A2198" t="s">
        <v>4433</v>
      </c>
      <c r="B2198" t="s">
        <v>804</v>
      </c>
      <c r="C2198" t="s">
        <v>51</v>
      </c>
      <c r="D2198" t="s">
        <v>1890</v>
      </c>
      <c r="E2198" t="s">
        <v>1915</v>
      </c>
      <c r="F2198">
        <v>21804</v>
      </c>
    </row>
    <row r="2199" spans="1:6" x14ac:dyDescent="0.25">
      <c r="A2199" t="s">
        <v>4434</v>
      </c>
      <c r="B2199" t="s">
        <v>804</v>
      </c>
      <c r="C2199" t="s">
        <v>51</v>
      </c>
      <c r="D2199" t="s">
        <v>2586</v>
      </c>
      <c r="E2199" t="s">
        <v>1879</v>
      </c>
      <c r="F2199">
        <v>14763</v>
      </c>
    </row>
    <row r="2200" spans="1:6" x14ac:dyDescent="0.25">
      <c r="A2200" t="s">
        <v>4435</v>
      </c>
      <c r="B2200" t="s">
        <v>804</v>
      </c>
      <c r="C2200" t="s">
        <v>51</v>
      </c>
      <c r="D2200" t="s">
        <v>1960</v>
      </c>
      <c r="E2200" t="s">
        <v>1871</v>
      </c>
      <c r="F2200">
        <v>1249</v>
      </c>
    </row>
    <row r="2201" spans="1:6" x14ac:dyDescent="0.25">
      <c r="A2201" t="s">
        <v>4436</v>
      </c>
      <c r="B2201" t="s">
        <v>804</v>
      </c>
      <c r="C2201" t="s">
        <v>51</v>
      </c>
      <c r="D2201" t="s">
        <v>2318</v>
      </c>
      <c r="E2201" t="s">
        <v>1879</v>
      </c>
      <c r="F2201">
        <v>10438</v>
      </c>
    </row>
    <row r="2202" spans="1:6" x14ac:dyDescent="0.25">
      <c r="A2202" t="s">
        <v>4437</v>
      </c>
      <c r="B2202" t="s">
        <v>804</v>
      </c>
      <c r="C2202" t="s">
        <v>51</v>
      </c>
      <c r="D2202" t="s">
        <v>3660</v>
      </c>
      <c r="E2202" t="s">
        <v>1876</v>
      </c>
      <c r="F2202">
        <v>1843</v>
      </c>
    </row>
    <row r="2203" spans="1:6" x14ac:dyDescent="0.25">
      <c r="A2203" t="s">
        <v>4438</v>
      </c>
      <c r="B2203" t="s">
        <v>804</v>
      </c>
      <c r="C2203" t="s">
        <v>51</v>
      </c>
      <c r="D2203" t="s">
        <v>2517</v>
      </c>
      <c r="E2203" t="s">
        <v>1871</v>
      </c>
      <c r="F2203">
        <v>3140</v>
      </c>
    </row>
    <row r="2204" spans="1:6" x14ac:dyDescent="0.25">
      <c r="A2204" t="s">
        <v>4439</v>
      </c>
      <c r="B2204" t="s">
        <v>804</v>
      </c>
      <c r="C2204" t="s">
        <v>51</v>
      </c>
      <c r="D2204" t="s">
        <v>3008</v>
      </c>
      <c r="E2204" t="s">
        <v>1915</v>
      </c>
      <c r="F2204">
        <v>2498</v>
      </c>
    </row>
    <row r="2205" spans="1:6" x14ac:dyDescent="0.25">
      <c r="A2205" t="s">
        <v>4440</v>
      </c>
      <c r="B2205" t="s">
        <v>804</v>
      </c>
      <c r="C2205" t="s">
        <v>51</v>
      </c>
      <c r="D2205" t="s">
        <v>1964</v>
      </c>
      <c r="E2205" t="s">
        <v>1886</v>
      </c>
      <c r="F2205">
        <v>7365</v>
      </c>
    </row>
    <row r="2206" spans="1:6" x14ac:dyDescent="0.25">
      <c r="A2206" t="s">
        <v>4441</v>
      </c>
      <c r="B2206" t="s">
        <v>807</v>
      </c>
      <c r="C2206" t="s">
        <v>51</v>
      </c>
      <c r="D2206" t="s">
        <v>2338</v>
      </c>
      <c r="E2206" t="s">
        <v>1915</v>
      </c>
      <c r="F2206">
        <v>14810</v>
      </c>
    </row>
    <row r="2207" spans="1:6" x14ac:dyDescent="0.25">
      <c r="A2207" t="s">
        <v>4442</v>
      </c>
      <c r="B2207" t="s">
        <v>807</v>
      </c>
      <c r="C2207" t="s">
        <v>51</v>
      </c>
      <c r="D2207" t="s">
        <v>2007</v>
      </c>
      <c r="E2207" t="s">
        <v>1876</v>
      </c>
      <c r="F2207">
        <v>7982</v>
      </c>
    </row>
    <row r="2208" spans="1:6" x14ac:dyDescent="0.25">
      <c r="A2208" t="s">
        <v>4443</v>
      </c>
      <c r="B2208" t="s">
        <v>807</v>
      </c>
      <c r="C2208" t="s">
        <v>51</v>
      </c>
      <c r="D2208" t="s">
        <v>3040</v>
      </c>
      <c r="E2208" t="s">
        <v>1876</v>
      </c>
      <c r="F2208">
        <v>2606</v>
      </c>
    </row>
    <row r="2209" spans="1:6" x14ac:dyDescent="0.25">
      <c r="A2209" t="s">
        <v>4444</v>
      </c>
      <c r="B2209" t="s">
        <v>807</v>
      </c>
      <c r="C2209" t="s">
        <v>51</v>
      </c>
      <c r="D2209" t="s">
        <v>2278</v>
      </c>
      <c r="E2209" t="s">
        <v>1915</v>
      </c>
      <c r="F2209">
        <v>13050</v>
      </c>
    </row>
    <row r="2210" spans="1:6" x14ac:dyDescent="0.25">
      <c r="A2210" t="s">
        <v>4445</v>
      </c>
      <c r="B2210" t="s">
        <v>807</v>
      </c>
      <c r="C2210" t="s">
        <v>51</v>
      </c>
      <c r="D2210" t="s">
        <v>2044</v>
      </c>
      <c r="E2210" t="s">
        <v>1879</v>
      </c>
      <c r="F2210">
        <v>824</v>
      </c>
    </row>
    <row r="2211" spans="1:6" x14ac:dyDescent="0.25">
      <c r="A2211" t="s">
        <v>4446</v>
      </c>
      <c r="B2211" t="s">
        <v>807</v>
      </c>
      <c r="C2211" t="s">
        <v>51</v>
      </c>
      <c r="D2211" t="s">
        <v>2529</v>
      </c>
      <c r="E2211" t="s">
        <v>1915</v>
      </c>
      <c r="F2211">
        <v>15883</v>
      </c>
    </row>
    <row r="2212" spans="1:6" x14ac:dyDescent="0.25">
      <c r="A2212" t="s">
        <v>4447</v>
      </c>
      <c r="B2212" t="s">
        <v>807</v>
      </c>
      <c r="C2212" t="s">
        <v>51</v>
      </c>
      <c r="D2212" t="s">
        <v>2914</v>
      </c>
      <c r="E2212" t="s">
        <v>1886</v>
      </c>
      <c r="F2212">
        <v>2634</v>
      </c>
    </row>
    <row r="2213" spans="1:6" x14ac:dyDescent="0.25">
      <c r="A2213" t="s">
        <v>4448</v>
      </c>
      <c r="B2213" t="s">
        <v>807</v>
      </c>
      <c r="C2213" t="s">
        <v>51</v>
      </c>
      <c r="D2213" t="s">
        <v>2165</v>
      </c>
      <c r="E2213" t="s">
        <v>1915</v>
      </c>
      <c r="F2213">
        <v>18744</v>
      </c>
    </row>
    <row r="2214" spans="1:6" x14ac:dyDescent="0.25">
      <c r="A2214" t="s">
        <v>4449</v>
      </c>
      <c r="B2214" t="s">
        <v>807</v>
      </c>
      <c r="C2214" t="s">
        <v>51</v>
      </c>
      <c r="D2214" t="s">
        <v>2816</v>
      </c>
      <c r="E2214" t="s">
        <v>1879</v>
      </c>
      <c r="F2214">
        <v>10076</v>
      </c>
    </row>
    <row r="2215" spans="1:6" x14ac:dyDescent="0.25">
      <c r="A2215" t="s">
        <v>4450</v>
      </c>
      <c r="B2215" t="s">
        <v>807</v>
      </c>
      <c r="C2215" t="s">
        <v>51</v>
      </c>
      <c r="D2215" t="s">
        <v>1935</v>
      </c>
      <c r="E2215" t="s">
        <v>1915</v>
      </c>
      <c r="F2215">
        <v>12181</v>
      </c>
    </row>
    <row r="2216" spans="1:6" x14ac:dyDescent="0.25">
      <c r="A2216" t="s">
        <v>4451</v>
      </c>
      <c r="B2216" t="s">
        <v>810</v>
      </c>
      <c r="C2216" t="s">
        <v>51</v>
      </c>
      <c r="D2216" t="s">
        <v>1949</v>
      </c>
      <c r="E2216" t="s">
        <v>1915</v>
      </c>
      <c r="F2216">
        <v>8775</v>
      </c>
    </row>
    <row r="2217" spans="1:6" x14ac:dyDescent="0.25">
      <c r="A2217" t="s">
        <v>4452</v>
      </c>
      <c r="B2217" t="s">
        <v>810</v>
      </c>
      <c r="C2217" t="s">
        <v>51</v>
      </c>
      <c r="D2217" t="s">
        <v>2109</v>
      </c>
      <c r="E2217" t="s">
        <v>1915</v>
      </c>
      <c r="F2217">
        <v>7606</v>
      </c>
    </row>
    <row r="2218" spans="1:6" x14ac:dyDescent="0.25">
      <c r="A2218" t="s">
        <v>4453</v>
      </c>
      <c r="B2218" t="s">
        <v>810</v>
      </c>
      <c r="C2218" t="s">
        <v>51</v>
      </c>
      <c r="D2218" t="s">
        <v>2016</v>
      </c>
      <c r="E2218" t="s">
        <v>1886</v>
      </c>
      <c r="F2218">
        <v>34425</v>
      </c>
    </row>
    <row r="2219" spans="1:6" x14ac:dyDescent="0.25">
      <c r="A2219" t="s">
        <v>4454</v>
      </c>
      <c r="B2219" t="s">
        <v>810</v>
      </c>
      <c r="C2219" t="s">
        <v>51</v>
      </c>
      <c r="D2219" t="s">
        <v>2107</v>
      </c>
      <c r="E2219" t="s">
        <v>1876</v>
      </c>
      <c r="F2219">
        <v>12435</v>
      </c>
    </row>
    <row r="2220" spans="1:6" x14ac:dyDescent="0.25">
      <c r="A2220" t="s">
        <v>4455</v>
      </c>
      <c r="B2220" t="s">
        <v>810</v>
      </c>
      <c r="C2220" t="s">
        <v>51</v>
      </c>
      <c r="D2220" t="s">
        <v>2610</v>
      </c>
      <c r="E2220" t="s">
        <v>1879</v>
      </c>
      <c r="F2220">
        <v>8873</v>
      </c>
    </row>
    <row r="2221" spans="1:6" x14ac:dyDescent="0.25">
      <c r="A2221" t="s">
        <v>4456</v>
      </c>
      <c r="B2221" t="s">
        <v>810</v>
      </c>
      <c r="C2221" t="s">
        <v>51</v>
      </c>
      <c r="D2221" t="s">
        <v>3446</v>
      </c>
      <c r="E2221" t="s">
        <v>1886</v>
      </c>
      <c r="F2221">
        <v>18695</v>
      </c>
    </row>
    <row r="2222" spans="1:6" x14ac:dyDescent="0.25">
      <c r="A2222" t="s">
        <v>4457</v>
      </c>
      <c r="B2222" t="s">
        <v>813</v>
      </c>
      <c r="C2222" t="s">
        <v>51</v>
      </c>
      <c r="D2222" t="s">
        <v>3710</v>
      </c>
      <c r="E2222" t="s">
        <v>1876</v>
      </c>
      <c r="F2222">
        <v>6145</v>
      </c>
    </row>
    <row r="2223" spans="1:6" x14ac:dyDescent="0.25">
      <c r="A2223" t="s">
        <v>4458</v>
      </c>
      <c r="B2223" t="s">
        <v>813</v>
      </c>
      <c r="C2223" t="s">
        <v>51</v>
      </c>
      <c r="D2223" t="s">
        <v>2000</v>
      </c>
      <c r="E2223" t="s">
        <v>1915</v>
      </c>
      <c r="F2223">
        <v>6559</v>
      </c>
    </row>
    <row r="2224" spans="1:6" x14ac:dyDescent="0.25">
      <c r="A2224" t="s">
        <v>4459</v>
      </c>
      <c r="B2224" t="s">
        <v>813</v>
      </c>
      <c r="C2224" t="s">
        <v>51</v>
      </c>
      <c r="D2224" t="s">
        <v>1894</v>
      </c>
      <c r="E2224" t="s">
        <v>1871</v>
      </c>
      <c r="F2224">
        <v>31319</v>
      </c>
    </row>
    <row r="2225" spans="1:6" x14ac:dyDescent="0.25">
      <c r="A2225" t="s">
        <v>4460</v>
      </c>
      <c r="B2225" t="s">
        <v>813</v>
      </c>
      <c r="C2225" t="s">
        <v>51</v>
      </c>
      <c r="D2225" t="s">
        <v>2159</v>
      </c>
      <c r="E2225" t="s">
        <v>1879</v>
      </c>
      <c r="F2225">
        <v>11050</v>
      </c>
    </row>
    <row r="2226" spans="1:6" x14ac:dyDescent="0.25">
      <c r="A2226" t="s">
        <v>4461</v>
      </c>
      <c r="B2226" t="s">
        <v>813</v>
      </c>
      <c r="C2226" t="s">
        <v>51</v>
      </c>
      <c r="D2226" t="s">
        <v>3062</v>
      </c>
      <c r="E2226" t="s">
        <v>1871</v>
      </c>
      <c r="F2226">
        <v>33720</v>
      </c>
    </row>
    <row r="2227" spans="1:6" x14ac:dyDescent="0.25">
      <c r="A2227" t="s">
        <v>4462</v>
      </c>
      <c r="B2227" t="s">
        <v>813</v>
      </c>
      <c r="C2227" t="s">
        <v>51</v>
      </c>
      <c r="D2227" t="s">
        <v>2432</v>
      </c>
      <c r="E2227" t="s">
        <v>1886</v>
      </c>
      <c r="F2227">
        <v>31158</v>
      </c>
    </row>
    <row r="2228" spans="1:6" x14ac:dyDescent="0.25">
      <c r="A2228" t="s">
        <v>4463</v>
      </c>
      <c r="B2228" t="s">
        <v>813</v>
      </c>
      <c r="C2228" t="s">
        <v>51</v>
      </c>
      <c r="D2228" t="s">
        <v>2421</v>
      </c>
      <c r="E2228" t="s">
        <v>1876</v>
      </c>
      <c r="F2228">
        <v>31817</v>
      </c>
    </row>
    <row r="2229" spans="1:6" x14ac:dyDescent="0.25">
      <c r="A2229" t="s">
        <v>4464</v>
      </c>
      <c r="B2229" t="s">
        <v>813</v>
      </c>
      <c r="C2229" t="s">
        <v>51</v>
      </c>
      <c r="D2229" t="s">
        <v>2079</v>
      </c>
      <c r="E2229" t="s">
        <v>1886</v>
      </c>
      <c r="F2229">
        <v>14295</v>
      </c>
    </row>
    <row r="2230" spans="1:6" x14ac:dyDescent="0.25">
      <c r="A2230" t="s">
        <v>4465</v>
      </c>
      <c r="B2230" t="s">
        <v>813</v>
      </c>
      <c r="C2230" t="s">
        <v>51</v>
      </c>
      <c r="D2230" t="s">
        <v>2745</v>
      </c>
      <c r="E2230" t="s">
        <v>1871</v>
      </c>
      <c r="F2230">
        <v>12234</v>
      </c>
    </row>
    <row r="2231" spans="1:6" x14ac:dyDescent="0.25">
      <c r="A2231" t="s">
        <v>4466</v>
      </c>
      <c r="B2231" t="s">
        <v>813</v>
      </c>
      <c r="C2231" t="s">
        <v>51</v>
      </c>
      <c r="D2231" t="s">
        <v>1935</v>
      </c>
      <c r="E2231" t="s">
        <v>1879</v>
      </c>
      <c r="F2231">
        <v>16972</v>
      </c>
    </row>
    <row r="2232" spans="1:6" x14ac:dyDescent="0.25">
      <c r="A2232" t="s">
        <v>4467</v>
      </c>
      <c r="B2232" t="s">
        <v>813</v>
      </c>
      <c r="C2232" t="s">
        <v>51</v>
      </c>
      <c r="D2232" t="s">
        <v>3446</v>
      </c>
      <c r="E2232" t="s">
        <v>1871</v>
      </c>
      <c r="F2232">
        <v>31626</v>
      </c>
    </row>
    <row r="2233" spans="1:6" x14ac:dyDescent="0.25">
      <c r="A2233" t="s">
        <v>4468</v>
      </c>
      <c r="B2233" t="s">
        <v>813</v>
      </c>
      <c r="C2233" t="s">
        <v>51</v>
      </c>
      <c r="D2233" t="s">
        <v>3062</v>
      </c>
      <c r="E2233" t="s">
        <v>1871</v>
      </c>
      <c r="F2233">
        <v>33396</v>
      </c>
    </row>
    <row r="2234" spans="1:6" x14ac:dyDescent="0.25">
      <c r="A2234" t="s">
        <v>4469</v>
      </c>
      <c r="B2234" t="s">
        <v>816</v>
      </c>
      <c r="C2234" t="s">
        <v>87</v>
      </c>
      <c r="D2234" t="s">
        <v>2364</v>
      </c>
      <c r="E2234" t="s">
        <v>1876</v>
      </c>
      <c r="F2234">
        <v>5050</v>
      </c>
    </row>
    <row r="2235" spans="1:6" x14ac:dyDescent="0.25">
      <c r="A2235" t="s">
        <v>4470</v>
      </c>
      <c r="B2235" t="s">
        <v>816</v>
      </c>
      <c r="C2235" t="s">
        <v>87</v>
      </c>
      <c r="D2235" t="s">
        <v>1939</v>
      </c>
      <c r="E2235" t="s">
        <v>1876</v>
      </c>
      <c r="F2235">
        <v>8246</v>
      </c>
    </row>
    <row r="2236" spans="1:6" x14ac:dyDescent="0.25">
      <c r="A2236" t="s">
        <v>4471</v>
      </c>
      <c r="B2236" t="s">
        <v>816</v>
      </c>
      <c r="C2236" t="s">
        <v>87</v>
      </c>
      <c r="D2236" t="s">
        <v>2593</v>
      </c>
      <c r="E2236" t="s">
        <v>1879</v>
      </c>
      <c r="F2236">
        <v>16604</v>
      </c>
    </row>
    <row r="2237" spans="1:6" x14ac:dyDescent="0.25">
      <c r="A2237" t="s">
        <v>4472</v>
      </c>
      <c r="B2237" t="s">
        <v>816</v>
      </c>
      <c r="C2237" t="s">
        <v>87</v>
      </c>
      <c r="D2237" t="s">
        <v>3860</v>
      </c>
      <c r="E2237" t="s">
        <v>1876</v>
      </c>
      <c r="F2237">
        <v>29002</v>
      </c>
    </row>
    <row r="2238" spans="1:6" x14ac:dyDescent="0.25">
      <c r="A2238" t="s">
        <v>4473</v>
      </c>
      <c r="B2238" t="s">
        <v>816</v>
      </c>
      <c r="C2238" t="s">
        <v>87</v>
      </c>
      <c r="D2238" t="s">
        <v>2034</v>
      </c>
      <c r="E2238" t="s">
        <v>1871</v>
      </c>
      <c r="F2238">
        <v>8645</v>
      </c>
    </row>
    <row r="2239" spans="1:6" x14ac:dyDescent="0.25">
      <c r="A2239" t="s">
        <v>4474</v>
      </c>
      <c r="B2239" t="s">
        <v>816</v>
      </c>
      <c r="C2239" t="s">
        <v>87</v>
      </c>
      <c r="D2239" t="s">
        <v>2314</v>
      </c>
      <c r="E2239" t="s">
        <v>1876</v>
      </c>
      <c r="F2239">
        <v>37176</v>
      </c>
    </row>
    <row r="2240" spans="1:6" x14ac:dyDescent="0.25">
      <c r="A2240" t="s">
        <v>4475</v>
      </c>
      <c r="B2240" t="s">
        <v>816</v>
      </c>
      <c r="C2240" t="s">
        <v>87</v>
      </c>
      <c r="D2240" t="s">
        <v>2210</v>
      </c>
      <c r="E2240" t="s">
        <v>1886</v>
      </c>
      <c r="F2240">
        <v>29079</v>
      </c>
    </row>
    <row r="2241" spans="1:6" x14ac:dyDescent="0.25">
      <c r="A2241" t="s">
        <v>4476</v>
      </c>
      <c r="B2241" t="s">
        <v>816</v>
      </c>
      <c r="C2241" t="s">
        <v>87</v>
      </c>
      <c r="D2241" t="s">
        <v>1935</v>
      </c>
      <c r="E2241" t="s">
        <v>1871</v>
      </c>
      <c r="F2241">
        <v>27180</v>
      </c>
    </row>
    <row r="2242" spans="1:6" x14ac:dyDescent="0.25">
      <c r="A2242" t="s">
        <v>4477</v>
      </c>
      <c r="B2242" t="s">
        <v>816</v>
      </c>
      <c r="C2242" t="s">
        <v>87</v>
      </c>
      <c r="D2242" t="s">
        <v>2338</v>
      </c>
      <c r="E2242" t="s">
        <v>1876</v>
      </c>
      <c r="F2242">
        <v>43363</v>
      </c>
    </row>
    <row r="2243" spans="1:6" x14ac:dyDescent="0.25">
      <c r="A2243" t="s">
        <v>4478</v>
      </c>
      <c r="B2243" t="s">
        <v>816</v>
      </c>
      <c r="C2243" t="s">
        <v>87</v>
      </c>
      <c r="D2243" t="s">
        <v>2450</v>
      </c>
      <c r="E2243" t="s">
        <v>1915</v>
      </c>
      <c r="F2243">
        <v>64219</v>
      </c>
    </row>
    <row r="2244" spans="1:6" x14ac:dyDescent="0.25">
      <c r="A2244" t="s">
        <v>4479</v>
      </c>
      <c r="B2244" t="s">
        <v>819</v>
      </c>
      <c r="C2244" t="s">
        <v>146</v>
      </c>
      <c r="D2244" t="s">
        <v>2020</v>
      </c>
      <c r="E2244" t="s">
        <v>1879</v>
      </c>
      <c r="F2244">
        <v>16118</v>
      </c>
    </row>
    <row r="2245" spans="1:6" x14ac:dyDescent="0.25">
      <c r="A2245" t="s">
        <v>4480</v>
      </c>
      <c r="B2245" t="s">
        <v>819</v>
      </c>
      <c r="C2245" t="s">
        <v>146</v>
      </c>
      <c r="D2245" t="s">
        <v>1697</v>
      </c>
      <c r="E2245" t="s">
        <v>1879</v>
      </c>
      <c r="F2245">
        <v>14645</v>
      </c>
    </row>
    <row r="2246" spans="1:6" x14ac:dyDescent="0.25">
      <c r="A2246" t="s">
        <v>4481</v>
      </c>
      <c r="B2246" t="s">
        <v>819</v>
      </c>
      <c r="C2246" t="s">
        <v>146</v>
      </c>
      <c r="D2246" t="s">
        <v>2263</v>
      </c>
      <c r="E2246" t="s">
        <v>1915</v>
      </c>
      <c r="F2246">
        <v>10472</v>
      </c>
    </row>
    <row r="2247" spans="1:6" x14ac:dyDescent="0.25">
      <c r="A2247" t="s">
        <v>4482</v>
      </c>
      <c r="B2247" t="s">
        <v>819</v>
      </c>
      <c r="C2247" t="s">
        <v>146</v>
      </c>
      <c r="D2247" t="s">
        <v>2068</v>
      </c>
      <c r="E2247" t="s">
        <v>1879</v>
      </c>
      <c r="F2247">
        <v>7100</v>
      </c>
    </row>
    <row r="2248" spans="1:6" x14ac:dyDescent="0.25">
      <c r="A2248" t="s">
        <v>4483</v>
      </c>
      <c r="B2248" t="s">
        <v>819</v>
      </c>
      <c r="C2248" t="s">
        <v>146</v>
      </c>
      <c r="D2248" t="s">
        <v>2263</v>
      </c>
      <c r="E2248" t="s">
        <v>1879</v>
      </c>
      <c r="F2248">
        <v>7610</v>
      </c>
    </row>
    <row r="2249" spans="1:6" x14ac:dyDescent="0.25">
      <c r="A2249" t="s">
        <v>4484</v>
      </c>
      <c r="B2249" t="s">
        <v>819</v>
      </c>
      <c r="C2249" t="s">
        <v>146</v>
      </c>
      <c r="D2249" t="s">
        <v>1955</v>
      </c>
      <c r="E2249" t="s">
        <v>1876</v>
      </c>
      <c r="F2249">
        <v>11945</v>
      </c>
    </row>
    <row r="2250" spans="1:6" x14ac:dyDescent="0.25">
      <c r="A2250" t="s">
        <v>4485</v>
      </c>
      <c r="B2250" t="s">
        <v>819</v>
      </c>
      <c r="C2250" t="s">
        <v>146</v>
      </c>
      <c r="D2250" t="s">
        <v>2704</v>
      </c>
      <c r="E2250" t="s">
        <v>1915</v>
      </c>
      <c r="F2250">
        <v>31008</v>
      </c>
    </row>
    <row r="2251" spans="1:6" x14ac:dyDescent="0.25">
      <c r="A2251" t="s">
        <v>4486</v>
      </c>
      <c r="B2251" t="s">
        <v>819</v>
      </c>
      <c r="C2251" t="s">
        <v>146</v>
      </c>
      <c r="D2251" t="s">
        <v>2242</v>
      </c>
      <c r="E2251" t="s">
        <v>1876</v>
      </c>
      <c r="F2251">
        <v>11312</v>
      </c>
    </row>
    <row r="2252" spans="1:6" x14ac:dyDescent="0.25">
      <c r="A2252" t="s">
        <v>4487</v>
      </c>
      <c r="B2252" t="s">
        <v>822</v>
      </c>
      <c r="C2252" t="s">
        <v>73</v>
      </c>
      <c r="D2252" t="s">
        <v>2024</v>
      </c>
      <c r="E2252" t="s">
        <v>1876</v>
      </c>
      <c r="F2252">
        <v>45813</v>
      </c>
    </row>
    <row r="2253" spans="1:6" x14ac:dyDescent="0.25">
      <c r="A2253" t="s">
        <v>4488</v>
      </c>
      <c r="B2253" t="s">
        <v>822</v>
      </c>
      <c r="C2253" t="s">
        <v>73</v>
      </c>
      <c r="D2253" t="s">
        <v>2829</v>
      </c>
      <c r="E2253" t="s">
        <v>1876</v>
      </c>
      <c r="F2253">
        <v>28240</v>
      </c>
    </row>
    <row r="2254" spans="1:6" x14ac:dyDescent="0.25">
      <c r="A2254" t="s">
        <v>4489</v>
      </c>
      <c r="B2254" t="s">
        <v>822</v>
      </c>
      <c r="C2254" t="s">
        <v>73</v>
      </c>
      <c r="D2254" t="s">
        <v>1875</v>
      </c>
      <c r="E2254" t="s">
        <v>1876</v>
      </c>
      <c r="F2254">
        <v>17151</v>
      </c>
    </row>
    <row r="2255" spans="1:6" x14ac:dyDescent="0.25">
      <c r="A2255" t="s">
        <v>4490</v>
      </c>
      <c r="B2255" t="s">
        <v>822</v>
      </c>
      <c r="C2255" t="s">
        <v>73</v>
      </c>
      <c r="D2255" t="s">
        <v>2557</v>
      </c>
      <c r="E2255" t="s">
        <v>1879</v>
      </c>
      <c r="F2255">
        <v>2250</v>
      </c>
    </row>
    <row r="2256" spans="1:6" x14ac:dyDescent="0.25">
      <c r="A2256" t="s">
        <v>4491</v>
      </c>
      <c r="B2256" t="s">
        <v>822</v>
      </c>
      <c r="C2256" t="s">
        <v>73</v>
      </c>
      <c r="D2256" t="s">
        <v>2280</v>
      </c>
      <c r="E2256" t="s">
        <v>1886</v>
      </c>
      <c r="F2256">
        <v>9488</v>
      </c>
    </row>
    <row r="2257" spans="1:6" x14ac:dyDescent="0.25">
      <c r="A2257" t="s">
        <v>4492</v>
      </c>
      <c r="B2257" t="s">
        <v>822</v>
      </c>
      <c r="C2257" t="s">
        <v>73</v>
      </c>
      <c r="D2257" t="s">
        <v>3119</v>
      </c>
      <c r="E2257" t="s">
        <v>1915</v>
      </c>
      <c r="F2257">
        <v>90936</v>
      </c>
    </row>
    <row r="2258" spans="1:6" x14ac:dyDescent="0.25">
      <c r="A2258" t="s">
        <v>4493</v>
      </c>
      <c r="B2258" t="s">
        <v>825</v>
      </c>
      <c r="C2258" t="s">
        <v>96</v>
      </c>
      <c r="D2258" t="s">
        <v>1966</v>
      </c>
      <c r="E2258" t="s">
        <v>1879</v>
      </c>
      <c r="F2258">
        <v>15382</v>
      </c>
    </row>
    <row r="2259" spans="1:6" x14ac:dyDescent="0.25">
      <c r="A2259" t="s">
        <v>4494</v>
      </c>
      <c r="B2259" t="s">
        <v>825</v>
      </c>
      <c r="C2259" t="s">
        <v>96</v>
      </c>
      <c r="D2259" t="s">
        <v>2012</v>
      </c>
      <c r="E2259" t="s">
        <v>1915</v>
      </c>
      <c r="F2259">
        <v>12358</v>
      </c>
    </row>
    <row r="2260" spans="1:6" x14ac:dyDescent="0.25">
      <c r="A2260" t="s">
        <v>4495</v>
      </c>
      <c r="B2260" t="s">
        <v>825</v>
      </c>
      <c r="C2260" t="s">
        <v>96</v>
      </c>
      <c r="D2260" t="s">
        <v>2537</v>
      </c>
      <c r="E2260" t="s">
        <v>1886</v>
      </c>
      <c r="F2260">
        <v>18772</v>
      </c>
    </row>
    <row r="2261" spans="1:6" x14ac:dyDescent="0.25">
      <c r="A2261" t="s">
        <v>4496</v>
      </c>
      <c r="B2261" t="s">
        <v>825</v>
      </c>
      <c r="C2261" t="s">
        <v>96</v>
      </c>
      <c r="D2261" t="s">
        <v>2829</v>
      </c>
      <c r="E2261" t="s">
        <v>1886</v>
      </c>
      <c r="F2261">
        <v>7610</v>
      </c>
    </row>
    <row r="2262" spans="1:6" x14ac:dyDescent="0.25">
      <c r="A2262" t="s">
        <v>4497</v>
      </c>
      <c r="B2262" t="s">
        <v>825</v>
      </c>
      <c r="C2262" t="s">
        <v>96</v>
      </c>
      <c r="D2262" t="s">
        <v>3129</v>
      </c>
      <c r="E2262" t="s">
        <v>1915</v>
      </c>
      <c r="F2262">
        <v>21362</v>
      </c>
    </row>
    <row r="2263" spans="1:6" x14ac:dyDescent="0.25">
      <c r="A2263" t="s">
        <v>4498</v>
      </c>
      <c r="B2263" t="s">
        <v>825</v>
      </c>
      <c r="C2263" t="s">
        <v>96</v>
      </c>
      <c r="D2263" t="s">
        <v>2038</v>
      </c>
      <c r="E2263" t="s">
        <v>1879</v>
      </c>
      <c r="F2263">
        <v>752</v>
      </c>
    </row>
    <row r="2264" spans="1:6" x14ac:dyDescent="0.25">
      <c r="A2264" t="s">
        <v>4499</v>
      </c>
      <c r="B2264" t="s">
        <v>825</v>
      </c>
      <c r="C2264" t="s">
        <v>96</v>
      </c>
      <c r="D2264" t="s">
        <v>2958</v>
      </c>
      <c r="E2264" t="s">
        <v>1915</v>
      </c>
      <c r="F2264">
        <v>5622</v>
      </c>
    </row>
    <row r="2265" spans="1:6" x14ac:dyDescent="0.25">
      <c r="A2265" t="s">
        <v>4500</v>
      </c>
      <c r="B2265" t="s">
        <v>825</v>
      </c>
      <c r="C2265" t="s">
        <v>96</v>
      </c>
      <c r="D2265" t="s">
        <v>3164</v>
      </c>
      <c r="E2265" t="s">
        <v>1879</v>
      </c>
      <c r="F2265">
        <v>5273</v>
      </c>
    </row>
    <row r="2266" spans="1:6" x14ac:dyDescent="0.25">
      <c r="A2266" t="s">
        <v>4501</v>
      </c>
      <c r="B2266" t="s">
        <v>825</v>
      </c>
      <c r="C2266" t="s">
        <v>96</v>
      </c>
      <c r="D2266" t="s">
        <v>2109</v>
      </c>
      <c r="E2266" t="s">
        <v>1879</v>
      </c>
      <c r="F2266">
        <v>13543</v>
      </c>
    </row>
    <row r="2267" spans="1:6" x14ac:dyDescent="0.25">
      <c r="A2267" t="s">
        <v>4502</v>
      </c>
      <c r="B2267" t="s">
        <v>825</v>
      </c>
      <c r="C2267" t="s">
        <v>96</v>
      </c>
      <c r="D2267" t="s">
        <v>2099</v>
      </c>
      <c r="E2267" t="s">
        <v>1886</v>
      </c>
      <c r="F2267">
        <v>21973</v>
      </c>
    </row>
    <row r="2268" spans="1:6" x14ac:dyDescent="0.25">
      <c r="A2268" t="s">
        <v>4503</v>
      </c>
      <c r="B2268" t="s">
        <v>825</v>
      </c>
      <c r="C2268" t="s">
        <v>96</v>
      </c>
      <c r="D2268" t="s">
        <v>2074</v>
      </c>
      <c r="E2268" t="s">
        <v>1876</v>
      </c>
      <c r="F2268">
        <v>5148</v>
      </c>
    </row>
    <row r="2269" spans="1:6" x14ac:dyDescent="0.25">
      <c r="A2269" t="s">
        <v>4504</v>
      </c>
      <c r="B2269" t="s">
        <v>825</v>
      </c>
      <c r="C2269" t="s">
        <v>96</v>
      </c>
      <c r="D2269" t="s">
        <v>3129</v>
      </c>
      <c r="E2269" t="s">
        <v>1871</v>
      </c>
      <c r="F2269">
        <v>14738</v>
      </c>
    </row>
    <row r="2270" spans="1:6" x14ac:dyDescent="0.25">
      <c r="A2270" t="s">
        <v>4505</v>
      </c>
      <c r="B2270" t="s">
        <v>828</v>
      </c>
      <c r="C2270" t="s">
        <v>146</v>
      </c>
      <c r="D2270" t="s">
        <v>2557</v>
      </c>
      <c r="E2270" t="s">
        <v>1886</v>
      </c>
      <c r="F2270">
        <v>2536</v>
      </c>
    </row>
    <row r="2271" spans="1:6" x14ac:dyDescent="0.25">
      <c r="A2271" t="s">
        <v>4506</v>
      </c>
      <c r="B2271" t="s">
        <v>828</v>
      </c>
      <c r="C2271" t="s">
        <v>146</v>
      </c>
      <c r="D2271" t="s">
        <v>2252</v>
      </c>
      <c r="E2271" t="s">
        <v>1879</v>
      </c>
      <c r="F2271">
        <v>6664</v>
      </c>
    </row>
    <row r="2272" spans="1:6" x14ac:dyDescent="0.25">
      <c r="A2272" t="s">
        <v>4507</v>
      </c>
      <c r="B2272" t="s">
        <v>828</v>
      </c>
      <c r="C2272" t="s">
        <v>146</v>
      </c>
      <c r="D2272" t="s">
        <v>2816</v>
      </c>
      <c r="E2272" t="s">
        <v>1886</v>
      </c>
      <c r="F2272">
        <v>24857</v>
      </c>
    </row>
    <row r="2273" spans="1:6" x14ac:dyDescent="0.25">
      <c r="A2273" t="s">
        <v>4508</v>
      </c>
      <c r="B2273" t="s">
        <v>828</v>
      </c>
      <c r="C2273" t="s">
        <v>146</v>
      </c>
      <c r="D2273" t="s">
        <v>2840</v>
      </c>
      <c r="E2273" t="s">
        <v>1876</v>
      </c>
      <c r="F2273">
        <v>23173</v>
      </c>
    </row>
    <row r="2274" spans="1:6" x14ac:dyDescent="0.25">
      <c r="A2274" t="s">
        <v>4509</v>
      </c>
      <c r="B2274" t="s">
        <v>828</v>
      </c>
      <c r="C2274" t="s">
        <v>146</v>
      </c>
      <c r="D2274" t="s">
        <v>2680</v>
      </c>
      <c r="E2274" t="s">
        <v>1886</v>
      </c>
      <c r="F2274">
        <v>26363</v>
      </c>
    </row>
    <row r="2275" spans="1:6" x14ac:dyDescent="0.25">
      <c r="A2275" t="s">
        <v>4510</v>
      </c>
      <c r="B2275" t="s">
        <v>828</v>
      </c>
      <c r="C2275" t="s">
        <v>146</v>
      </c>
      <c r="D2275" t="s">
        <v>3486</v>
      </c>
      <c r="E2275" t="s">
        <v>1879</v>
      </c>
      <c r="F2275">
        <v>23527</v>
      </c>
    </row>
    <row r="2276" spans="1:6" x14ac:dyDescent="0.25">
      <c r="A2276" t="s">
        <v>4511</v>
      </c>
      <c r="B2276" t="s">
        <v>828</v>
      </c>
      <c r="C2276" t="s">
        <v>146</v>
      </c>
      <c r="D2276" t="s">
        <v>2494</v>
      </c>
      <c r="E2276" t="s">
        <v>1915</v>
      </c>
      <c r="F2276">
        <v>6446</v>
      </c>
    </row>
    <row r="2277" spans="1:6" x14ac:dyDescent="0.25">
      <c r="A2277" t="s">
        <v>4512</v>
      </c>
      <c r="B2277" t="s">
        <v>828</v>
      </c>
      <c r="C2277" t="s">
        <v>146</v>
      </c>
      <c r="D2277" t="s">
        <v>2111</v>
      </c>
      <c r="E2277" t="s">
        <v>1879</v>
      </c>
      <c r="F2277">
        <v>510</v>
      </c>
    </row>
    <row r="2278" spans="1:6" x14ac:dyDescent="0.25">
      <c r="A2278" t="s">
        <v>4513</v>
      </c>
      <c r="B2278" t="s">
        <v>831</v>
      </c>
      <c r="C2278" t="s">
        <v>96</v>
      </c>
      <c r="D2278" t="s">
        <v>2599</v>
      </c>
      <c r="E2278" t="s">
        <v>1886</v>
      </c>
      <c r="F2278">
        <v>11977</v>
      </c>
    </row>
    <row r="2279" spans="1:6" x14ac:dyDescent="0.25">
      <c r="A2279" t="s">
        <v>4514</v>
      </c>
      <c r="B2279" t="s">
        <v>831</v>
      </c>
      <c r="C2279" t="s">
        <v>96</v>
      </c>
      <c r="D2279" t="s">
        <v>3233</v>
      </c>
      <c r="E2279" t="s">
        <v>1886</v>
      </c>
      <c r="F2279">
        <v>22125</v>
      </c>
    </row>
    <row r="2280" spans="1:6" x14ac:dyDescent="0.25">
      <c r="A2280" t="s">
        <v>4515</v>
      </c>
      <c r="B2280" t="s">
        <v>831</v>
      </c>
      <c r="C2280" t="s">
        <v>96</v>
      </c>
      <c r="D2280" t="s">
        <v>2079</v>
      </c>
      <c r="E2280" t="s">
        <v>1876</v>
      </c>
      <c r="F2280">
        <v>3465</v>
      </c>
    </row>
    <row r="2281" spans="1:6" x14ac:dyDescent="0.25">
      <c r="A2281" t="s">
        <v>4516</v>
      </c>
      <c r="B2281" t="s">
        <v>831</v>
      </c>
      <c r="C2281" t="s">
        <v>96</v>
      </c>
      <c r="D2281" t="s">
        <v>2226</v>
      </c>
      <c r="E2281" t="s">
        <v>1876</v>
      </c>
      <c r="F2281">
        <v>15831</v>
      </c>
    </row>
    <row r="2282" spans="1:6" x14ac:dyDescent="0.25">
      <c r="A2282" t="s">
        <v>4517</v>
      </c>
      <c r="B2282" t="s">
        <v>831</v>
      </c>
      <c r="C2282" t="s">
        <v>96</v>
      </c>
      <c r="D2282" t="s">
        <v>2956</v>
      </c>
      <c r="E2282" t="s">
        <v>1915</v>
      </c>
      <c r="F2282">
        <v>25824</v>
      </c>
    </row>
    <row r="2283" spans="1:6" x14ac:dyDescent="0.25">
      <c r="A2283" t="s">
        <v>4518</v>
      </c>
      <c r="B2283" t="s">
        <v>831</v>
      </c>
      <c r="C2283" t="s">
        <v>96</v>
      </c>
      <c r="D2283" t="s">
        <v>2657</v>
      </c>
      <c r="E2283" t="s">
        <v>1915</v>
      </c>
      <c r="F2283">
        <v>39407</v>
      </c>
    </row>
    <row r="2284" spans="1:6" x14ac:dyDescent="0.25">
      <c r="A2284" t="s">
        <v>4519</v>
      </c>
      <c r="B2284" t="s">
        <v>831</v>
      </c>
      <c r="C2284" t="s">
        <v>96</v>
      </c>
      <c r="D2284" t="s">
        <v>2732</v>
      </c>
      <c r="E2284" t="s">
        <v>1886</v>
      </c>
      <c r="F2284">
        <v>29356</v>
      </c>
    </row>
    <row r="2285" spans="1:6" x14ac:dyDescent="0.25">
      <c r="A2285" t="s">
        <v>4520</v>
      </c>
      <c r="B2285" t="s">
        <v>831</v>
      </c>
      <c r="C2285" t="s">
        <v>96</v>
      </c>
      <c r="D2285" t="s">
        <v>2095</v>
      </c>
      <c r="E2285" t="s">
        <v>1871</v>
      </c>
      <c r="F2285">
        <v>11709</v>
      </c>
    </row>
    <row r="2286" spans="1:6" x14ac:dyDescent="0.25">
      <c r="A2286" t="s">
        <v>4521</v>
      </c>
      <c r="B2286" t="s">
        <v>831</v>
      </c>
      <c r="C2286" t="s">
        <v>96</v>
      </c>
      <c r="D2286" t="s">
        <v>2201</v>
      </c>
      <c r="E2286" t="s">
        <v>1886</v>
      </c>
      <c r="F2286">
        <v>6350</v>
      </c>
    </row>
    <row r="2287" spans="1:6" x14ac:dyDescent="0.25">
      <c r="A2287" t="s">
        <v>4522</v>
      </c>
      <c r="B2287" t="s">
        <v>834</v>
      </c>
      <c r="C2287" t="s">
        <v>73</v>
      </c>
      <c r="D2287" t="s">
        <v>3030</v>
      </c>
      <c r="E2287" t="s">
        <v>1879</v>
      </c>
      <c r="F2287">
        <v>18043</v>
      </c>
    </row>
    <row r="2288" spans="1:6" x14ac:dyDescent="0.25">
      <c r="A2288" t="s">
        <v>4523</v>
      </c>
      <c r="B2288" t="s">
        <v>834</v>
      </c>
      <c r="C2288" t="s">
        <v>73</v>
      </c>
      <c r="D2288" t="s">
        <v>2318</v>
      </c>
      <c r="E2288" t="s">
        <v>1879</v>
      </c>
      <c r="F2288">
        <v>7463</v>
      </c>
    </row>
    <row r="2289" spans="1:6" x14ac:dyDescent="0.25">
      <c r="A2289" t="s">
        <v>4524</v>
      </c>
      <c r="B2289" t="s">
        <v>834</v>
      </c>
      <c r="C2289" t="s">
        <v>73</v>
      </c>
      <c r="D2289" t="s">
        <v>2645</v>
      </c>
      <c r="E2289" t="s">
        <v>1915</v>
      </c>
      <c r="F2289">
        <v>5372</v>
      </c>
    </row>
    <row r="2290" spans="1:6" x14ac:dyDescent="0.25">
      <c r="A2290" t="s">
        <v>4525</v>
      </c>
      <c r="B2290" t="s">
        <v>834</v>
      </c>
      <c r="C2290" t="s">
        <v>73</v>
      </c>
      <c r="D2290" t="s">
        <v>2770</v>
      </c>
      <c r="E2290" t="s">
        <v>1879</v>
      </c>
      <c r="F2290">
        <v>16572</v>
      </c>
    </row>
    <row r="2291" spans="1:6" x14ac:dyDescent="0.25">
      <c r="A2291" t="s">
        <v>4526</v>
      </c>
      <c r="B2291" t="s">
        <v>834</v>
      </c>
      <c r="C2291" t="s">
        <v>73</v>
      </c>
      <c r="D2291" t="s">
        <v>2038</v>
      </c>
      <c r="E2291" t="s">
        <v>1879</v>
      </c>
      <c r="F2291">
        <v>5445</v>
      </c>
    </row>
    <row r="2292" spans="1:6" x14ac:dyDescent="0.25">
      <c r="A2292" t="s">
        <v>4527</v>
      </c>
      <c r="B2292" t="s">
        <v>834</v>
      </c>
      <c r="C2292" t="s">
        <v>73</v>
      </c>
      <c r="D2292" t="s">
        <v>2412</v>
      </c>
      <c r="E2292" t="s">
        <v>1879</v>
      </c>
      <c r="F2292">
        <v>15356</v>
      </c>
    </row>
    <row r="2293" spans="1:6" x14ac:dyDescent="0.25">
      <c r="A2293" t="s">
        <v>4528</v>
      </c>
      <c r="B2293" t="s">
        <v>834</v>
      </c>
      <c r="C2293" t="s">
        <v>73</v>
      </c>
      <c r="D2293" t="s">
        <v>3062</v>
      </c>
      <c r="E2293" t="s">
        <v>1871</v>
      </c>
      <c r="F2293">
        <v>13098</v>
      </c>
    </row>
    <row r="2294" spans="1:6" x14ac:dyDescent="0.25">
      <c r="A2294" t="s">
        <v>4529</v>
      </c>
      <c r="B2294" t="s">
        <v>834</v>
      </c>
      <c r="C2294" t="s">
        <v>73</v>
      </c>
      <c r="D2294" t="s">
        <v>2097</v>
      </c>
      <c r="E2294" t="s">
        <v>1915</v>
      </c>
      <c r="F2294">
        <v>10985</v>
      </c>
    </row>
    <row r="2295" spans="1:6" x14ac:dyDescent="0.25">
      <c r="A2295" t="s">
        <v>4530</v>
      </c>
      <c r="B2295" t="s">
        <v>834</v>
      </c>
      <c r="C2295" t="s">
        <v>73</v>
      </c>
      <c r="D2295" t="s">
        <v>2812</v>
      </c>
      <c r="E2295" t="s">
        <v>1871</v>
      </c>
      <c r="F2295">
        <v>10332</v>
      </c>
    </row>
    <row r="2296" spans="1:6" x14ac:dyDescent="0.25">
      <c r="A2296" t="s">
        <v>4531</v>
      </c>
      <c r="B2296" t="s">
        <v>834</v>
      </c>
      <c r="C2296" t="s">
        <v>73</v>
      </c>
      <c r="D2296" t="s">
        <v>2040</v>
      </c>
      <c r="E2296" t="s">
        <v>1879</v>
      </c>
      <c r="F2296">
        <v>7554</v>
      </c>
    </row>
    <row r="2297" spans="1:6" x14ac:dyDescent="0.25">
      <c r="A2297" t="s">
        <v>4532</v>
      </c>
      <c r="B2297" t="s">
        <v>837</v>
      </c>
      <c r="C2297" t="s">
        <v>146</v>
      </c>
      <c r="D2297" t="s">
        <v>2042</v>
      </c>
      <c r="E2297" t="s">
        <v>1915</v>
      </c>
      <c r="F2297">
        <v>37384</v>
      </c>
    </row>
    <row r="2298" spans="1:6" x14ac:dyDescent="0.25">
      <c r="A2298" t="s">
        <v>4533</v>
      </c>
      <c r="B2298" t="s">
        <v>837</v>
      </c>
      <c r="C2298" t="s">
        <v>146</v>
      </c>
      <c r="D2298" t="s">
        <v>2165</v>
      </c>
      <c r="E2298" t="s">
        <v>1879</v>
      </c>
      <c r="F2298">
        <v>18170</v>
      </c>
    </row>
    <row r="2299" spans="1:6" x14ac:dyDescent="0.25">
      <c r="A2299" t="s">
        <v>4534</v>
      </c>
      <c r="B2299" t="s">
        <v>837</v>
      </c>
      <c r="C2299" t="s">
        <v>146</v>
      </c>
      <c r="D2299" t="s">
        <v>2399</v>
      </c>
      <c r="E2299" t="s">
        <v>1886</v>
      </c>
      <c r="F2299">
        <v>16698</v>
      </c>
    </row>
    <row r="2300" spans="1:6" x14ac:dyDescent="0.25">
      <c r="A2300" t="s">
        <v>4535</v>
      </c>
      <c r="B2300" t="s">
        <v>837</v>
      </c>
      <c r="C2300" t="s">
        <v>146</v>
      </c>
      <c r="D2300" t="s">
        <v>2557</v>
      </c>
      <c r="E2300" t="s">
        <v>1876</v>
      </c>
      <c r="F2300">
        <v>11698</v>
      </c>
    </row>
    <row r="2301" spans="1:6" x14ac:dyDescent="0.25">
      <c r="A2301" t="s">
        <v>4536</v>
      </c>
      <c r="B2301" t="s">
        <v>837</v>
      </c>
      <c r="C2301" t="s">
        <v>146</v>
      </c>
      <c r="D2301" t="s">
        <v>2132</v>
      </c>
      <c r="E2301" t="s">
        <v>1871</v>
      </c>
      <c r="F2301">
        <v>3645</v>
      </c>
    </row>
    <row r="2302" spans="1:6" x14ac:dyDescent="0.25">
      <c r="A2302" t="s">
        <v>4537</v>
      </c>
      <c r="B2302" t="s">
        <v>837</v>
      </c>
      <c r="C2302" t="s">
        <v>146</v>
      </c>
      <c r="D2302" t="s">
        <v>2425</v>
      </c>
      <c r="E2302" t="s">
        <v>1879</v>
      </c>
      <c r="F2302">
        <v>13805</v>
      </c>
    </row>
    <row r="2303" spans="1:6" x14ac:dyDescent="0.25">
      <c r="A2303" t="s">
        <v>4538</v>
      </c>
      <c r="B2303" t="s">
        <v>837</v>
      </c>
      <c r="C2303" t="s">
        <v>146</v>
      </c>
      <c r="D2303" t="s">
        <v>2539</v>
      </c>
      <c r="E2303" t="s">
        <v>1915</v>
      </c>
      <c r="F2303">
        <v>8991</v>
      </c>
    </row>
    <row r="2304" spans="1:6" x14ac:dyDescent="0.25">
      <c r="A2304" t="s">
        <v>4539</v>
      </c>
      <c r="B2304" t="s">
        <v>837</v>
      </c>
      <c r="C2304" t="s">
        <v>146</v>
      </c>
      <c r="D2304" t="s">
        <v>2203</v>
      </c>
      <c r="E2304" t="s">
        <v>1876</v>
      </c>
      <c r="F2304">
        <v>16092</v>
      </c>
    </row>
    <row r="2305" spans="1:6" x14ac:dyDescent="0.25">
      <c r="A2305" t="s">
        <v>4540</v>
      </c>
      <c r="B2305" t="s">
        <v>837</v>
      </c>
      <c r="C2305" t="s">
        <v>146</v>
      </c>
      <c r="D2305" t="s">
        <v>2034</v>
      </c>
      <c r="E2305" t="s">
        <v>1879</v>
      </c>
      <c r="F2305">
        <v>16093</v>
      </c>
    </row>
    <row r="2306" spans="1:6" x14ac:dyDescent="0.25">
      <c r="A2306" t="s">
        <v>4541</v>
      </c>
      <c r="B2306" t="s">
        <v>837</v>
      </c>
      <c r="C2306" t="s">
        <v>146</v>
      </c>
      <c r="D2306" t="s">
        <v>1973</v>
      </c>
      <c r="E2306" t="s">
        <v>1915</v>
      </c>
      <c r="F2306">
        <v>64919</v>
      </c>
    </row>
    <row r="2307" spans="1:6" x14ac:dyDescent="0.25">
      <c r="A2307" t="s">
        <v>4542</v>
      </c>
      <c r="B2307" t="s">
        <v>837</v>
      </c>
      <c r="C2307" t="s">
        <v>146</v>
      </c>
      <c r="D2307" t="s">
        <v>2816</v>
      </c>
      <c r="E2307" t="s">
        <v>1871</v>
      </c>
      <c r="F2307">
        <v>24838</v>
      </c>
    </row>
    <row r="2308" spans="1:6" x14ac:dyDescent="0.25">
      <c r="A2308" t="s">
        <v>4543</v>
      </c>
      <c r="B2308" t="s">
        <v>837</v>
      </c>
      <c r="C2308" t="s">
        <v>146</v>
      </c>
      <c r="D2308" t="s">
        <v>2314</v>
      </c>
      <c r="E2308" t="s">
        <v>1871</v>
      </c>
      <c r="F2308">
        <v>30379</v>
      </c>
    </row>
    <row r="2309" spans="1:6" x14ac:dyDescent="0.25">
      <c r="A2309" t="s">
        <v>4544</v>
      </c>
      <c r="B2309" t="s">
        <v>840</v>
      </c>
      <c r="C2309" t="s">
        <v>96</v>
      </c>
      <c r="D2309" t="s">
        <v>2434</v>
      </c>
      <c r="E2309" t="s">
        <v>1886</v>
      </c>
      <c r="F2309">
        <v>19060</v>
      </c>
    </row>
    <row r="2310" spans="1:6" x14ac:dyDescent="0.25">
      <c r="A2310" t="s">
        <v>4545</v>
      </c>
      <c r="B2310" t="s">
        <v>840</v>
      </c>
      <c r="C2310" t="s">
        <v>96</v>
      </c>
      <c r="D2310" t="s">
        <v>2722</v>
      </c>
      <c r="E2310" t="s">
        <v>1915</v>
      </c>
      <c r="F2310">
        <v>45676</v>
      </c>
    </row>
    <row r="2311" spans="1:6" x14ac:dyDescent="0.25">
      <c r="A2311" t="s">
        <v>4546</v>
      </c>
      <c r="B2311" t="s">
        <v>840</v>
      </c>
      <c r="C2311" t="s">
        <v>96</v>
      </c>
      <c r="D2311" t="s">
        <v>3105</v>
      </c>
      <c r="E2311" t="s">
        <v>1886</v>
      </c>
      <c r="F2311">
        <v>8719</v>
      </c>
    </row>
    <row r="2312" spans="1:6" x14ac:dyDescent="0.25">
      <c r="A2312" t="s">
        <v>4547</v>
      </c>
      <c r="B2312" t="s">
        <v>840</v>
      </c>
      <c r="C2312" t="s">
        <v>96</v>
      </c>
      <c r="D2312" t="s">
        <v>2574</v>
      </c>
      <c r="E2312" t="s">
        <v>1886</v>
      </c>
      <c r="F2312">
        <v>32134</v>
      </c>
    </row>
    <row r="2313" spans="1:6" x14ac:dyDescent="0.25">
      <c r="A2313" t="s">
        <v>4548</v>
      </c>
      <c r="B2313" t="s">
        <v>840</v>
      </c>
      <c r="C2313" t="s">
        <v>96</v>
      </c>
      <c r="D2313" t="s">
        <v>2590</v>
      </c>
      <c r="E2313" t="s">
        <v>1879</v>
      </c>
      <c r="F2313">
        <v>30901</v>
      </c>
    </row>
    <row r="2314" spans="1:6" x14ac:dyDescent="0.25">
      <c r="A2314" t="s">
        <v>4549</v>
      </c>
      <c r="B2314" t="s">
        <v>840</v>
      </c>
      <c r="C2314" t="s">
        <v>96</v>
      </c>
      <c r="D2314" t="s">
        <v>1975</v>
      </c>
      <c r="E2314" t="s">
        <v>1915</v>
      </c>
      <c r="F2314">
        <v>13497</v>
      </c>
    </row>
    <row r="2315" spans="1:6" x14ac:dyDescent="0.25">
      <c r="A2315" t="s">
        <v>4550</v>
      </c>
      <c r="B2315" t="s">
        <v>842</v>
      </c>
      <c r="C2315" t="s">
        <v>73</v>
      </c>
      <c r="D2315" t="s">
        <v>2439</v>
      </c>
      <c r="E2315" t="s">
        <v>1879</v>
      </c>
      <c r="F2315">
        <v>874</v>
      </c>
    </row>
    <row r="2316" spans="1:6" x14ac:dyDescent="0.25">
      <c r="A2316" t="s">
        <v>4551</v>
      </c>
      <c r="B2316" t="s">
        <v>842</v>
      </c>
      <c r="C2316" t="s">
        <v>73</v>
      </c>
      <c r="D2316" t="s">
        <v>2314</v>
      </c>
      <c r="E2316" t="s">
        <v>1876</v>
      </c>
      <c r="F2316">
        <v>4552</v>
      </c>
    </row>
    <row r="2317" spans="1:6" x14ac:dyDescent="0.25">
      <c r="A2317" t="s">
        <v>4552</v>
      </c>
      <c r="B2317" t="s">
        <v>842</v>
      </c>
      <c r="C2317" t="s">
        <v>73</v>
      </c>
      <c r="D2317" t="s">
        <v>1921</v>
      </c>
      <c r="E2317" t="s">
        <v>1915</v>
      </c>
      <c r="F2317">
        <v>35236</v>
      </c>
    </row>
    <row r="2318" spans="1:6" x14ac:dyDescent="0.25">
      <c r="A2318" t="s">
        <v>4553</v>
      </c>
      <c r="B2318" t="s">
        <v>842</v>
      </c>
      <c r="C2318" t="s">
        <v>73</v>
      </c>
      <c r="D2318" t="s">
        <v>3093</v>
      </c>
      <c r="E2318" t="s">
        <v>1871</v>
      </c>
      <c r="F2318">
        <v>21398</v>
      </c>
    </row>
    <row r="2319" spans="1:6" x14ac:dyDescent="0.25">
      <c r="A2319" t="s">
        <v>4554</v>
      </c>
      <c r="B2319" t="s">
        <v>842</v>
      </c>
      <c r="C2319" t="s">
        <v>73</v>
      </c>
      <c r="D2319" t="s">
        <v>2057</v>
      </c>
      <c r="E2319" t="s">
        <v>1915</v>
      </c>
      <c r="F2319">
        <v>20791</v>
      </c>
    </row>
    <row r="2320" spans="1:6" x14ac:dyDescent="0.25">
      <c r="A2320" t="s">
        <v>4555</v>
      </c>
      <c r="B2320" t="s">
        <v>842</v>
      </c>
      <c r="C2320" t="s">
        <v>73</v>
      </c>
      <c r="D2320" t="s">
        <v>2034</v>
      </c>
      <c r="E2320" t="s">
        <v>1915</v>
      </c>
      <c r="F2320">
        <v>22356</v>
      </c>
    </row>
    <row r="2321" spans="1:6" x14ac:dyDescent="0.25">
      <c r="A2321" t="s">
        <v>4556</v>
      </c>
      <c r="B2321" t="s">
        <v>842</v>
      </c>
      <c r="C2321" t="s">
        <v>73</v>
      </c>
      <c r="D2321" t="s">
        <v>2464</v>
      </c>
      <c r="E2321" t="s">
        <v>1886</v>
      </c>
      <c r="F2321">
        <v>27040</v>
      </c>
    </row>
    <row r="2322" spans="1:6" x14ac:dyDescent="0.25">
      <c r="A2322" t="s">
        <v>4557</v>
      </c>
      <c r="B2322" t="s">
        <v>842</v>
      </c>
      <c r="C2322" t="s">
        <v>73</v>
      </c>
      <c r="D2322" t="s">
        <v>2583</v>
      </c>
      <c r="E2322" t="s">
        <v>1876</v>
      </c>
      <c r="F2322">
        <v>6034</v>
      </c>
    </row>
    <row r="2323" spans="1:6" x14ac:dyDescent="0.25">
      <c r="A2323" t="s">
        <v>4558</v>
      </c>
      <c r="B2323" t="s">
        <v>842</v>
      </c>
      <c r="C2323" t="s">
        <v>73</v>
      </c>
      <c r="D2323" t="s">
        <v>2117</v>
      </c>
      <c r="E2323" t="s">
        <v>1915</v>
      </c>
      <c r="F2323">
        <v>32693</v>
      </c>
    </row>
    <row r="2324" spans="1:6" x14ac:dyDescent="0.25">
      <c r="A2324" t="s">
        <v>4559</v>
      </c>
      <c r="B2324" t="s">
        <v>842</v>
      </c>
      <c r="C2324" t="s">
        <v>73</v>
      </c>
      <c r="D2324" t="s">
        <v>2208</v>
      </c>
      <c r="E2324" t="s">
        <v>1871</v>
      </c>
      <c r="F2324">
        <v>16934</v>
      </c>
    </row>
    <row r="2325" spans="1:6" x14ac:dyDescent="0.25">
      <c r="A2325" t="s">
        <v>4560</v>
      </c>
      <c r="B2325" t="s">
        <v>845</v>
      </c>
      <c r="C2325" t="s">
        <v>146</v>
      </c>
      <c r="D2325" t="s">
        <v>2779</v>
      </c>
      <c r="E2325" t="s">
        <v>1879</v>
      </c>
      <c r="F2325">
        <v>36313</v>
      </c>
    </row>
    <row r="2326" spans="1:6" x14ac:dyDescent="0.25">
      <c r="A2326" t="s">
        <v>4561</v>
      </c>
      <c r="B2326" t="s">
        <v>845</v>
      </c>
      <c r="C2326" t="s">
        <v>146</v>
      </c>
      <c r="D2326" t="s">
        <v>1906</v>
      </c>
      <c r="E2326" t="s">
        <v>1879</v>
      </c>
      <c r="F2326">
        <v>18857</v>
      </c>
    </row>
    <row r="2327" spans="1:6" x14ac:dyDescent="0.25">
      <c r="A2327" t="s">
        <v>4562</v>
      </c>
      <c r="B2327" t="s">
        <v>845</v>
      </c>
      <c r="C2327" t="s">
        <v>146</v>
      </c>
      <c r="D2327" t="s">
        <v>2210</v>
      </c>
      <c r="E2327" t="s">
        <v>1879</v>
      </c>
      <c r="F2327">
        <v>4492</v>
      </c>
    </row>
    <row r="2328" spans="1:6" x14ac:dyDescent="0.25">
      <c r="A2328" t="s">
        <v>4563</v>
      </c>
      <c r="B2328" t="s">
        <v>845</v>
      </c>
      <c r="C2328" t="s">
        <v>146</v>
      </c>
      <c r="D2328" t="s">
        <v>1937</v>
      </c>
      <c r="E2328" t="s">
        <v>1886</v>
      </c>
      <c r="F2328">
        <v>27759</v>
      </c>
    </row>
    <row r="2329" spans="1:6" x14ac:dyDescent="0.25">
      <c r="A2329" t="s">
        <v>4564</v>
      </c>
      <c r="B2329" t="s">
        <v>845</v>
      </c>
      <c r="C2329" t="s">
        <v>146</v>
      </c>
      <c r="D2329" t="s">
        <v>2320</v>
      </c>
      <c r="E2329" t="s">
        <v>1886</v>
      </c>
      <c r="F2329">
        <v>33659</v>
      </c>
    </row>
    <row r="2330" spans="1:6" x14ac:dyDescent="0.25">
      <c r="A2330" t="s">
        <v>4565</v>
      </c>
      <c r="B2330" t="s">
        <v>845</v>
      </c>
      <c r="C2330" t="s">
        <v>146</v>
      </c>
      <c r="D2330" t="s">
        <v>2242</v>
      </c>
      <c r="E2330" t="s">
        <v>1915</v>
      </c>
      <c r="F2330">
        <v>8221</v>
      </c>
    </row>
    <row r="2331" spans="1:6" x14ac:dyDescent="0.25">
      <c r="A2331" t="s">
        <v>4566</v>
      </c>
      <c r="B2331" t="s">
        <v>845</v>
      </c>
      <c r="C2331" t="s">
        <v>146</v>
      </c>
      <c r="D2331" t="s">
        <v>2066</v>
      </c>
      <c r="E2331" t="s">
        <v>1871</v>
      </c>
      <c r="F2331">
        <v>11890</v>
      </c>
    </row>
    <row r="2332" spans="1:6" x14ac:dyDescent="0.25">
      <c r="A2332" t="s">
        <v>4567</v>
      </c>
      <c r="B2332" t="s">
        <v>845</v>
      </c>
      <c r="C2332" t="s">
        <v>146</v>
      </c>
      <c r="D2332" t="s">
        <v>2165</v>
      </c>
      <c r="E2332" t="s">
        <v>1876</v>
      </c>
      <c r="F2332">
        <v>17827</v>
      </c>
    </row>
    <row r="2333" spans="1:6" x14ac:dyDescent="0.25">
      <c r="A2333" t="s">
        <v>4568</v>
      </c>
      <c r="B2333" t="s">
        <v>847</v>
      </c>
      <c r="C2333" t="s">
        <v>96</v>
      </c>
      <c r="D2333" t="s">
        <v>2051</v>
      </c>
      <c r="E2333" t="s">
        <v>1871</v>
      </c>
      <c r="F2333">
        <v>11545</v>
      </c>
    </row>
    <row r="2334" spans="1:6" x14ac:dyDescent="0.25">
      <c r="A2334" t="s">
        <v>4569</v>
      </c>
      <c r="B2334" t="s">
        <v>847</v>
      </c>
      <c r="C2334" t="s">
        <v>96</v>
      </c>
      <c r="D2334" t="s">
        <v>2034</v>
      </c>
      <c r="E2334" t="s">
        <v>1915</v>
      </c>
      <c r="F2334">
        <v>37693</v>
      </c>
    </row>
    <row r="2335" spans="1:6" x14ac:dyDescent="0.25">
      <c r="A2335" t="s">
        <v>4570</v>
      </c>
      <c r="B2335" t="s">
        <v>847</v>
      </c>
      <c r="C2335" t="s">
        <v>96</v>
      </c>
      <c r="D2335" t="s">
        <v>2042</v>
      </c>
      <c r="E2335" t="s">
        <v>1915</v>
      </c>
      <c r="F2335">
        <v>32231</v>
      </c>
    </row>
    <row r="2336" spans="1:6" x14ac:dyDescent="0.25">
      <c r="A2336" t="s">
        <v>4571</v>
      </c>
      <c r="B2336" t="s">
        <v>847</v>
      </c>
      <c r="C2336" t="s">
        <v>96</v>
      </c>
      <c r="D2336" t="s">
        <v>2175</v>
      </c>
      <c r="E2336" t="s">
        <v>1879</v>
      </c>
      <c r="F2336">
        <v>7520</v>
      </c>
    </row>
    <row r="2337" spans="1:6" x14ac:dyDescent="0.25">
      <c r="A2337" t="s">
        <v>4572</v>
      </c>
      <c r="B2337" t="s">
        <v>847</v>
      </c>
      <c r="C2337" t="s">
        <v>96</v>
      </c>
      <c r="D2337" t="s">
        <v>2378</v>
      </c>
      <c r="E2337" t="s">
        <v>1871</v>
      </c>
      <c r="F2337">
        <v>22071</v>
      </c>
    </row>
    <row r="2338" spans="1:6" x14ac:dyDescent="0.25">
      <c r="A2338" t="s">
        <v>4573</v>
      </c>
      <c r="B2338" t="s">
        <v>847</v>
      </c>
      <c r="C2338" t="s">
        <v>96</v>
      </c>
      <c r="D2338" t="s">
        <v>2302</v>
      </c>
      <c r="E2338" t="s">
        <v>1879</v>
      </c>
      <c r="F2338">
        <v>5486</v>
      </c>
    </row>
    <row r="2339" spans="1:6" x14ac:dyDescent="0.25">
      <c r="A2339" t="s">
        <v>4574</v>
      </c>
      <c r="B2339" t="s">
        <v>847</v>
      </c>
      <c r="C2339" t="s">
        <v>96</v>
      </c>
      <c r="D2339" t="s">
        <v>2515</v>
      </c>
      <c r="E2339" t="s">
        <v>1879</v>
      </c>
      <c r="F2339">
        <v>19755</v>
      </c>
    </row>
    <row r="2340" spans="1:6" x14ac:dyDescent="0.25">
      <c r="A2340" t="s">
        <v>4575</v>
      </c>
      <c r="B2340" t="s">
        <v>847</v>
      </c>
      <c r="C2340" t="s">
        <v>96</v>
      </c>
      <c r="D2340" t="s">
        <v>2779</v>
      </c>
      <c r="E2340" t="s">
        <v>1876</v>
      </c>
      <c r="F2340">
        <v>23045</v>
      </c>
    </row>
    <row r="2341" spans="1:6" x14ac:dyDescent="0.25">
      <c r="A2341" t="s">
        <v>4576</v>
      </c>
      <c r="B2341" t="s">
        <v>847</v>
      </c>
      <c r="C2341" t="s">
        <v>96</v>
      </c>
      <c r="D2341" t="s">
        <v>1870</v>
      </c>
      <c r="E2341" t="s">
        <v>1871</v>
      </c>
      <c r="F2341">
        <v>25707</v>
      </c>
    </row>
    <row r="2342" spans="1:6" x14ac:dyDescent="0.25">
      <c r="A2342" t="s">
        <v>4577</v>
      </c>
      <c r="B2342" t="s">
        <v>847</v>
      </c>
      <c r="C2342" t="s">
        <v>96</v>
      </c>
      <c r="D2342" t="s">
        <v>2328</v>
      </c>
      <c r="E2342" t="s">
        <v>1879</v>
      </c>
      <c r="F2342">
        <v>7457</v>
      </c>
    </row>
    <row r="2343" spans="1:6" x14ac:dyDescent="0.25">
      <c r="A2343" t="s">
        <v>4578</v>
      </c>
      <c r="B2343" t="s">
        <v>847</v>
      </c>
      <c r="C2343" t="s">
        <v>96</v>
      </c>
      <c r="D2343" t="s">
        <v>2362</v>
      </c>
      <c r="E2343" t="s">
        <v>1871</v>
      </c>
      <c r="F2343">
        <v>27791</v>
      </c>
    </row>
    <row r="2344" spans="1:6" x14ac:dyDescent="0.25">
      <c r="A2344" t="s">
        <v>4579</v>
      </c>
      <c r="B2344" t="s">
        <v>850</v>
      </c>
      <c r="C2344" t="s">
        <v>73</v>
      </c>
      <c r="D2344" t="s">
        <v>1898</v>
      </c>
      <c r="E2344" t="s">
        <v>1915</v>
      </c>
      <c r="F2344">
        <v>33780</v>
      </c>
    </row>
    <row r="2345" spans="1:6" x14ac:dyDescent="0.25">
      <c r="A2345" t="s">
        <v>4580</v>
      </c>
      <c r="B2345" t="s">
        <v>850</v>
      </c>
      <c r="C2345" t="s">
        <v>73</v>
      </c>
      <c r="D2345" t="s">
        <v>2132</v>
      </c>
      <c r="E2345" t="s">
        <v>1871</v>
      </c>
      <c r="F2345">
        <v>4718</v>
      </c>
    </row>
    <row r="2346" spans="1:6" x14ac:dyDescent="0.25">
      <c r="A2346" t="s">
        <v>4581</v>
      </c>
      <c r="B2346" t="s">
        <v>850</v>
      </c>
      <c r="C2346" t="s">
        <v>73</v>
      </c>
      <c r="D2346" t="s">
        <v>2565</v>
      </c>
      <c r="E2346" t="s">
        <v>1879</v>
      </c>
      <c r="F2346">
        <v>8350</v>
      </c>
    </row>
    <row r="2347" spans="1:6" x14ac:dyDescent="0.25">
      <c r="A2347" t="s">
        <v>4582</v>
      </c>
      <c r="B2347" t="s">
        <v>850</v>
      </c>
      <c r="C2347" t="s">
        <v>73</v>
      </c>
      <c r="D2347" t="s">
        <v>2519</v>
      </c>
      <c r="E2347" t="s">
        <v>1879</v>
      </c>
      <c r="F2347">
        <v>25945</v>
      </c>
    </row>
    <row r="2348" spans="1:6" x14ac:dyDescent="0.25">
      <c r="A2348" t="s">
        <v>4583</v>
      </c>
      <c r="B2348" t="s">
        <v>850</v>
      </c>
      <c r="C2348" t="s">
        <v>73</v>
      </c>
      <c r="D2348" t="s">
        <v>2068</v>
      </c>
      <c r="E2348" t="s">
        <v>1915</v>
      </c>
      <c r="F2348">
        <v>29282</v>
      </c>
    </row>
    <row r="2349" spans="1:6" x14ac:dyDescent="0.25">
      <c r="A2349" t="s">
        <v>4584</v>
      </c>
      <c r="B2349" t="s">
        <v>850</v>
      </c>
      <c r="C2349" t="s">
        <v>73</v>
      </c>
      <c r="D2349" t="s">
        <v>2302</v>
      </c>
      <c r="E2349" t="s">
        <v>1876</v>
      </c>
      <c r="F2349">
        <v>9701</v>
      </c>
    </row>
    <row r="2350" spans="1:6" x14ac:dyDescent="0.25">
      <c r="A2350" t="s">
        <v>4585</v>
      </c>
      <c r="B2350" t="s">
        <v>850</v>
      </c>
      <c r="C2350" t="s">
        <v>73</v>
      </c>
      <c r="D2350" t="s">
        <v>2212</v>
      </c>
      <c r="E2350" t="s">
        <v>1879</v>
      </c>
      <c r="F2350">
        <v>6280</v>
      </c>
    </row>
    <row r="2351" spans="1:6" x14ac:dyDescent="0.25">
      <c r="A2351" t="s">
        <v>4586</v>
      </c>
      <c r="B2351" t="s">
        <v>853</v>
      </c>
      <c r="C2351" t="s">
        <v>96</v>
      </c>
      <c r="D2351" t="s">
        <v>2857</v>
      </c>
      <c r="E2351" t="s">
        <v>1915</v>
      </c>
      <c r="F2351">
        <v>4934</v>
      </c>
    </row>
    <row r="2352" spans="1:6" x14ac:dyDescent="0.25">
      <c r="A2352" t="s">
        <v>4587</v>
      </c>
      <c r="B2352" t="s">
        <v>853</v>
      </c>
      <c r="C2352" t="s">
        <v>96</v>
      </c>
      <c r="D2352" t="s">
        <v>2914</v>
      </c>
      <c r="E2352" t="s">
        <v>1879</v>
      </c>
      <c r="F2352">
        <v>8962</v>
      </c>
    </row>
    <row r="2353" spans="1:6" x14ac:dyDescent="0.25">
      <c r="A2353" t="s">
        <v>4588</v>
      </c>
      <c r="B2353" t="s">
        <v>853</v>
      </c>
      <c r="C2353" t="s">
        <v>96</v>
      </c>
      <c r="D2353" t="s">
        <v>3076</v>
      </c>
      <c r="E2353" t="s">
        <v>1915</v>
      </c>
      <c r="F2353">
        <v>32814</v>
      </c>
    </row>
    <row r="2354" spans="1:6" x14ac:dyDescent="0.25">
      <c r="A2354" t="s">
        <v>4589</v>
      </c>
      <c r="B2354" t="s">
        <v>853</v>
      </c>
      <c r="C2354" t="s">
        <v>96</v>
      </c>
      <c r="D2354" t="s">
        <v>2104</v>
      </c>
      <c r="E2354" t="s">
        <v>1886</v>
      </c>
      <c r="F2354">
        <v>13924</v>
      </c>
    </row>
    <row r="2355" spans="1:6" x14ac:dyDescent="0.25">
      <c r="A2355" t="s">
        <v>4590</v>
      </c>
      <c r="B2355" t="s">
        <v>853</v>
      </c>
      <c r="C2355" t="s">
        <v>96</v>
      </c>
      <c r="D2355" t="s">
        <v>2059</v>
      </c>
      <c r="E2355" t="s">
        <v>1876</v>
      </c>
      <c r="F2355">
        <v>11963</v>
      </c>
    </row>
    <row r="2356" spans="1:6" x14ac:dyDescent="0.25">
      <c r="A2356" t="s">
        <v>4591</v>
      </c>
      <c r="B2356" t="s">
        <v>853</v>
      </c>
      <c r="C2356" t="s">
        <v>96</v>
      </c>
      <c r="D2356" t="s">
        <v>2378</v>
      </c>
      <c r="E2356" t="s">
        <v>1915</v>
      </c>
      <c r="F2356">
        <v>36204</v>
      </c>
    </row>
    <row r="2357" spans="1:6" x14ac:dyDescent="0.25">
      <c r="A2357" t="s">
        <v>4592</v>
      </c>
      <c r="B2357" t="s">
        <v>853</v>
      </c>
      <c r="C2357" t="s">
        <v>96</v>
      </c>
      <c r="D2357" t="s">
        <v>2590</v>
      </c>
      <c r="E2357" t="s">
        <v>1871</v>
      </c>
      <c r="F2357">
        <v>8482</v>
      </c>
    </row>
    <row r="2358" spans="1:6" x14ac:dyDescent="0.25">
      <c r="A2358" t="s">
        <v>4593</v>
      </c>
      <c r="B2358" t="s">
        <v>853</v>
      </c>
      <c r="C2358" t="s">
        <v>96</v>
      </c>
      <c r="D2358" t="s">
        <v>2051</v>
      </c>
      <c r="E2358" t="s">
        <v>1879</v>
      </c>
      <c r="F2358">
        <v>6575</v>
      </c>
    </row>
    <row r="2359" spans="1:6" x14ac:dyDescent="0.25">
      <c r="A2359" t="s">
        <v>4594</v>
      </c>
      <c r="B2359" t="s">
        <v>853</v>
      </c>
      <c r="C2359" t="s">
        <v>96</v>
      </c>
      <c r="D2359" t="s">
        <v>2708</v>
      </c>
      <c r="E2359" t="s">
        <v>1879</v>
      </c>
      <c r="F2359">
        <v>9692</v>
      </c>
    </row>
    <row r="2360" spans="1:6" x14ac:dyDescent="0.25">
      <c r="A2360" t="s">
        <v>4595</v>
      </c>
      <c r="B2360" t="s">
        <v>856</v>
      </c>
      <c r="C2360" t="s">
        <v>146</v>
      </c>
      <c r="D2360" t="s">
        <v>2068</v>
      </c>
      <c r="E2360" t="s">
        <v>1915</v>
      </c>
      <c r="F2360">
        <v>4141</v>
      </c>
    </row>
    <row r="2361" spans="1:6" x14ac:dyDescent="0.25">
      <c r="A2361" t="s">
        <v>4596</v>
      </c>
      <c r="B2361" t="s">
        <v>856</v>
      </c>
      <c r="C2361" t="s">
        <v>146</v>
      </c>
      <c r="D2361" t="s">
        <v>2028</v>
      </c>
      <c r="E2361" t="s">
        <v>1879</v>
      </c>
      <c r="F2361">
        <v>1704</v>
      </c>
    </row>
    <row r="2362" spans="1:6" x14ac:dyDescent="0.25">
      <c r="A2362" t="s">
        <v>4597</v>
      </c>
      <c r="B2362" t="s">
        <v>856</v>
      </c>
      <c r="C2362" t="s">
        <v>146</v>
      </c>
      <c r="D2362" t="s">
        <v>1892</v>
      </c>
      <c r="E2362" t="s">
        <v>1876</v>
      </c>
      <c r="F2362">
        <v>30338</v>
      </c>
    </row>
    <row r="2363" spans="1:6" x14ac:dyDescent="0.25">
      <c r="A2363" t="s">
        <v>4598</v>
      </c>
      <c r="B2363" t="s">
        <v>856</v>
      </c>
      <c r="C2363" t="s">
        <v>146</v>
      </c>
      <c r="D2363" t="s">
        <v>1910</v>
      </c>
      <c r="E2363" t="s">
        <v>1915</v>
      </c>
      <c r="F2363">
        <v>5436</v>
      </c>
    </row>
    <row r="2364" spans="1:6" x14ac:dyDescent="0.25">
      <c r="A2364" t="s">
        <v>4599</v>
      </c>
      <c r="B2364" t="s">
        <v>856</v>
      </c>
      <c r="C2364" t="s">
        <v>146</v>
      </c>
      <c r="D2364" t="s">
        <v>2034</v>
      </c>
      <c r="E2364" t="s">
        <v>1871</v>
      </c>
      <c r="F2364">
        <v>6941</v>
      </c>
    </row>
    <row r="2365" spans="1:6" x14ac:dyDescent="0.25">
      <c r="A2365" t="s">
        <v>4600</v>
      </c>
      <c r="B2365" t="s">
        <v>856</v>
      </c>
      <c r="C2365" t="s">
        <v>146</v>
      </c>
      <c r="D2365" t="s">
        <v>2305</v>
      </c>
      <c r="E2365" t="s">
        <v>1879</v>
      </c>
      <c r="F2365">
        <v>22237</v>
      </c>
    </row>
    <row r="2366" spans="1:6" x14ac:dyDescent="0.25">
      <c r="A2366" t="s">
        <v>4601</v>
      </c>
      <c r="B2366" t="s">
        <v>859</v>
      </c>
      <c r="C2366" t="s">
        <v>87</v>
      </c>
      <c r="D2366" t="s">
        <v>3142</v>
      </c>
      <c r="E2366" t="s">
        <v>1915</v>
      </c>
      <c r="F2366">
        <v>62846</v>
      </c>
    </row>
    <row r="2367" spans="1:6" x14ac:dyDescent="0.25">
      <c r="A2367" t="s">
        <v>4602</v>
      </c>
      <c r="B2367" t="s">
        <v>859</v>
      </c>
      <c r="C2367" t="s">
        <v>87</v>
      </c>
      <c r="D2367" t="s">
        <v>2230</v>
      </c>
      <c r="E2367" t="s">
        <v>1915</v>
      </c>
      <c r="F2367">
        <v>6027</v>
      </c>
    </row>
    <row r="2368" spans="1:6" x14ac:dyDescent="0.25">
      <c r="A2368" t="s">
        <v>4603</v>
      </c>
      <c r="B2368" t="s">
        <v>859</v>
      </c>
      <c r="C2368" t="s">
        <v>87</v>
      </c>
      <c r="D2368" t="s">
        <v>3615</v>
      </c>
      <c r="E2368" t="s">
        <v>1915</v>
      </c>
      <c r="F2368">
        <v>29199</v>
      </c>
    </row>
    <row r="2369" spans="1:6" x14ac:dyDescent="0.25">
      <c r="A2369" t="s">
        <v>4604</v>
      </c>
      <c r="B2369" t="s">
        <v>859</v>
      </c>
      <c r="C2369" t="s">
        <v>87</v>
      </c>
      <c r="D2369" t="s">
        <v>1980</v>
      </c>
      <c r="E2369" t="s">
        <v>1879</v>
      </c>
      <c r="F2369">
        <v>15247</v>
      </c>
    </row>
    <row r="2370" spans="1:6" x14ac:dyDescent="0.25">
      <c r="A2370" t="s">
        <v>4605</v>
      </c>
      <c r="B2370" t="s">
        <v>859</v>
      </c>
      <c r="C2370" t="s">
        <v>87</v>
      </c>
      <c r="D2370" t="s">
        <v>2894</v>
      </c>
      <c r="E2370" t="s">
        <v>1876</v>
      </c>
      <c r="F2370">
        <v>27739</v>
      </c>
    </row>
    <row r="2371" spans="1:6" x14ac:dyDescent="0.25">
      <c r="A2371" t="s">
        <v>4606</v>
      </c>
      <c r="B2371" t="s">
        <v>859</v>
      </c>
      <c r="C2371" t="s">
        <v>87</v>
      </c>
      <c r="D2371" t="s">
        <v>3115</v>
      </c>
      <c r="E2371" t="s">
        <v>1871</v>
      </c>
      <c r="F2371">
        <v>33655</v>
      </c>
    </row>
    <row r="2372" spans="1:6" x14ac:dyDescent="0.25">
      <c r="A2372" t="s">
        <v>4607</v>
      </c>
      <c r="B2372" t="s">
        <v>859</v>
      </c>
      <c r="C2372" t="s">
        <v>87</v>
      </c>
      <c r="D2372" t="s">
        <v>2978</v>
      </c>
      <c r="E2372" t="s">
        <v>1871</v>
      </c>
      <c r="F2372">
        <v>41102</v>
      </c>
    </row>
    <row r="2373" spans="1:6" x14ac:dyDescent="0.25">
      <c r="A2373" t="s">
        <v>4608</v>
      </c>
      <c r="B2373" t="s">
        <v>862</v>
      </c>
      <c r="C2373" t="s">
        <v>51</v>
      </c>
      <c r="D2373" t="s">
        <v>2198</v>
      </c>
      <c r="E2373" t="s">
        <v>1876</v>
      </c>
      <c r="F2373">
        <v>492</v>
      </c>
    </row>
    <row r="2374" spans="1:6" x14ac:dyDescent="0.25">
      <c r="A2374" t="s">
        <v>4609</v>
      </c>
      <c r="B2374" t="s">
        <v>862</v>
      </c>
      <c r="C2374" t="s">
        <v>51</v>
      </c>
      <c r="D2374" t="s">
        <v>1900</v>
      </c>
      <c r="E2374" t="s">
        <v>1871</v>
      </c>
      <c r="F2374">
        <v>20222</v>
      </c>
    </row>
    <row r="2375" spans="1:6" x14ac:dyDescent="0.25">
      <c r="A2375" t="s">
        <v>4610</v>
      </c>
      <c r="B2375" t="s">
        <v>862</v>
      </c>
      <c r="C2375" t="s">
        <v>51</v>
      </c>
      <c r="D2375" t="s">
        <v>2513</v>
      </c>
      <c r="E2375" t="s">
        <v>1886</v>
      </c>
      <c r="F2375">
        <v>26967</v>
      </c>
    </row>
    <row r="2376" spans="1:6" x14ac:dyDescent="0.25">
      <c r="A2376" t="s">
        <v>4611</v>
      </c>
      <c r="B2376" t="s">
        <v>862</v>
      </c>
      <c r="C2376" t="s">
        <v>51</v>
      </c>
      <c r="D2376" t="s">
        <v>2649</v>
      </c>
      <c r="E2376" t="s">
        <v>1886</v>
      </c>
      <c r="F2376">
        <v>10063</v>
      </c>
    </row>
    <row r="2377" spans="1:6" x14ac:dyDescent="0.25">
      <c r="A2377" t="s">
        <v>4612</v>
      </c>
      <c r="B2377" t="s">
        <v>862</v>
      </c>
      <c r="C2377" t="s">
        <v>51</v>
      </c>
      <c r="D2377" t="s">
        <v>2593</v>
      </c>
      <c r="E2377" t="s">
        <v>1886</v>
      </c>
      <c r="F2377">
        <v>29809</v>
      </c>
    </row>
    <row r="2378" spans="1:6" x14ac:dyDescent="0.25">
      <c r="A2378" t="s">
        <v>4613</v>
      </c>
      <c r="B2378" t="s">
        <v>862</v>
      </c>
      <c r="C2378" t="s">
        <v>51</v>
      </c>
      <c r="D2378" t="s">
        <v>2580</v>
      </c>
      <c r="E2378" t="s">
        <v>1879</v>
      </c>
      <c r="F2378">
        <v>15967</v>
      </c>
    </row>
    <row r="2379" spans="1:6" x14ac:dyDescent="0.25">
      <c r="A2379" t="s">
        <v>4614</v>
      </c>
      <c r="B2379" t="s">
        <v>865</v>
      </c>
      <c r="C2379" t="s">
        <v>87</v>
      </c>
      <c r="D2379" t="s">
        <v>2965</v>
      </c>
      <c r="E2379" t="s">
        <v>1879</v>
      </c>
      <c r="F2379">
        <v>15430</v>
      </c>
    </row>
    <row r="2380" spans="1:6" x14ac:dyDescent="0.25">
      <c r="A2380" t="s">
        <v>4615</v>
      </c>
      <c r="B2380" t="s">
        <v>865</v>
      </c>
      <c r="C2380" t="s">
        <v>87</v>
      </c>
      <c r="D2380" t="s">
        <v>2628</v>
      </c>
      <c r="E2380" t="s">
        <v>1871</v>
      </c>
      <c r="F2380">
        <v>42897</v>
      </c>
    </row>
    <row r="2381" spans="1:6" x14ac:dyDescent="0.25">
      <c r="A2381" t="s">
        <v>4616</v>
      </c>
      <c r="B2381" t="s">
        <v>865</v>
      </c>
      <c r="C2381" t="s">
        <v>87</v>
      </c>
      <c r="D2381" t="s">
        <v>2000</v>
      </c>
      <c r="E2381" t="s">
        <v>1886</v>
      </c>
      <c r="F2381">
        <v>13873</v>
      </c>
    </row>
    <row r="2382" spans="1:6" x14ac:dyDescent="0.25">
      <c r="A2382" t="s">
        <v>4617</v>
      </c>
      <c r="B2382" t="s">
        <v>865</v>
      </c>
      <c r="C2382" t="s">
        <v>87</v>
      </c>
      <c r="D2382" t="s">
        <v>1992</v>
      </c>
      <c r="E2382" t="s">
        <v>1886</v>
      </c>
      <c r="F2382">
        <v>28982</v>
      </c>
    </row>
    <row r="2383" spans="1:6" x14ac:dyDescent="0.25">
      <c r="A2383" t="s">
        <v>4618</v>
      </c>
      <c r="B2383" t="s">
        <v>865</v>
      </c>
      <c r="C2383" t="s">
        <v>87</v>
      </c>
      <c r="D2383" t="s">
        <v>2068</v>
      </c>
      <c r="E2383" t="s">
        <v>1876</v>
      </c>
      <c r="F2383">
        <v>17990</v>
      </c>
    </row>
    <row r="2384" spans="1:6" x14ac:dyDescent="0.25">
      <c r="A2384" t="s">
        <v>4619</v>
      </c>
      <c r="B2384" t="s">
        <v>865</v>
      </c>
      <c r="C2384" t="s">
        <v>87</v>
      </c>
      <c r="D2384" t="s">
        <v>2030</v>
      </c>
      <c r="E2384" t="s">
        <v>1915</v>
      </c>
      <c r="F2384">
        <v>39901</v>
      </c>
    </row>
    <row r="2385" spans="1:6" x14ac:dyDescent="0.25">
      <c r="A2385" t="s">
        <v>4620</v>
      </c>
      <c r="B2385" t="s">
        <v>868</v>
      </c>
      <c r="C2385" t="s">
        <v>51</v>
      </c>
      <c r="D2385" t="s">
        <v>2770</v>
      </c>
      <c r="E2385" t="s">
        <v>1886</v>
      </c>
      <c r="F2385">
        <v>34731</v>
      </c>
    </row>
    <row r="2386" spans="1:6" x14ac:dyDescent="0.25">
      <c r="A2386" t="s">
        <v>4621</v>
      </c>
      <c r="B2386" t="s">
        <v>868</v>
      </c>
      <c r="C2386" t="s">
        <v>51</v>
      </c>
      <c r="D2386" t="s">
        <v>2956</v>
      </c>
      <c r="E2386" t="s">
        <v>1876</v>
      </c>
      <c r="F2386">
        <v>30713</v>
      </c>
    </row>
    <row r="2387" spans="1:6" x14ac:dyDescent="0.25">
      <c r="A2387" t="s">
        <v>4622</v>
      </c>
      <c r="B2387" t="s">
        <v>868</v>
      </c>
      <c r="C2387" t="s">
        <v>51</v>
      </c>
      <c r="D2387" t="s">
        <v>2038</v>
      </c>
      <c r="E2387" t="s">
        <v>1915</v>
      </c>
      <c r="F2387">
        <v>8319</v>
      </c>
    </row>
    <row r="2388" spans="1:6" x14ac:dyDescent="0.25">
      <c r="A2388" t="s">
        <v>4623</v>
      </c>
      <c r="B2388" t="s">
        <v>868</v>
      </c>
      <c r="C2388" t="s">
        <v>51</v>
      </c>
      <c r="D2388" t="s">
        <v>2252</v>
      </c>
      <c r="E2388" t="s">
        <v>1915</v>
      </c>
      <c r="F2388">
        <v>36229</v>
      </c>
    </row>
    <row r="2389" spans="1:6" x14ac:dyDescent="0.25">
      <c r="A2389" t="s">
        <v>4624</v>
      </c>
      <c r="B2389" t="s">
        <v>868</v>
      </c>
      <c r="C2389" t="s">
        <v>51</v>
      </c>
      <c r="D2389" t="s">
        <v>2042</v>
      </c>
      <c r="E2389" t="s">
        <v>1915</v>
      </c>
      <c r="F2389">
        <v>35440</v>
      </c>
    </row>
    <row r="2390" spans="1:6" x14ac:dyDescent="0.25">
      <c r="A2390" t="s">
        <v>4625</v>
      </c>
      <c r="B2390" t="s">
        <v>868</v>
      </c>
      <c r="C2390" t="s">
        <v>51</v>
      </c>
      <c r="D2390" t="s">
        <v>2134</v>
      </c>
      <c r="E2390" t="s">
        <v>1871</v>
      </c>
      <c r="F2390">
        <v>15626</v>
      </c>
    </row>
    <row r="2391" spans="1:6" x14ac:dyDescent="0.25">
      <c r="A2391" t="s">
        <v>4626</v>
      </c>
      <c r="B2391" t="s">
        <v>868</v>
      </c>
      <c r="C2391" t="s">
        <v>51</v>
      </c>
      <c r="D2391" t="s">
        <v>2051</v>
      </c>
      <c r="E2391" t="s">
        <v>1915</v>
      </c>
      <c r="F2391">
        <v>50398</v>
      </c>
    </row>
    <row r="2392" spans="1:6" x14ac:dyDescent="0.25">
      <c r="A2392" t="s">
        <v>4627</v>
      </c>
      <c r="B2392" t="s">
        <v>871</v>
      </c>
      <c r="C2392" t="s">
        <v>96</v>
      </c>
      <c r="D2392" t="s">
        <v>1992</v>
      </c>
      <c r="E2392" t="s">
        <v>1915</v>
      </c>
      <c r="F2392">
        <v>9036</v>
      </c>
    </row>
    <row r="2393" spans="1:6" x14ac:dyDescent="0.25">
      <c r="A2393" t="s">
        <v>4628</v>
      </c>
      <c r="B2393" t="s">
        <v>871</v>
      </c>
      <c r="C2393" t="s">
        <v>96</v>
      </c>
      <c r="D2393" t="s">
        <v>2522</v>
      </c>
      <c r="E2393" t="s">
        <v>1879</v>
      </c>
      <c r="F2393">
        <v>7407</v>
      </c>
    </row>
    <row r="2394" spans="1:6" x14ac:dyDescent="0.25">
      <c r="A2394" t="s">
        <v>4629</v>
      </c>
      <c r="B2394" t="s">
        <v>871</v>
      </c>
      <c r="C2394" t="s">
        <v>96</v>
      </c>
      <c r="D2394" t="s">
        <v>2093</v>
      </c>
      <c r="E2394" t="s">
        <v>1871</v>
      </c>
      <c r="F2394">
        <v>34390</v>
      </c>
    </row>
    <row r="2395" spans="1:6" x14ac:dyDescent="0.25">
      <c r="A2395" t="s">
        <v>4630</v>
      </c>
      <c r="B2395" t="s">
        <v>871</v>
      </c>
      <c r="C2395" t="s">
        <v>96</v>
      </c>
      <c r="D2395" t="s">
        <v>2053</v>
      </c>
      <c r="E2395" t="s">
        <v>1876</v>
      </c>
      <c r="F2395">
        <v>9407</v>
      </c>
    </row>
    <row r="2396" spans="1:6" x14ac:dyDescent="0.25">
      <c r="A2396" t="s">
        <v>4631</v>
      </c>
      <c r="B2396" t="s">
        <v>871</v>
      </c>
      <c r="C2396" t="s">
        <v>96</v>
      </c>
      <c r="D2396" t="s">
        <v>2183</v>
      </c>
      <c r="E2396" t="s">
        <v>1915</v>
      </c>
      <c r="F2396">
        <v>5434</v>
      </c>
    </row>
    <row r="2397" spans="1:6" x14ac:dyDescent="0.25">
      <c r="A2397" t="s">
        <v>4632</v>
      </c>
      <c r="B2397" t="s">
        <v>871</v>
      </c>
      <c r="C2397" t="s">
        <v>96</v>
      </c>
      <c r="D2397" t="s">
        <v>2044</v>
      </c>
      <c r="E2397" t="s">
        <v>1915</v>
      </c>
      <c r="F2397">
        <v>10361</v>
      </c>
    </row>
    <row r="2398" spans="1:6" x14ac:dyDescent="0.25">
      <c r="A2398" t="s">
        <v>4633</v>
      </c>
      <c r="B2398" t="s">
        <v>871</v>
      </c>
      <c r="C2398" t="s">
        <v>96</v>
      </c>
      <c r="D2398" t="s">
        <v>2425</v>
      </c>
      <c r="E2398" t="s">
        <v>1871</v>
      </c>
      <c r="F2398">
        <v>32884</v>
      </c>
    </row>
    <row r="2399" spans="1:6" x14ac:dyDescent="0.25">
      <c r="A2399" t="s">
        <v>4634</v>
      </c>
      <c r="B2399" t="s">
        <v>871</v>
      </c>
      <c r="C2399" t="s">
        <v>96</v>
      </c>
      <c r="D2399" t="s">
        <v>3110</v>
      </c>
      <c r="E2399" t="s">
        <v>1871</v>
      </c>
      <c r="F2399">
        <v>6658</v>
      </c>
    </row>
    <row r="2400" spans="1:6" x14ac:dyDescent="0.25">
      <c r="A2400" t="s">
        <v>4635</v>
      </c>
      <c r="B2400" t="s">
        <v>871</v>
      </c>
      <c r="C2400" t="s">
        <v>96</v>
      </c>
      <c r="D2400" t="s">
        <v>2378</v>
      </c>
      <c r="E2400" t="s">
        <v>1876</v>
      </c>
      <c r="F2400">
        <v>18650</v>
      </c>
    </row>
    <row r="2401" spans="1:6" x14ac:dyDescent="0.25">
      <c r="A2401" t="s">
        <v>4636</v>
      </c>
      <c r="B2401" t="s">
        <v>871</v>
      </c>
      <c r="C2401" t="s">
        <v>96</v>
      </c>
      <c r="D2401" t="s">
        <v>1980</v>
      </c>
      <c r="E2401" t="s">
        <v>1915</v>
      </c>
      <c r="F2401">
        <v>42830</v>
      </c>
    </row>
    <row r="2402" spans="1:6" x14ac:dyDescent="0.25">
      <c r="A2402" t="s">
        <v>4637</v>
      </c>
      <c r="B2402" t="s">
        <v>871</v>
      </c>
      <c r="C2402" t="s">
        <v>96</v>
      </c>
      <c r="D2402" t="s">
        <v>2624</v>
      </c>
      <c r="E2402" t="s">
        <v>1915</v>
      </c>
      <c r="F2402">
        <v>2464</v>
      </c>
    </row>
    <row r="2403" spans="1:6" x14ac:dyDescent="0.25">
      <c r="A2403" t="s">
        <v>4638</v>
      </c>
      <c r="B2403" t="s">
        <v>874</v>
      </c>
      <c r="C2403" t="s">
        <v>73</v>
      </c>
      <c r="D2403" t="s">
        <v>2269</v>
      </c>
      <c r="E2403" t="s">
        <v>1879</v>
      </c>
      <c r="F2403">
        <v>25892</v>
      </c>
    </row>
    <row r="2404" spans="1:6" x14ac:dyDescent="0.25">
      <c r="A2404" t="s">
        <v>4639</v>
      </c>
      <c r="B2404" t="s">
        <v>874</v>
      </c>
      <c r="C2404" t="s">
        <v>73</v>
      </c>
      <c r="D2404" t="s">
        <v>2269</v>
      </c>
      <c r="E2404" t="s">
        <v>1879</v>
      </c>
      <c r="F2404">
        <v>30402</v>
      </c>
    </row>
    <row r="2405" spans="1:6" x14ac:dyDescent="0.25">
      <c r="A2405" t="s">
        <v>4640</v>
      </c>
      <c r="B2405" t="s">
        <v>874</v>
      </c>
      <c r="C2405" t="s">
        <v>73</v>
      </c>
      <c r="D2405" t="s">
        <v>2708</v>
      </c>
      <c r="E2405" t="s">
        <v>1871</v>
      </c>
      <c r="F2405">
        <v>48940</v>
      </c>
    </row>
    <row r="2406" spans="1:6" x14ac:dyDescent="0.25">
      <c r="A2406" t="s">
        <v>4641</v>
      </c>
      <c r="B2406" t="s">
        <v>874</v>
      </c>
      <c r="C2406" t="s">
        <v>73</v>
      </c>
      <c r="D2406" t="s">
        <v>2005</v>
      </c>
      <c r="E2406" t="s">
        <v>1879</v>
      </c>
      <c r="F2406">
        <v>10109</v>
      </c>
    </row>
    <row r="2407" spans="1:6" x14ac:dyDescent="0.25">
      <c r="A2407" t="s">
        <v>4642</v>
      </c>
      <c r="B2407" t="s">
        <v>874</v>
      </c>
      <c r="C2407" t="s">
        <v>73</v>
      </c>
      <c r="D2407" t="s">
        <v>2097</v>
      </c>
      <c r="E2407" t="s">
        <v>1876</v>
      </c>
      <c r="F2407">
        <v>54951</v>
      </c>
    </row>
    <row r="2408" spans="1:6" x14ac:dyDescent="0.25">
      <c r="A2408" t="s">
        <v>4643</v>
      </c>
      <c r="B2408" t="s">
        <v>874</v>
      </c>
      <c r="C2408" t="s">
        <v>73</v>
      </c>
      <c r="D2408" t="s">
        <v>2000</v>
      </c>
      <c r="E2408" t="s">
        <v>1876</v>
      </c>
      <c r="F2408">
        <v>45116</v>
      </c>
    </row>
    <row r="2409" spans="1:6" x14ac:dyDescent="0.25">
      <c r="A2409" t="s">
        <v>4644</v>
      </c>
      <c r="B2409" t="s">
        <v>874</v>
      </c>
      <c r="C2409" t="s">
        <v>73</v>
      </c>
      <c r="D2409" t="s">
        <v>1957</v>
      </c>
      <c r="E2409" t="s">
        <v>1871</v>
      </c>
      <c r="F2409">
        <v>30348</v>
      </c>
    </row>
    <row r="2410" spans="1:6" x14ac:dyDescent="0.25">
      <c r="A2410" t="s">
        <v>4645</v>
      </c>
      <c r="B2410" t="s">
        <v>874</v>
      </c>
      <c r="C2410" t="s">
        <v>73</v>
      </c>
      <c r="D2410" t="s">
        <v>2267</v>
      </c>
      <c r="E2410" t="s">
        <v>1871</v>
      </c>
      <c r="F2410">
        <v>44326</v>
      </c>
    </row>
    <row r="2411" spans="1:6" x14ac:dyDescent="0.25">
      <c r="A2411" t="s">
        <v>4646</v>
      </c>
      <c r="B2411" t="s">
        <v>874</v>
      </c>
      <c r="C2411" t="s">
        <v>73</v>
      </c>
      <c r="D2411" t="s">
        <v>3040</v>
      </c>
      <c r="E2411" t="s">
        <v>1915</v>
      </c>
      <c r="F2411">
        <v>81321</v>
      </c>
    </row>
    <row r="2412" spans="1:6" x14ac:dyDescent="0.25">
      <c r="A2412" t="s">
        <v>4647</v>
      </c>
      <c r="B2412" t="s">
        <v>874</v>
      </c>
      <c r="C2412" t="s">
        <v>73</v>
      </c>
      <c r="D2412" t="s">
        <v>2130</v>
      </c>
      <c r="E2412" t="s">
        <v>1876</v>
      </c>
      <c r="F2412">
        <v>37578</v>
      </c>
    </row>
    <row r="2413" spans="1:6" x14ac:dyDescent="0.25">
      <c r="A2413" t="s">
        <v>4648</v>
      </c>
      <c r="B2413" t="s">
        <v>877</v>
      </c>
      <c r="C2413" t="s">
        <v>96</v>
      </c>
      <c r="D2413" t="s">
        <v>2699</v>
      </c>
      <c r="E2413" t="s">
        <v>1915</v>
      </c>
      <c r="F2413">
        <v>43180</v>
      </c>
    </row>
    <row r="2414" spans="1:6" x14ac:dyDescent="0.25">
      <c r="A2414" t="s">
        <v>4649</v>
      </c>
      <c r="B2414" t="s">
        <v>877</v>
      </c>
      <c r="C2414" t="s">
        <v>96</v>
      </c>
      <c r="D2414" t="s">
        <v>2779</v>
      </c>
      <c r="E2414" t="s">
        <v>1871</v>
      </c>
      <c r="F2414">
        <v>14395</v>
      </c>
    </row>
    <row r="2415" spans="1:6" x14ac:dyDescent="0.25">
      <c r="A2415" t="s">
        <v>4650</v>
      </c>
      <c r="B2415" t="s">
        <v>877</v>
      </c>
      <c r="C2415" t="s">
        <v>96</v>
      </c>
      <c r="D2415" t="s">
        <v>2857</v>
      </c>
      <c r="E2415" t="s">
        <v>1871</v>
      </c>
      <c r="F2415">
        <v>4419</v>
      </c>
    </row>
    <row r="2416" spans="1:6" x14ac:dyDescent="0.25">
      <c r="A2416" t="s">
        <v>4651</v>
      </c>
      <c r="B2416" t="s">
        <v>877</v>
      </c>
      <c r="C2416" t="s">
        <v>96</v>
      </c>
      <c r="D2416" t="s">
        <v>2747</v>
      </c>
      <c r="E2416" t="s">
        <v>1876</v>
      </c>
      <c r="F2416">
        <v>17667</v>
      </c>
    </row>
    <row r="2417" spans="1:6" x14ac:dyDescent="0.25">
      <c r="A2417" t="s">
        <v>4652</v>
      </c>
      <c r="B2417" t="s">
        <v>877</v>
      </c>
      <c r="C2417" t="s">
        <v>96</v>
      </c>
      <c r="D2417" t="s">
        <v>2338</v>
      </c>
      <c r="E2417" t="s">
        <v>1915</v>
      </c>
      <c r="F2417">
        <v>5460</v>
      </c>
    </row>
    <row r="2418" spans="1:6" x14ac:dyDescent="0.25">
      <c r="A2418" t="s">
        <v>4653</v>
      </c>
      <c r="B2418" t="s">
        <v>877</v>
      </c>
      <c r="C2418" t="s">
        <v>96</v>
      </c>
      <c r="D2418" t="s">
        <v>2048</v>
      </c>
      <c r="E2418" t="s">
        <v>1871</v>
      </c>
      <c r="F2418">
        <v>3938</v>
      </c>
    </row>
    <row r="2419" spans="1:6" x14ac:dyDescent="0.25">
      <c r="A2419" t="s">
        <v>4654</v>
      </c>
      <c r="B2419" t="s">
        <v>877</v>
      </c>
      <c r="C2419" t="s">
        <v>96</v>
      </c>
      <c r="D2419" t="s">
        <v>2057</v>
      </c>
      <c r="E2419" t="s">
        <v>1876</v>
      </c>
      <c r="F2419">
        <v>4194</v>
      </c>
    </row>
    <row r="2420" spans="1:6" x14ac:dyDescent="0.25">
      <c r="A2420" t="s">
        <v>4655</v>
      </c>
      <c r="B2420" t="s">
        <v>877</v>
      </c>
      <c r="C2420" t="s">
        <v>96</v>
      </c>
      <c r="D2420" t="s">
        <v>2295</v>
      </c>
      <c r="E2420" t="s">
        <v>1886</v>
      </c>
      <c r="F2420">
        <v>32532</v>
      </c>
    </row>
    <row r="2421" spans="1:6" x14ac:dyDescent="0.25">
      <c r="A2421" t="s">
        <v>4656</v>
      </c>
      <c r="B2421" t="s">
        <v>877</v>
      </c>
      <c r="C2421" t="s">
        <v>96</v>
      </c>
      <c r="D2421" t="s">
        <v>1949</v>
      </c>
      <c r="E2421" t="s">
        <v>1879</v>
      </c>
      <c r="F2421">
        <v>17668</v>
      </c>
    </row>
    <row r="2422" spans="1:6" x14ac:dyDescent="0.25">
      <c r="A2422" t="s">
        <v>4657</v>
      </c>
      <c r="B2422" t="s">
        <v>877</v>
      </c>
      <c r="C2422" t="s">
        <v>96</v>
      </c>
      <c r="D2422" t="s">
        <v>2491</v>
      </c>
      <c r="E2422" t="s">
        <v>1871</v>
      </c>
      <c r="F2422">
        <v>530</v>
      </c>
    </row>
    <row r="2423" spans="1:6" x14ac:dyDescent="0.25">
      <c r="A2423" t="s">
        <v>4658</v>
      </c>
      <c r="B2423" t="s">
        <v>877</v>
      </c>
      <c r="C2423" t="s">
        <v>96</v>
      </c>
      <c r="D2423" t="s">
        <v>2849</v>
      </c>
      <c r="E2423" t="s">
        <v>1876</v>
      </c>
      <c r="F2423">
        <v>26367</v>
      </c>
    </row>
    <row r="2424" spans="1:6" x14ac:dyDescent="0.25">
      <c r="A2424" t="s">
        <v>4659</v>
      </c>
      <c r="B2424" t="s">
        <v>880</v>
      </c>
      <c r="C2424" t="s">
        <v>146</v>
      </c>
      <c r="D2424" t="s">
        <v>2878</v>
      </c>
      <c r="E2424" t="s">
        <v>1876</v>
      </c>
      <c r="F2424">
        <v>8662</v>
      </c>
    </row>
    <row r="2425" spans="1:6" x14ac:dyDescent="0.25">
      <c r="A2425" t="s">
        <v>4660</v>
      </c>
      <c r="B2425" t="s">
        <v>880</v>
      </c>
      <c r="C2425" t="s">
        <v>146</v>
      </c>
      <c r="D2425" t="s">
        <v>2030</v>
      </c>
      <c r="E2425" t="s">
        <v>1876</v>
      </c>
      <c r="F2425">
        <v>19575</v>
      </c>
    </row>
    <row r="2426" spans="1:6" x14ac:dyDescent="0.25">
      <c r="A2426" t="s">
        <v>4661</v>
      </c>
      <c r="B2426" t="s">
        <v>880</v>
      </c>
      <c r="C2426" t="s">
        <v>146</v>
      </c>
      <c r="D2426" t="s">
        <v>2048</v>
      </c>
      <c r="E2426" t="s">
        <v>1879</v>
      </c>
      <c r="F2426">
        <v>19371</v>
      </c>
    </row>
    <row r="2427" spans="1:6" x14ac:dyDescent="0.25">
      <c r="A2427" t="s">
        <v>4662</v>
      </c>
      <c r="B2427" t="s">
        <v>880</v>
      </c>
      <c r="C2427" t="s">
        <v>146</v>
      </c>
      <c r="D2427" t="s">
        <v>2441</v>
      </c>
      <c r="E2427" t="s">
        <v>1876</v>
      </c>
      <c r="F2427">
        <v>10269</v>
      </c>
    </row>
    <row r="2428" spans="1:6" x14ac:dyDescent="0.25">
      <c r="A2428" t="s">
        <v>4663</v>
      </c>
      <c r="B2428" t="s">
        <v>880</v>
      </c>
      <c r="C2428" t="s">
        <v>146</v>
      </c>
      <c r="D2428" t="s">
        <v>3174</v>
      </c>
      <c r="E2428" t="s">
        <v>1886</v>
      </c>
      <c r="F2428">
        <v>29038</v>
      </c>
    </row>
    <row r="2429" spans="1:6" x14ac:dyDescent="0.25">
      <c r="A2429" t="s">
        <v>4664</v>
      </c>
      <c r="B2429" t="s">
        <v>880</v>
      </c>
      <c r="C2429" t="s">
        <v>146</v>
      </c>
      <c r="D2429" t="s">
        <v>2232</v>
      </c>
      <c r="E2429" t="s">
        <v>1871</v>
      </c>
      <c r="F2429">
        <v>2735</v>
      </c>
    </row>
    <row r="2430" spans="1:6" x14ac:dyDescent="0.25">
      <c r="A2430" t="s">
        <v>4665</v>
      </c>
      <c r="B2430" t="s">
        <v>880</v>
      </c>
      <c r="C2430" t="s">
        <v>146</v>
      </c>
      <c r="D2430" t="s">
        <v>2130</v>
      </c>
      <c r="E2430" t="s">
        <v>1879</v>
      </c>
      <c r="F2430">
        <v>17996</v>
      </c>
    </row>
    <row r="2431" spans="1:6" x14ac:dyDescent="0.25">
      <c r="A2431" t="s">
        <v>4666</v>
      </c>
      <c r="B2431" t="s">
        <v>880</v>
      </c>
      <c r="C2431" t="s">
        <v>146</v>
      </c>
      <c r="D2431" t="s">
        <v>1990</v>
      </c>
      <c r="E2431" t="s">
        <v>1886</v>
      </c>
      <c r="F2431">
        <v>18076</v>
      </c>
    </row>
    <row r="2432" spans="1:6" x14ac:dyDescent="0.25">
      <c r="A2432" t="s">
        <v>4667</v>
      </c>
      <c r="B2432" t="s">
        <v>880</v>
      </c>
      <c r="C2432" t="s">
        <v>146</v>
      </c>
      <c r="D2432" t="s">
        <v>2722</v>
      </c>
      <c r="E2432" t="s">
        <v>1871</v>
      </c>
      <c r="F2432">
        <v>2718</v>
      </c>
    </row>
    <row r="2433" spans="1:6" x14ac:dyDescent="0.25">
      <c r="A2433" t="s">
        <v>4668</v>
      </c>
      <c r="B2433" t="s">
        <v>880</v>
      </c>
      <c r="C2433" t="s">
        <v>146</v>
      </c>
      <c r="D2433" t="s">
        <v>2706</v>
      </c>
      <c r="E2433" t="s">
        <v>1886</v>
      </c>
      <c r="F2433">
        <v>16998</v>
      </c>
    </row>
    <row r="2434" spans="1:6" x14ac:dyDescent="0.25">
      <c r="A2434" t="s">
        <v>4669</v>
      </c>
      <c r="B2434" t="s">
        <v>883</v>
      </c>
      <c r="C2434" t="s">
        <v>73</v>
      </c>
      <c r="D2434" t="s">
        <v>2878</v>
      </c>
      <c r="E2434" t="s">
        <v>1871</v>
      </c>
      <c r="F2434">
        <v>16315</v>
      </c>
    </row>
    <row r="2435" spans="1:6" x14ac:dyDescent="0.25">
      <c r="A2435" t="s">
        <v>4670</v>
      </c>
      <c r="B2435" t="s">
        <v>883</v>
      </c>
      <c r="C2435" t="s">
        <v>73</v>
      </c>
      <c r="D2435" t="s">
        <v>1885</v>
      </c>
      <c r="E2435" t="s">
        <v>1915</v>
      </c>
      <c r="F2435">
        <v>22254</v>
      </c>
    </row>
    <row r="2436" spans="1:6" x14ac:dyDescent="0.25">
      <c r="A2436" t="s">
        <v>4671</v>
      </c>
      <c r="B2436" t="s">
        <v>883</v>
      </c>
      <c r="C2436" t="s">
        <v>73</v>
      </c>
      <c r="D2436" t="s">
        <v>2735</v>
      </c>
      <c r="E2436" t="s">
        <v>1879</v>
      </c>
      <c r="F2436">
        <v>24006</v>
      </c>
    </row>
    <row r="2437" spans="1:6" x14ac:dyDescent="0.25">
      <c r="A2437" t="s">
        <v>4672</v>
      </c>
      <c r="B2437" t="s">
        <v>883</v>
      </c>
      <c r="C2437" t="s">
        <v>73</v>
      </c>
      <c r="D2437" t="s">
        <v>2502</v>
      </c>
      <c r="E2437" t="s">
        <v>1915</v>
      </c>
      <c r="F2437">
        <v>32124</v>
      </c>
    </row>
    <row r="2438" spans="1:6" x14ac:dyDescent="0.25">
      <c r="A2438" t="s">
        <v>4673</v>
      </c>
      <c r="B2438" t="s">
        <v>883</v>
      </c>
      <c r="C2438" t="s">
        <v>73</v>
      </c>
      <c r="D2438" t="s">
        <v>2610</v>
      </c>
      <c r="E2438" t="s">
        <v>1879</v>
      </c>
      <c r="F2438">
        <v>24302</v>
      </c>
    </row>
    <row r="2439" spans="1:6" x14ac:dyDescent="0.25">
      <c r="A2439" t="s">
        <v>4674</v>
      </c>
      <c r="B2439" t="s">
        <v>883</v>
      </c>
      <c r="C2439" t="s">
        <v>73</v>
      </c>
      <c r="D2439" t="s">
        <v>3188</v>
      </c>
      <c r="E2439" t="s">
        <v>1871</v>
      </c>
      <c r="F2439">
        <v>6328</v>
      </c>
    </row>
    <row r="2440" spans="1:6" x14ac:dyDescent="0.25">
      <c r="A2440" t="s">
        <v>4675</v>
      </c>
      <c r="B2440" t="s">
        <v>883</v>
      </c>
      <c r="C2440" t="s">
        <v>73</v>
      </c>
      <c r="D2440" t="s">
        <v>2095</v>
      </c>
      <c r="E2440" t="s">
        <v>1879</v>
      </c>
      <c r="F2440">
        <v>16396</v>
      </c>
    </row>
    <row r="2441" spans="1:6" x14ac:dyDescent="0.25">
      <c r="A2441" t="s">
        <v>4676</v>
      </c>
      <c r="B2441" t="s">
        <v>883</v>
      </c>
      <c r="C2441" t="s">
        <v>73</v>
      </c>
      <c r="D2441" t="s">
        <v>3062</v>
      </c>
      <c r="E2441" t="s">
        <v>1915</v>
      </c>
      <c r="F2441">
        <v>39634</v>
      </c>
    </row>
    <row r="2442" spans="1:6" x14ac:dyDescent="0.25">
      <c r="A2442" t="s">
        <v>4677</v>
      </c>
      <c r="B2442" t="s">
        <v>886</v>
      </c>
      <c r="C2442" t="s">
        <v>96</v>
      </c>
      <c r="D2442" t="s">
        <v>2331</v>
      </c>
      <c r="E2442" t="s">
        <v>1915</v>
      </c>
      <c r="F2442">
        <v>14686</v>
      </c>
    </row>
    <row r="2443" spans="1:6" x14ac:dyDescent="0.25">
      <c r="A2443" t="s">
        <v>4678</v>
      </c>
      <c r="B2443" t="s">
        <v>886</v>
      </c>
      <c r="C2443" t="s">
        <v>96</v>
      </c>
      <c r="D2443" t="s">
        <v>2077</v>
      </c>
      <c r="E2443" t="s">
        <v>1871</v>
      </c>
      <c r="F2443">
        <v>12581</v>
      </c>
    </row>
    <row r="2444" spans="1:6" x14ac:dyDescent="0.25">
      <c r="A2444" t="s">
        <v>4679</v>
      </c>
      <c r="B2444" t="s">
        <v>886</v>
      </c>
      <c r="C2444" t="s">
        <v>96</v>
      </c>
      <c r="D2444" t="s">
        <v>1992</v>
      </c>
      <c r="E2444" t="s">
        <v>1879</v>
      </c>
      <c r="F2444">
        <v>9536</v>
      </c>
    </row>
    <row r="2445" spans="1:6" x14ac:dyDescent="0.25">
      <c r="A2445" t="s">
        <v>4680</v>
      </c>
      <c r="B2445" t="s">
        <v>886</v>
      </c>
      <c r="C2445" t="s">
        <v>96</v>
      </c>
      <c r="D2445" t="s">
        <v>2316</v>
      </c>
      <c r="E2445" t="s">
        <v>1879</v>
      </c>
      <c r="F2445">
        <v>7829</v>
      </c>
    </row>
    <row r="2446" spans="1:6" x14ac:dyDescent="0.25">
      <c r="A2446" t="s">
        <v>4681</v>
      </c>
      <c r="B2446" t="s">
        <v>886</v>
      </c>
      <c r="C2446" t="s">
        <v>96</v>
      </c>
      <c r="D2446" t="s">
        <v>1894</v>
      </c>
      <c r="E2446" t="s">
        <v>1915</v>
      </c>
      <c r="F2446">
        <v>15417</v>
      </c>
    </row>
    <row r="2447" spans="1:6" x14ac:dyDescent="0.25">
      <c r="A2447" t="s">
        <v>4682</v>
      </c>
      <c r="B2447" t="s">
        <v>886</v>
      </c>
      <c r="C2447" t="s">
        <v>96</v>
      </c>
      <c r="D2447" t="s">
        <v>1892</v>
      </c>
      <c r="E2447" t="s">
        <v>1879</v>
      </c>
      <c r="F2447">
        <v>13819</v>
      </c>
    </row>
    <row r="2448" spans="1:6" x14ac:dyDescent="0.25">
      <c r="A2448" t="s">
        <v>4683</v>
      </c>
      <c r="B2448" t="s">
        <v>886</v>
      </c>
      <c r="C2448" t="s">
        <v>96</v>
      </c>
      <c r="D2448" t="s">
        <v>2378</v>
      </c>
      <c r="E2448" t="s">
        <v>1886</v>
      </c>
      <c r="F2448">
        <v>9114</v>
      </c>
    </row>
    <row r="2449" spans="1:6" x14ac:dyDescent="0.25">
      <c r="A2449" t="s">
        <v>4684</v>
      </c>
      <c r="B2449" t="s">
        <v>886</v>
      </c>
      <c r="C2449" t="s">
        <v>96</v>
      </c>
      <c r="D2449" t="s">
        <v>2468</v>
      </c>
      <c r="E2449" t="s">
        <v>1871</v>
      </c>
      <c r="F2449">
        <v>5201</v>
      </c>
    </row>
    <row r="2450" spans="1:6" x14ac:dyDescent="0.25">
      <c r="A2450" t="s">
        <v>4685</v>
      </c>
      <c r="B2450" t="s">
        <v>886</v>
      </c>
      <c r="C2450" t="s">
        <v>96</v>
      </c>
      <c r="D2450" t="s">
        <v>2412</v>
      </c>
      <c r="E2450" t="s">
        <v>1886</v>
      </c>
      <c r="F2450">
        <v>25478</v>
      </c>
    </row>
    <row r="2451" spans="1:6" x14ac:dyDescent="0.25">
      <c r="A2451" t="s">
        <v>4686</v>
      </c>
      <c r="B2451" t="s">
        <v>886</v>
      </c>
      <c r="C2451" t="s">
        <v>96</v>
      </c>
      <c r="D2451" t="s">
        <v>1982</v>
      </c>
      <c r="E2451" t="s">
        <v>1915</v>
      </c>
      <c r="F2451">
        <v>4209</v>
      </c>
    </row>
    <row r="2452" spans="1:6" x14ac:dyDescent="0.25">
      <c r="A2452" t="s">
        <v>4687</v>
      </c>
      <c r="B2452" t="s">
        <v>886</v>
      </c>
      <c r="C2452" t="s">
        <v>96</v>
      </c>
      <c r="D2452" t="s">
        <v>2302</v>
      </c>
      <c r="E2452" t="s">
        <v>1915</v>
      </c>
      <c r="F2452">
        <v>14491</v>
      </c>
    </row>
    <row r="2453" spans="1:6" x14ac:dyDescent="0.25">
      <c r="A2453" t="s">
        <v>4688</v>
      </c>
      <c r="B2453" t="s">
        <v>886</v>
      </c>
      <c r="C2453" t="s">
        <v>96</v>
      </c>
      <c r="D2453" t="s">
        <v>2409</v>
      </c>
      <c r="E2453" t="s">
        <v>1915</v>
      </c>
      <c r="F2453">
        <v>9041</v>
      </c>
    </row>
    <row r="2454" spans="1:6" x14ac:dyDescent="0.25">
      <c r="A2454" t="s">
        <v>4689</v>
      </c>
      <c r="B2454" t="s">
        <v>889</v>
      </c>
      <c r="C2454" t="s">
        <v>87</v>
      </c>
      <c r="D2454" t="s">
        <v>2181</v>
      </c>
      <c r="E2454" t="s">
        <v>1915</v>
      </c>
      <c r="F2454">
        <v>3766</v>
      </c>
    </row>
    <row r="2455" spans="1:6" x14ac:dyDescent="0.25">
      <c r="A2455" t="s">
        <v>4690</v>
      </c>
      <c r="B2455" t="s">
        <v>889</v>
      </c>
      <c r="C2455" t="s">
        <v>87</v>
      </c>
      <c r="D2455" t="s">
        <v>1480</v>
      </c>
      <c r="E2455" t="s">
        <v>1871</v>
      </c>
      <c r="F2455">
        <v>3066</v>
      </c>
    </row>
    <row r="2456" spans="1:6" x14ac:dyDescent="0.25">
      <c r="A2456" t="s">
        <v>4691</v>
      </c>
      <c r="B2456" t="s">
        <v>889</v>
      </c>
      <c r="C2456" t="s">
        <v>87</v>
      </c>
      <c r="D2456" t="s">
        <v>3030</v>
      </c>
      <c r="E2456" t="s">
        <v>1871</v>
      </c>
      <c r="F2456">
        <v>16021</v>
      </c>
    </row>
    <row r="2457" spans="1:6" x14ac:dyDescent="0.25">
      <c r="A2457" t="s">
        <v>4692</v>
      </c>
      <c r="B2457" t="s">
        <v>889</v>
      </c>
      <c r="C2457" t="s">
        <v>87</v>
      </c>
      <c r="D2457" t="s">
        <v>2312</v>
      </c>
      <c r="E2457" t="s">
        <v>1879</v>
      </c>
      <c r="F2457">
        <v>23579</v>
      </c>
    </row>
    <row r="2458" spans="1:6" x14ac:dyDescent="0.25">
      <c r="A2458" t="s">
        <v>4693</v>
      </c>
      <c r="B2458" t="s">
        <v>889</v>
      </c>
      <c r="C2458" t="s">
        <v>87</v>
      </c>
      <c r="D2458" t="s">
        <v>2143</v>
      </c>
      <c r="E2458" t="s">
        <v>1876</v>
      </c>
      <c r="F2458">
        <v>23924</v>
      </c>
    </row>
    <row r="2459" spans="1:6" x14ac:dyDescent="0.25">
      <c r="A2459" t="s">
        <v>4694</v>
      </c>
      <c r="B2459" t="s">
        <v>889</v>
      </c>
      <c r="C2459" t="s">
        <v>87</v>
      </c>
      <c r="D2459" t="s">
        <v>3174</v>
      </c>
      <c r="E2459" t="s">
        <v>1915</v>
      </c>
      <c r="F2459">
        <v>7934</v>
      </c>
    </row>
    <row r="2460" spans="1:6" x14ac:dyDescent="0.25">
      <c r="A2460" t="s">
        <v>4695</v>
      </c>
      <c r="B2460" t="s">
        <v>889</v>
      </c>
      <c r="C2460" t="s">
        <v>87</v>
      </c>
      <c r="D2460" t="s">
        <v>2939</v>
      </c>
      <c r="E2460" t="s">
        <v>1915</v>
      </c>
      <c r="F2460">
        <v>33721</v>
      </c>
    </row>
    <row r="2461" spans="1:6" x14ac:dyDescent="0.25">
      <c r="A2461" t="s">
        <v>4696</v>
      </c>
      <c r="B2461" t="s">
        <v>889</v>
      </c>
      <c r="C2461" t="s">
        <v>87</v>
      </c>
      <c r="D2461" t="s">
        <v>2661</v>
      </c>
      <c r="E2461" t="s">
        <v>1915</v>
      </c>
      <c r="F2461">
        <v>12318</v>
      </c>
    </row>
    <row r="2462" spans="1:6" x14ac:dyDescent="0.25">
      <c r="A2462" t="s">
        <v>4697</v>
      </c>
      <c r="B2462" t="s">
        <v>889</v>
      </c>
      <c r="C2462" t="s">
        <v>87</v>
      </c>
      <c r="D2462" t="s">
        <v>2628</v>
      </c>
      <c r="E2462" t="s">
        <v>1915</v>
      </c>
      <c r="F2462">
        <v>15995</v>
      </c>
    </row>
    <row r="2463" spans="1:6" x14ac:dyDescent="0.25">
      <c r="A2463" t="s">
        <v>4698</v>
      </c>
      <c r="B2463" t="s">
        <v>892</v>
      </c>
      <c r="C2463" t="s">
        <v>73</v>
      </c>
      <c r="D2463" t="s">
        <v>2720</v>
      </c>
      <c r="E2463" t="s">
        <v>1876</v>
      </c>
      <c r="F2463">
        <v>26384</v>
      </c>
    </row>
    <row r="2464" spans="1:6" x14ac:dyDescent="0.25">
      <c r="A2464" t="s">
        <v>4699</v>
      </c>
      <c r="B2464" t="s">
        <v>892</v>
      </c>
      <c r="C2464" t="s">
        <v>73</v>
      </c>
      <c r="D2464" t="s">
        <v>1890</v>
      </c>
      <c r="E2464" t="s">
        <v>1876</v>
      </c>
      <c r="F2464">
        <v>13846</v>
      </c>
    </row>
    <row r="2465" spans="1:6" x14ac:dyDescent="0.25">
      <c r="A2465" t="s">
        <v>4700</v>
      </c>
      <c r="B2465" t="s">
        <v>892</v>
      </c>
      <c r="C2465" t="s">
        <v>73</v>
      </c>
      <c r="D2465" t="s">
        <v>2145</v>
      </c>
      <c r="E2465" t="s">
        <v>1886</v>
      </c>
      <c r="F2465">
        <v>25343</v>
      </c>
    </row>
    <row r="2466" spans="1:6" x14ac:dyDescent="0.25">
      <c r="A2466" t="s">
        <v>4701</v>
      </c>
      <c r="B2466" t="s">
        <v>892</v>
      </c>
      <c r="C2466" t="s">
        <v>73</v>
      </c>
      <c r="D2466" t="s">
        <v>2593</v>
      </c>
      <c r="E2466" t="s">
        <v>1915</v>
      </c>
      <c r="F2466">
        <v>54856</v>
      </c>
    </row>
    <row r="2467" spans="1:6" x14ac:dyDescent="0.25">
      <c r="A2467" t="s">
        <v>4702</v>
      </c>
      <c r="B2467" t="s">
        <v>892</v>
      </c>
      <c r="C2467" t="s">
        <v>73</v>
      </c>
      <c r="D2467" t="s">
        <v>1875</v>
      </c>
      <c r="E2467" t="s">
        <v>1915</v>
      </c>
      <c r="F2467">
        <v>56410</v>
      </c>
    </row>
    <row r="2468" spans="1:6" x14ac:dyDescent="0.25">
      <c r="A2468" t="s">
        <v>4703</v>
      </c>
      <c r="B2468" t="s">
        <v>892</v>
      </c>
      <c r="C2468" t="s">
        <v>73</v>
      </c>
      <c r="D2468" t="s">
        <v>2378</v>
      </c>
      <c r="E2468" t="s">
        <v>1886</v>
      </c>
      <c r="F2468">
        <v>7702</v>
      </c>
    </row>
    <row r="2469" spans="1:6" x14ac:dyDescent="0.25">
      <c r="A2469" t="s">
        <v>4704</v>
      </c>
      <c r="B2469" t="s">
        <v>892</v>
      </c>
      <c r="C2469" t="s">
        <v>73</v>
      </c>
      <c r="D2469" t="s">
        <v>3174</v>
      </c>
      <c r="E2469" t="s">
        <v>1879</v>
      </c>
      <c r="F2469">
        <v>11543</v>
      </c>
    </row>
    <row r="2470" spans="1:6" x14ac:dyDescent="0.25">
      <c r="A2470" t="s">
        <v>4705</v>
      </c>
      <c r="B2470" t="s">
        <v>892</v>
      </c>
      <c r="C2470" t="s">
        <v>73</v>
      </c>
      <c r="D2470" t="s">
        <v>1980</v>
      </c>
      <c r="E2470" t="s">
        <v>1871</v>
      </c>
      <c r="F2470">
        <v>49425</v>
      </c>
    </row>
    <row r="2471" spans="1:6" x14ac:dyDescent="0.25">
      <c r="A2471" t="s">
        <v>4706</v>
      </c>
      <c r="B2471" t="s">
        <v>892</v>
      </c>
      <c r="C2471" t="s">
        <v>73</v>
      </c>
      <c r="D2471" t="s">
        <v>2993</v>
      </c>
      <c r="E2471" t="s">
        <v>1879</v>
      </c>
      <c r="F2471">
        <v>36236</v>
      </c>
    </row>
    <row r="2472" spans="1:6" x14ac:dyDescent="0.25">
      <c r="A2472" t="s">
        <v>4707</v>
      </c>
      <c r="B2472" t="s">
        <v>892</v>
      </c>
      <c r="C2472" t="s">
        <v>73</v>
      </c>
      <c r="D2472" t="s">
        <v>1960</v>
      </c>
      <c r="E2472" t="s">
        <v>1886</v>
      </c>
      <c r="F2472">
        <v>29660</v>
      </c>
    </row>
    <row r="2473" spans="1:6" x14ac:dyDescent="0.25">
      <c r="A2473" t="s">
        <v>4708</v>
      </c>
      <c r="B2473" t="s">
        <v>895</v>
      </c>
      <c r="C2473" t="s">
        <v>87</v>
      </c>
      <c r="D2473" t="s">
        <v>1878</v>
      </c>
      <c r="E2473" t="s">
        <v>1871</v>
      </c>
      <c r="F2473">
        <v>12252</v>
      </c>
    </row>
    <row r="2474" spans="1:6" x14ac:dyDescent="0.25">
      <c r="A2474" t="s">
        <v>4709</v>
      </c>
      <c r="B2474" t="s">
        <v>895</v>
      </c>
      <c r="C2474" t="s">
        <v>87</v>
      </c>
      <c r="D2474" t="s">
        <v>2032</v>
      </c>
      <c r="E2474" t="s">
        <v>1876</v>
      </c>
      <c r="F2474">
        <v>3231</v>
      </c>
    </row>
    <row r="2475" spans="1:6" x14ac:dyDescent="0.25">
      <c r="A2475" t="s">
        <v>4710</v>
      </c>
      <c r="B2475" t="s">
        <v>895</v>
      </c>
      <c r="C2475" t="s">
        <v>87</v>
      </c>
      <c r="D2475" t="s">
        <v>2300</v>
      </c>
      <c r="E2475" t="s">
        <v>1879</v>
      </c>
      <c r="F2475">
        <v>18360</v>
      </c>
    </row>
    <row r="2476" spans="1:6" x14ac:dyDescent="0.25">
      <c r="A2476" t="s">
        <v>4711</v>
      </c>
      <c r="B2476" t="s">
        <v>895</v>
      </c>
      <c r="C2476" t="s">
        <v>87</v>
      </c>
      <c r="D2476" t="s">
        <v>2346</v>
      </c>
      <c r="E2476" t="s">
        <v>1915</v>
      </c>
      <c r="F2476">
        <v>19913</v>
      </c>
    </row>
    <row r="2477" spans="1:6" x14ac:dyDescent="0.25">
      <c r="A2477" t="s">
        <v>4712</v>
      </c>
      <c r="B2477" t="s">
        <v>895</v>
      </c>
      <c r="C2477" t="s">
        <v>87</v>
      </c>
      <c r="D2477" t="s">
        <v>2061</v>
      </c>
      <c r="E2477" t="s">
        <v>1879</v>
      </c>
      <c r="F2477">
        <v>13285</v>
      </c>
    </row>
    <row r="2478" spans="1:6" x14ac:dyDescent="0.25">
      <c r="A2478" t="s">
        <v>4713</v>
      </c>
      <c r="B2478" t="s">
        <v>895</v>
      </c>
      <c r="C2478" t="s">
        <v>87</v>
      </c>
      <c r="D2478" t="s">
        <v>2228</v>
      </c>
      <c r="E2478" t="s">
        <v>1876</v>
      </c>
      <c r="F2478">
        <v>18763</v>
      </c>
    </row>
    <row r="2479" spans="1:6" x14ac:dyDescent="0.25">
      <c r="A2479" t="s">
        <v>4714</v>
      </c>
      <c r="B2479" t="s">
        <v>895</v>
      </c>
      <c r="C2479" t="s">
        <v>87</v>
      </c>
      <c r="D2479" t="s">
        <v>1925</v>
      </c>
      <c r="E2479" t="s">
        <v>1876</v>
      </c>
      <c r="F2479">
        <v>7113</v>
      </c>
    </row>
    <row r="2480" spans="1:6" x14ac:dyDescent="0.25">
      <c r="A2480" t="s">
        <v>4715</v>
      </c>
      <c r="B2480" t="s">
        <v>895</v>
      </c>
      <c r="C2480" t="s">
        <v>87</v>
      </c>
      <c r="D2480" t="s">
        <v>2314</v>
      </c>
      <c r="E2480" t="s">
        <v>1871</v>
      </c>
      <c r="F2480">
        <v>7345</v>
      </c>
    </row>
    <row r="2481" spans="1:6" x14ac:dyDescent="0.25">
      <c r="A2481" t="s">
        <v>4716</v>
      </c>
      <c r="B2481" t="s">
        <v>895</v>
      </c>
      <c r="C2481" t="s">
        <v>87</v>
      </c>
      <c r="D2481" t="s">
        <v>2002</v>
      </c>
      <c r="E2481" t="s">
        <v>1871</v>
      </c>
      <c r="F2481">
        <v>2619</v>
      </c>
    </row>
    <row r="2482" spans="1:6" x14ac:dyDescent="0.25">
      <c r="A2482" t="s">
        <v>4717</v>
      </c>
      <c r="B2482" t="s">
        <v>895</v>
      </c>
      <c r="C2482" t="s">
        <v>87</v>
      </c>
      <c r="D2482" t="s">
        <v>3242</v>
      </c>
      <c r="E2482" t="s">
        <v>1879</v>
      </c>
      <c r="F2482">
        <v>7833</v>
      </c>
    </row>
    <row r="2483" spans="1:6" x14ac:dyDescent="0.25">
      <c r="A2483" t="s">
        <v>4718</v>
      </c>
      <c r="B2483" t="s">
        <v>895</v>
      </c>
      <c r="C2483" t="s">
        <v>87</v>
      </c>
      <c r="D2483" t="s">
        <v>2175</v>
      </c>
      <c r="E2483" t="s">
        <v>1915</v>
      </c>
      <c r="F2483">
        <v>31187</v>
      </c>
    </row>
    <row r="2484" spans="1:6" x14ac:dyDescent="0.25">
      <c r="A2484" t="s">
        <v>4719</v>
      </c>
      <c r="B2484" t="s">
        <v>895</v>
      </c>
      <c r="C2484" t="s">
        <v>87</v>
      </c>
      <c r="D2484" t="s">
        <v>2307</v>
      </c>
      <c r="E2484" t="s">
        <v>1915</v>
      </c>
      <c r="F2484">
        <v>24158</v>
      </c>
    </row>
    <row r="2485" spans="1:6" x14ac:dyDescent="0.25">
      <c r="A2485" t="s">
        <v>4720</v>
      </c>
      <c r="B2485" t="s">
        <v>898</v>
      </c>
      <c r="C2485" t="s">
        <v>73</v>
      </c>
      <c r="D2485" t="s">
        <v>3047</v>
      </c>
      <c r="E2485" t="s">
        <v>1915</v>
      </c>
      <c r="F2485">
        <v>11233</v>
      </c>
    </row>
    <row r="2486" spans="1:6" x14ac:dyDescent="0.25">
      <c r="A2486" t="s">
        <v>4721</v>
      </c>
      <c r="B2486" t="s">
        <v>898</v>
      </c>
      <c r="C2486" t="s">
        <v>73</v>
      </c>
      <c r="D2486" t="s">
        <v>2173</v>
      </c>
      <c r="E2486" t="s">
        <v>1876</v>
      </c>
      <c r="F2486">
        <v>8229</v>
      </c>
    </row>
    <row r="2487" spans="1:6" x14ac:dyDescent="0.25">
      <c r="A2487" t="s">
        <v>4722</v>
      </c>
      <c r="B2487" t="s">
        <v>898</v>
      </c>
      <c r="C2487" t="s">
        <v>73</v>
      </c>
      <c r="D2487" t="s">
        <v>2958</v>
      </c>
      <c r="E2487" t="s">
        <v>1879</v>
      </c>
      <c r="F2487">
        <v>26488</v>
      </c>
    </row>
    <row r="2488" spans="1:6" x14ac:dyDescent="0.25">
      <c r="A2488" t="s">
        <v>4723</v>
      </c>
      <c r="B2488" t="s">
        <v>898</v>
      </c>
      <c r="C2488" t="s">
        <v>73</v>
      </c>
      <c r="D2488" t="s">
        <v>2224</v>
      </c>
      <c r="E2488" t="s">
        <v>1876</v>
      </c>
      <c r="F2488">
        <v>22351</v>
      </c>
    </row>
    <row r="2489" spans="1:6" x14ac:dyDescent="0.25">
      <c r="A2489" t="s">
        <v>4724</v>
      </c>
      <c r="B2489" t="s">
        <v>898</v>
      </c>
      <c r="C2489" t="s">
        <v>73</v>
      </c>
      <c r="D2489" t="s">
        <v>2745</v>
      </c>
      <c r="E2489" t="s">
        <v>1886</v>
      </c>
      <c r="F2489">
        <v>17019</v>
      </c>
    </row>
    <row r="2490" spans="1:6" x14ac:dyDescent="0.25">
      <c r="A2490" t="s">
        <v>4725</v>
      </c>
      <c r="B2490" t="s">
        <v>898</v>
      </c>
      <c r="C2490" t="s">
        <v>73</v>
      </c>
      <c r="D2490" t="s">
        <v>2529</v>
      </c>
      <c r="E2490" t="s">
        <v>1871</v>
      </c>
      <c r="F2490">
        <v>6773</v>
      </c>
    </row>
    <row r="2491" spans="1:6" x14ac:dyDescent="0.25">
      <c r="A2491" t="s">
        <v>4726</v>
      </c>
      <c r="B2491" t="s">
        <v>898</v>
      </c>
      <c r="C2491" t="s">
        <v>73</v>
      </c>
      <c r="D2491" t="s">
        <v>2816</v>
      </c>
      <c r="E2491" t="s">
        <v>1871</v>
      </c>
      <c r="F2491">
        <v>8947</v>
      </c>
    </row>
    <row r="2492" spans="1:6" x14ac:dyDescent="0.25">
      <c r="A2492" t="s">
        <v>4727</v>
      </c>
      <c r="B2492" t="s">
        <v>898</v>
      </c>
      <c r="C2492" t="s">
        <v>73</v>
      </c>
      <c r="D2492" t="s">
        <v>3142</v>
      </c>
      <c r="E2492" t="s">
        <v>1871</v>
      </c>
      <c r="F2492">
        <v>15061</v>
      </c>
    </row>
    <row r="2493" spans="1:6" x14ac:dyDescent="0.25">
      <c r="A2493" t="s">
        <v>4728</v>
      </c>
      <c r="B2493" t="s">
        <v>898</v>
      </c>
      <c r="C2493" t="s">
        <v>73</v>
      </c>
      <c r="D2493" t="s">
        <v>2263</v>
      </c>
      <c r="E2493" t="s">
        <v>1879</v>
      </c>
      <c r="F2493">
        <v>11338</v>
      </c>
    </row>
    <row r="2494" spans="1:6" x14ac:dyDescent="0.25">
      <c r="A2494" t="s">
        <v>4729</v>
      </c>
      <c r="B2494" t="s">
        <v>898</v>
      </c>
      <c r="C2494" t="s">
        <v>73</v>
      </c>
      <c r="D2494" t="s">
        <v>2382</v>
      </c>
      <c r="E2494" t="s">
        <v>1871</v>
      </c>
      <c r="F2494">
        <v>3561</v>
      </c>
    </row>
    <row r="2495" spans="1:6" x14ac:dyDescent="0.25">
      <c r="A2495" t="s">
        <v>4730</v>
      </c>
      <c r="B2495" t="s">
        <v>898</v>
      </c>
      <c r="C2495" t="s">
        <v>73</v>
      </c>
      <c r="D2495" t="s">
        <v>2104</v>
      </c>
      <c r="E2495" t="s">
        <v>1876</v>
      </c>
      <c r="F2495">
        <v>23391</v>
      </c>
    </row>
    <row r="2496" spans="1:6" x14ac:dyDescent="0.25">
      <c r="A2496" t="s">
        <v>4731</v>
      </c>
      <c r="B2496" t="s">
        <v>898</v>
      </c>
      <c r="C2496" t="s">
        <v>73</v>
      </c>
      <c r="D2496" t="s">
        <v>2794</v>
      </c>
      <c r="E2496" t="s">
        <v>1886</v>
      </c>
      <c r="F2496">
        <v>24334</v>
      </c>
    </row>
    <row r="2497" spans="1:6" x14ac:dyDescent="0.25">
      <c r="A2497" t="s">
        <v>4732</v>
      </c>
      <c r="B2497" t="s">
        <v>901</v>
      </c>
      <c r="C2497" t="s">
        <v>146</v>
      </c>
      <c r="D2497" t="s">
        <v>2366</v>
      </c>
      <c r="E2497" t="s">
        <v>1915</v>
      </c>
      <c r="F2497">
        <v>23042</v>
      </c>
    </row>
    <row r="2498" spans="1:6" x14ac:dyDescent="0.25">
      <c r="A2498" t="s">
        <v>4733</v>
      </c>
      <c r="B2498" t="s">
        <v>901</v>
      </c>
      <c r="C2498" t="s">
        <v>146</v>
      </c>
      <c r="D2498" t="s">
        <v>1935</v>
      </c>
      <c r="E2498" t="s">
        <v>1915</v>
      </c>
      <c r="F2498">
        <v>28559</v>
      </c>
    </row>
    <row r="2499" spans="1:6" x14ac:dyDescent="0.25">
      <c r="A2499" t="s">
        <v>4734</v>
      </c>
      <c r="B2499" t="s">
        <v>901</v>
      </c>
      <c r="C2499" t="s">
        <v>146</v>
      </c>
      <c r="D2499" t="s">
        <v>2101</v>
      </c>
      <c r="E2499" t="s">
        <v>1915</v>
      </c>
      <c r="F2499">
        <v>28563</v>
      </c>
    </row>
    <row r="2500" spans="1:6" x14ac:dyDescent="0.25">
      <c r="A2500" t="s">
        <v>4735</v>
      </c>
      <c r="B2500" t="s">
        <v>901</v>
      </c>
      <c r="C2500" t="s">
        <v>146</v>
      </c>
      <c r="D2500" t="s">
        <v>2175</v>
      </c>
      <c r="E2500" t="s">
        <v>1915</v>
      </c>
      <c r="F2500">
        <v>16203</v>
      </c>
    </row>
    <row r="2501" spans="1:6" x14ac:dyDescent="0.25">
      <c r="A2501" t="s">
        <v>4736</v>
      </c>
      <c r="B2501" t="s">
        <v>901</v>
      </c>
      <c r="C2501" t="s">
        <v>146</v>
      </c>
      <c r="D2501" t="s">
        <v>2412</v>
      </c>
      <c r="E2501" t="s">
        <v>1871</v>
      </c>
      <c r="F2501">
        <v>8403</v>
      </c>
    </row>
    <row r="2502" spans="1:6" x14ac:dyDescent="0.25">
      <c r="A2502" t="s">
        <v>4737</v>
      </c>
      <c r="B2502" t="s">
        <v>901</v>
      </c>
      <c r="C2502" t="s">
        <v>146</v>
      </c>
      <c r="D2502" t="s">
        <v>2509</v>
      </c>
      <c r="E2502" t="s">
        <v>1886</v>
      </c>
      <c r="F2502">
        <v>28785</v>
      </c>
    </row>
    <row r="2503" spans="1:6" x14ac:dyDescent="0.25">
      <c r="A2503" t="s">
        <v>4738</v>
      </c>
      <c r="B2503" t="s">
        <v>901</v>
      </c>
      <c r="C2503" t="s">
        <v>146</v>
      </c>
      <c r="D2503" t="s">
        <v>2143</v>
      </c>
      <c r="E2503" t="s">
        <v>1871</v>
      </c>
      <c r="F2503">
        <v>3893</v>
      </c>
    </row>
    <row r="2504" spans="1:6" x14ac:dyDescent="0.25">
      <c r="A2504" t="s">
        <v>4739</v>
      </c>
      <c r="B2504" t="s">
        <v>901</v>
      </c>
      <c r="C2504" t="s">
        <v>146</v>
      </c>
      <c r="D2504" t="s">
        <v>2201</v>
      </c>
      <c r="E2504" t="s">
        <v>1876</v>
      </c>
      <c r="F2504">
        <v>17671</v>
      </c>
    </row>
    <row r="2505" spans="1:6" x14ac:dyDescent="0.25">
      <c r="A2505" t="s">
        <v>4740</v>
      </c>
      <c r="B2505" t="s">
        <v>904</v>
      </c>
      <c r="C2505" t="s">
        <v>87</v>
      </c>
      <c r="D2505" t="s">
        <v>2432</v>
      </c>
      <c r="E2505" t="s">
        <v>1876</v>
      </c>
      <c r="F2505">
        <v>3875</v>
      </c>
    </row>
    <row r="2506" spans="1:6" x14ac:dyDescent="0.25">
      <c r="A2506" t="s">
        <v>4741</v>
      </c>
      <c r="B2506" t="s">
        <v>904</v>
      </c>
      <c r="C2506" t="s">
        <v>87</v>
      </c>
      <c r="D2506" t="s">
        <v>2770</v>
      </c>
      <c r="E2506" t="s">
        <v>1871</v>
      </c>
      <c r="F2506">
        <v>13147</v>
      </c>
    </row>
    <row r="2507" spans="1:6" x14ac:dyDescent="0.25">
      <c r="A2507" t="s">
        <v>4742</v>
      </c>
      <c r="B2507" t="s">
        <v>904</v>
      </c>
      <c r="C2507" t="s">
        <v>87</v>
      </c>
      <c r="D2507" t="s">
        <v>1908</v>
      </c>
      <c r="E2507" t="s">
        <v>1879</v>
      </c>
      <c r="F2507">
        <v>5433</v>
      </c>
    </row>
    <row r="2508" spans="1:6" x14ac:dyDescent="0.25">
      <c r="A2508" t="s">
        <v>4743</v>
      </c>
      <c r="B2508" t="s">
        <v>904</v>
      </c>
      <c r="C2508" t="s">
        <v>87</v>
      </c>
      <c r="D2508" t="s">
        <v>2954</v>
      </c>
      <c r="E2508" t="s">
        <v>1886</v>
      </c>
      <c r="F2508">
        <v>23945</v>
      </c>
    </row>
    <row r="2509" spans="1:6" x14ac:dyDescent="0.25">
      <c r="A2509" t="s">
        <v>4744</v>
      </c>
      <c r="B2509" t="s">
        <v>904</v>
      </c>
      <c r="C2509" t="s">
        <v>87</v>
      </c>
      <c r="D2509" t="s">
        <v>2878</v>
      </c>
      <c r="E2509" t="s">
        <v>1876</v>
      </c>
      <c r="F2509">
        <v>4095</v>
      </c>
    </row>
    <row r="2510" spans="1:6" x14ac:dyDescent="0.25">
      <c r="A2510" t="s">
        <v>4745</v>
      </c>
      <c r="B2510" t="s">
        <v>904</v>
      </c>
      <c r="C2510" t="s">
        <v>87</v>
      </c>
      <c r="D2510" t="s">
        <v>3242</v>
      </c>
      <c r="E2510" t="s">
        <v>1879</v>
      </c>
      <c r="F2510">
        <v>2501</v>
      </c>
    </row>
    <row r="2511" spans="1:6" x14ac:dyDescent="0.25">
      <c r="A2511" t="s">
        <v>4746</v>
      </c>
      <c r="B2511" t="s">
        <v>904</v>
      </c>
      <c r="C2511" t="s">
        <v>87</v>
      </c>
      <c r="D2511" t="s">
        <v>3174</v>
      </c>
      <c r="E2511" t="s">
        <v>1871</v>
      </c>
      <c r="F2511">
        <v>10525</v>
      </c>
    </row>
    <row r="2512" spans="1:6" x14ac:dyDescent="0.25">
      <c r="A2512" t="s">
        <v>4747</v>
      </c>
      <c r="B2512" t="s">
        <v>907</v>
      </c>
      <c r="C2512" t="s">
        <v>51</v>
      </c>
      <c r="D2512" t="s">
        <v>2507</v>
      </c>
      <c r="E2512" t="s">
        <v>1915</v>
      </c>
      <c r="F2512">
        <v>6479</v>
      </c>
    </row>
    <row r="2513" spans="1:6" x14ac:dyDescent="0.25">
      <c r="A2513" t="s">
        <v>4748</v>
      </c>
      <c r="B2513" t="s">
        <v>907</v>
      </c>
      <c r="C2513" t="s">
        <v>51</v>
      </c>
      <c r="D2513" t="s">
        <v>3313</v>
      </c>
      <c r="E2513" t="s">
        <v>1871</v>
      </c>
      <c r="F2513">
        <v>8089</v>
      </c>
    </row>
    <row r="2514" spans="1:6" x14ac:dyDescent="0.25">
      <c r="A2514" t="s">
        <v>4749</v>
      </c>
      <c r="B2514" t="s">
        <v>907</v>
      </c>
      <c r="C2514" t="s">
        <v>51</v>
      </c>
      <c r="D2514" t="s">
        <v>2539</v>
      </c>
      <c r="E2514" t="s">
        <v>1915</v>
      </c>
      <c r="F2514">
        <v>39538</v>
      </c>
    </row>
    <row r="2515" spans="1:6" x14ac:dyDescent="0.25">
      <c r="A2515" t="s">
        <v>4750</v>
      </c>
      <c r="B2515" t="s">
        <v>907</v>
      </c>
      <c r="C2515" t="s">
        <v>51</v>
      </c>
      <c r="D2515" t="s">
        <v>2849</v>
      </c>
      <c r="E2515" t="s">
        <v>1876</v>
      </c>
      <c r="F2515">
        <v>14312</v>
      </c>
    </row>
    <row r="2516" spans="1:6" x14ac:dyDescent="0.25">
      <c r="A2516" t="s">
        <v>4751</v>
      </c>
      <c r="B2516" t="s">
        <v>907</v>
      </c>
      <c r="C2516" t="s">
        <v>51</v>
      </c>
      <c r="D2516" t="s">
        <v>2649</v>
      </c>
      <c r="E2516" t="s">
        <v>1915</v>
      </c>
      <c r="F2516">
        <v>21702</v>
      </c>
    </row>
    <row r="2517" spans="1:6" x14ac:dyDescent="0.25">
      <c r="A2517" t="s">
        <v>4752</v>
      </c>
      <c r="B2517" t="s">
        <v>907</v>
      </c>
      <c r="C2517" t="s">
        <v>51</v>
      </c>
      <c r="D2517" t="s">
        <v>3164</v>
      </c>
      <c r="E2517" t="s">
        <v>1879</v>
      </c>
      <c r="F2517">
        <v>9403</v>
      </c>
    </row>
    <row r="2518" spans="1:6" x14ac:dyDescent="0.25">
      <c r="A2518" t="s">
        <v>4753</v>
      </c>
      <c r="B2518" t="s">
        <v>907</v>
      </c>
      <c r="C2518" t="s">
        <v>51</v>
      </c>
      <c r="D2518" t="s">
        <v>2590</v>
      </c>
      <c r="E2518" t="s">
        <v>1879</v>
      </c>
      <c r="F2518">
        <v>18221</v>
      </c>
    </row>
    <row r="2519" spans="1:6" x14ac:dyDescent="0.25">
      <c r="A2519" t="s">
        <v>4754</v>
      </c>
      <c r="B2519" t="s">
        <v>907</v>
      </c>
      <c r="C2519" t="s">
        <v>51</v>
      </c>
      <c r="D2519" t="s">
        <v>2230</v>
      </c>
      <c r="E2519" t="s">
        <v>1879</v>
      </c>
      <c r="F2519">
        <v>12916</v>
      </c>
    </row>
    <row r="2520" spans="1:6" x14ac:dyDescent="0.25">
      <c r="A2520" t="s">
        <v>4755</v>
      </c>
      <c r="B2520" t="s">
        <v>907</v>
      </c>
      <c r="C2520" t="s">
        <v>51</v>
      </c>
      <c r="D2520" t="s">
        <v>3615</v>
      </c>
      <c r="E2520" t="s">
        <v>1879</v>
      </c>
      <c r="F2520">
        <v>20875</v>
      </c>
    </row>
    <row r="2521" spans="1:6" x14ac:dyDescent="0.25">
      <c r="A2521" t="s">
        <v>4756</v>
      </c>
      <c r="B2521" t="s">
        <v>910</v>
      </c>
      <c r="C2521" t="s">
        <v>51</v>
      </c>
      <c r="D2521" t="s">
        <v>2236</v>
      </c>
      <c r="E2521" t="s">
        <v>1915</v>
      </c>
      <c r="F2521">
        <v>18639</v>
      </c>
    </row>
    <row r="2522" spans="1:6" x14ac:dyDescent="0.25">
      <c r="A2522" t="s">
        <v>4757</v>
      </c>
      <c r="B2522" t="s">
        <v>910</v>
      </c>
      <c r="C2522" t="s">
        <v>51</v>
      </c>
      <c r="D2522" t="s">
        <v>2014</v>
      </c>
      <c r="E2522" t="s">
        <v>1886</v>
      </c>
      <c r="F2522">
        <v>22464</v>
      </c>
    </row>
    <row r="2523" spans="1:6" x14ac:dyDescent="0.25">
      <c r="A2523" t="s">
        <v>4758</v>
      </c>
      <c r="B2523" t="s">
        <v>910</v>
      </c>
      <c r="C2523" t="s">
        <v>51</v>
      </c>
      <c r="D2523" t="s">
        <v>2293</v>
      </c>
      <c r="E2523" t="s">
        <v>1915</v>
      </c>
      <c r="F2523">
        <v>35760</v>
      </c>
    </row>
    <row r="2524" spans="1:6" x14ac:dyDescent="0.25">
      <c r="A2524" t="s">
        <v>4759</v>
      </c>
      <c r="B2524" t="s">
        <v>910</v>
      </c>
      <c r="C2524" t="s">
        <v>51</v>
      </c>
      <c r="D2524" t="s">
        <v>2208</v>
      </c>
      <c r="E2524" t="s">
        <v>1879</v>
      </c>
      <c r="F2524">
        <v>12456</v>
      </c>
    </row>
    <row r="2525" spans="1:6" x14ac:dyDescent="0.25">
      <c r="A2525" t="s">
        <v>4760</v>
      </c>
      <c r="B2525" t="s">
        <v>910</v>
      </c>
      <c r="C2525" t="s">
        <v>51</v>
      </c>
      <c r="D2525" t="s">
        <v>2699</v>
      </c>
      <c r="E2525" t="s">
        <v>1871</v>
      </c>
      <c r="F2525">
        <v>26227</v>
      </c>
    </row>
    <row r="2526" spans="1:6" x14ac:dyDescent="0.25">
      <c r="A2526" t="s">
        <v>4761</v>
      </c>
      <c r="B2526" t="s">
        <v>910</v>
      </c>
      <c r="C2526" t="s">
        <v>51</v>
      </c>
      <c r="D2526" t="s">
        <v>2747</v>
      </c>
      <c r="E2526" t="s">
        <v>1879</v>
      </c>
      <c r="F2526">
        <v>14978</v>
      </c>
    </row>
    <row r="2527" spans="1:6" x14ac:dyDescent="0.25">
      <c r="A2527" t="s">
        <v>4762</v>
      </c>
      <c r="B2527" t="s">
        <v>910</v>
      </c>
      <c r="C2527" t="s">
        <v>51</v>
      </c>
      <c r="D2527" t="s">
        <v>2088</v>
      </c>
      <c r="E2527" t="s">
        <v>1886</v>
      </c>
      <c r="F2527">
        <v>10644</v>
      </c>
    </row>
    <row r="2528" spans="1:6" x14ac:dyDescent="0.25">
      <c r="A2528" t="s">
        <v>4763</v>
      </c>
      <c r="B2528" t="s">
        <v>910</v>
      </c>
      <c r="C2528" t="s">
        <v>51</v>
      </c>
      <c r="D2528" t="s">
        <v>2097</v>
      </c>
      <c r="E2528" t="s">
        <v>1886</v>
      </c>
      <c r="F2528">
        <v>30256</v>
      </c>
    </row>
    <row r="2529" spans="1:6" x14ac:dyDescent="0.25">
      <c r="A2529" t="s">
        <v>4764</v>
      </c>
      <c r="B2529" t="s">
        <v>913</v>
      </c>
      <c r="C2529" t="s">
        <v>51</v>
      </c>
      <c r="D2529" t="s">
        <v>1945</v>
      </c>
      <c r="E2529" t="s">
        <v>1871</v>
      </c>
      <c r="F2529">
        <v>16116</v>
      </c>
    </row>
    <row r="2530" spans="1:6" x14ac:dyDescent="0.25">
      <c r="A2530" t="s">
        <v>4765</v>
      </c>
      <c r="B2530" t="s">
        <v>913</v>
      </c>
      <c r="C2530" t="s">
        <v>51</v>
      </c>
      <c r="D2530" t="s">
        <v>2232</v>
      </c>
      <c r="E2530" t="s">
        <v>1879</v>
      </c>
      <c r="F2530">
        <v>6070</v>
      </c>
    </row>
    <row r="2531" spans="1:6" x14ac:dyDescent="0.25">
      <c r="A2531" t="s">
        <v>4766</v>
      </c>
      <c r="B2531" t="s">
        <v>913</v>
      </c>
      <c r="C2531" t="s">
        <v>51</v>
      </c>
      <c r="D2531" t="s">
        <v>1935</v>
      </c>
      <c r="E2531" t="s">
        <v>1871</v>
      </c>
      <c r="F2531">
        <v>7791</v>
      </c>
    </row>
    <row r="2532" spans="1:6" x14ac:dyDescent="0.25">
      <c r="A2532" t="s">
        <v>4767</v>
      </c>
      <c r="B2532" t="s">
        <v>913</v>
      </c>
      <c r="C2532" t="s">
        <v>51</v>
      </c>
      <c r="D2532" t="s">
        <v>3710</v>
      </c>
      <c r="E2532" t="s">
        <v>1915</v>
      </c>
      <c r="F2532">
        <v>30445</v>
      </c>
    </row>
    <row r="2533" spans="1:6" x14ac:dyDescent="0.25">
      <c r="A2533" t="s">
        <v>4768</v>
      </c>
      <c r="B2533" t="s">
        <v>913</v>
      </c>
      <c r="C2533" t="s">
        <v>51</v>
      </c>
      <c r="D2533" t="s">
        <v>2169</v>
      </c>
      <c r="E2533" t="s">
        <v>1871</v>
      </c>
      <c r="F2533">
        <v>2453</v>
      </c>
    </row>
    <row r="2534" spans="1:6" x14ac:dyDescent="0.25">
      <c r="A2534" t="s">
        <v>4769</v>
      </c>
      <c r="B2534" t="s">
        <v>913</v>
      </c>
      <c r="C2534" t="s">
        <v>51</v>
      </c>
      <c r="D2534" t="s">
        <v>2328</v>
      </c>
      <c r="E2534" t="s">
        <v>1879</v>
      </c>
      <c r="F2534">
        <v>7315</v>
      </c>
    </row>
    <row r="2535" spans="1:6" x14ac:dyDescent="0.25">
      <c r="A2535" t="s">
        <v>4770</v>
      </c>
      <c r="B2535" t="s">
        <v>913</v>
      </c>
      <c r="C2535" t="s">
        <v>51</v>
      </c>
      <c r="D2535" t="s">
        <v>2271</v>
      </c>
      <c r="E2535" t="s">
        <v>1886</v>
      </c>
      <c r="F2535">
        <v>12209</v>
      </c>
    </row>
    <row r="2536" spans="1:6" x14ac:dyDescent="0.25">
      <c r="A2536" t="s">
        <v>4771</v>
      </c>
      <c r="B2536" t="s">
        <v>913</v>
      </c>
      <c r="C2536" t="s">
        <v>51</v>
      </c>
      <c r="D2536" t="s">
        <v>2210</v>
      </c>
      <c r="E2536" t="s">
        <v>1871</v>
      </c>
      <c r="F2536">
        <v>7211</v>
      </c>
    </row>
    <row r="2537" spans="1:6" x14ac:dyDescent="0.25">
      <c r="A2537" t="s">
        <v>4772</v>
      </c>
      <c r="B2537" t="s">
        <v>916</v>
      </c>
      <c r="C2537" t="s">
        <v>96</v>
      </c>
      <c r="D2537" t="s">
        <v>2468</v>
      </c>
      <c r="E2537" t="s">
        <v>1876</v>
      </c>
      <c r="F2537">
        <v>8767</v>
      </c>
    </row>
    <row r="2538" spans="1:6" x14ac:dyDescent="0.25">
      <c r="A2538" t="s">
        <v>4773</v>
      </c>
      <c r="B2538" t="s">
        <v>916</v>
      </c>
      <c r="C2538" t="s">
        <v>96</v>
      </c>
      <c r="D2538" t="s">
        <v>2293</v>
      </c>
      <c r="E2538" t="s">
        <v>1879</v>
      </c>
      <c r="F2538">
        <v>6790</v>
      </c>
    </row>
    <row r="2539" spans="1:6" x14ac:dyDescent="0.25">
      <c r="A2539" t="s">
        <v>4774</v>
      </c>
      <c r="B2539" t="s">
        <v>916</v>
      </c>
      <c r="C2539" t="s">
        <v>96</v>
      </c>
      <c r="D2539" t="s">
        <v>2477</v>
      </c>
      <c r="E2539" t="s">
        <v>1879</v>
      </c>
      <c r="F2539">
        <v>5401</v>
      </c>
    </row>
    <row r="2540" spans="1:6" x14ac:dyDescent="0.25">
      <c r="A2540" t="s">
        <v>4775</v>
      </c>
      <c r="B2540" t="s">
        <v>916</v>
      </c>
      <c r="C2540" t="s">
        <v>96</v>
      </c>
      <c r="D2540" t="s">
        <v>2165</v>
      </c>
      <c r="E2540" t="s">
        <v>1876</v>
      </c>
      <c r="F2540">
        <v>2464</v>
      </c>
    </row>
    <row r="2541" spans="1:6" x14ac:dyDescent="0.25">
      <c r="A2541" t="s">
        <v>4776</v>
      </c>
      <c r="B2541" t="s">
        <v>916</v>
      </c>
      <c r="C2541" t="s">
        <v>96</v>
      </c>
      <c r="D2541" t="s">
        <v>3860</v>
      </c>
      <c r="E2541" t="s">
        <v>1915</v>
      </c>
      <c r="F2541">
        <v>6008</v>
      </c>
    </row>
    <row r="2542" spans="1:6" x14ac:dyDescent="0.25">
      <c r="A2542" t="s">
        <v>4777</v>
      </c>
      <c r="B2542" t="s">
        <v>916</v>
      </c>
      <c r="C2542" t="s">
        <v>96</v>
      </c>
      <c r="D2542" t="s">
        <v>2574</v>
      </c>
      <c r="E2542" t="s">
        <v>1879</v>
      </c>
      <c r="F2542">
        <v>4568</v>
      </c>
    </row>
    <row r="2543" spans="1:6" x14ac:dyDescent="0.25">
      <c r="A2543" t="s">
        <v>4778</v>
      </c>
      <c r="B2543" t="s">
        <v>916</v>
      </c>
      <c r="C2543" t="s">
        <v>96</v>
      </c>
      <c r="D2543" t="s">
        <v>2722</v>
      </c>
      <c r="E2543" t="s">
        <v>1871</v>
      </c>
      <c r="F2543">
        <v>7507</v>
      </c>
    </row>
    <row r="2544" spans="1:6" x14ac:dyDescent="0.25">
      <c r="A2544" t="s">
        <v>4779</v>
      </c>
      <c r="B2544" t="s">
        <v>916</v>
      </c>
      <c r="C2544" t="s">
        <v>96</v>
      </c>
      <c r="D2544" t="s">
        <v>2030</v>
      </c>
      <c r="E2544" t="s">
        <v>1879</v>
      </c>
      <c r="F2544">
        <v>23398</v>
      </c>
    </row>
    <row r="2545" spans="1:6" x14ac:dyDescent="0.25">
      <c r="A2545" t="s">
        <v>4780</v>
      </c>
      <c r="B2545" t="s">
        <v>916</v>
      </c>
      <c r="C2545" t="s">
        <v>96</v>
      </c>
      <c r="D2545" t="s">
        <v>2267</v>
      </c>
      <c r="E2545" t="s">
        <v>1915</v>
      </c>
      <c r="F2545">
        <v>7223</v>
      </c>
    </row>
    <row r="2546" spans="1:6" x14ac:dyDescent="0.25">
      <c r="A2546" t="s">
        <v>4781</v>
      </c>
      <c r="B2546" t="s">
        <v>916</v>
      </c>
      <c r="C2546" t="s">
        <v>96</v>
      </c>
      <c r="D2546" t="s">
        <v>2188</v>
      </c>
      <c r="E2546" t="s">
        <v>1886</v>
      </c>
      <c r="F2546">
        <v>16314</v>
      </c>
    </row>
    <row r="2547" spans="1:6" x14ac:dyDescent="0.25">
      <c r="A2547" t="s">
        <v>4782</v>
      </c>
      <c r="B2547" t="s">
        <v>916</v>
      </c>
      <c r="C2547" t="s">
        <v>96</v>
      </c>
      <c r="D2547" t="s">
        <v>1951</v>
      </c>
      <c r="E2547" t="s">
        <v>1871</v>
      </c>
      <c r="F2547">
        <v>4972</v>
      </c>
    </row>
    <row r="2548" spans="1:6" x14ac:dyDescent="0.25">
      <c r="A2548" t="s">
        <v>4783</v>
      </c>
      <c r="B2548" t="s">
        <v>916</v>
      </c>
      <c r="C2548" t="s">
        <v>96</v>
      </c>
      <c r="D2548" t="s">
        <v>2457</v>
      </c>
      <c r="E2548" t="s">
        <v>1871</v>
      </c>
      <c r="F2548">
        <v>10530</v>
      </c>
    </row>
    <row r="2549" spans="1:6" x14ac:dyDescent="0.25">
      <c r="A2549" t="s">
        <v>4784</v>
      </c>
      <c r="B2549" t="s">
        <v>919</v>
      </c>
      <c r="C2549" t="s">
        <v>146</v>
      </c>
      <c r="D2549" t="s">
        <v>2427</v>
      </c>
      <c r="E2549" t="s">
        <v>1886</v>
      </c>
      <c r="F2549">
        <v>11841</v>
      </c>
    </row>
    <row r="2550" spans="1:6" x14ac:dyDescent="0.25">
      <c r="A2550" t="s">
        <v>4785</v>
      </c>
      <c r="B2550" t="s">
        <v>919</v>
      </c>
      <c r="C2550" t="s">
        <v>146</v>
      </c>
      <c r="D2550" t="s">
        <v>2580</v>
      </c>
      <c r="E2550" t="s">
        <v>1876</v>
      </c>
      <c r="F2550">
        <v>11026</v>
      </c>
    </row>
    <row r="2551" spans="1:6" x14ac:dyDescent="0.25">
      <c r="A2551" t="s">
        <v>4786</v>
      </c>
      <c r="B2551" t="s">
        <v>919</v>
      </c>
      <c r="C2551" t="s">
        <v>146</v>
      </c>
      <c r="D2551" t="s">
        <v>2093</v>
      </c>
      <c r="E2551" t="s">
        <v>1876</v>
      </c>
      <c r="F2551">
        <v>22654</v>
      </c>
    </row>
    <row r="2552" spans="1:6" x14ac:dyDescent="0.25">
      <c r="A2552" t="s">
        <v>4787</v>
      </c>
      <c r="B2552" t="s">
        <v>919</v>
      </c>
      <c r="C2552" t="s">
        <v>146</v>
      </c>
      <c r="D2552" t="s">
        <v>1894</v>
      </c>
      <c r="E2552" t="s">
        <v>1871</v>
      </c>
      <c r="F2552">
        <v>1762</v>
      </c>
    </row>
    <row r="2553" spans="1:6" x14ac:dyDescent="0.25">
      <c r="A2553" t="s">
        <v>4788</v>
      </c>
      <c r="B2553" t="s">
        <v>919</v>
      </c>
      <c r="C2553" t="s">
        <v>146</v>
      </c>
      <c r="D2553" t="s">
        <v>2198</v>
      </c>
      <c r="E2553" t="s">
        <v>1915</v>
      </c>
      <c r="F2553">
        <v>27885</v>
      </c>
    </row>
    <row r="2554" spans="1:6" x14ac:dyDescent="0.25">
      <c r="A2554" t="s">
        <v>4789</v>
      </c>
      <c r="B2554" t="s">
        <v>919</v>
      </c>
      <c r="C2554" t="s">
        <v>146</v>
      </c>
      <c r="D2554" t="s">
        <v>3233</v>
      </c>
      <c r="E2554" t="s">
        <v>1871</v>
      </c>
      <c r="F2554">
        <v>25623</v>
      </c>
    </row>
    <row r="2555" spans="1:6" x14ac:dyDescent="0.25">
      <c r="A2555" t="s">
        <v>4790</v>
      </c>
      <c r="B2555" t="s">
        <v>919</v>
      </c>
      <c r="C2555" t="s">
        <v>146</v>
      </c>
      <c r="D2555" t="s">
        <v>2494</v>
      </c>
      <c r="E2555" t="s">
        <v>1886</v>
      </c>
      <c r="F2555">
        <v>34989</v>
      </c>
    </row>
    <row r="2556" spans="1:6" x14ac:dyDescent="0.25">
      <c r="A2556" t="s">
        <v>4791</v>
      </c>
      <c r="B2556" t="s">
        <v>919</v>
      </c>
      <c r="C2556" t="s">
        <v>146</v>
      </c>
      <c r="D2556" t="s">
        <v>2224</v>
      </c>
      <c r="E2556" t="s">
        <v>1871</v>
      </c>
      <c r="F2556">
        <v>15041</v>
      </c>
    </row>
    <row r="2557" spans="1:6" x14ac:dyDescent="0.25">
      <c r="A2557" t="s">
        <v>4792</v>
      </c>
      <c r="B2557" t="s">
        <v>919</v>
      </c>
      <c r="C2557" t="s">
        <v>146</v>
      </c>
      <c r="D2557" t="s">
        <v>2169</v>
      </c>
      <c r="E2557" t="s">
        <v>1879</v>
      </c>
      <c r="F2557">
        <v>499</v>
      </c>
    </row>
    <row r="2558" spans="1:6" x14ac:dyDescent="0.25">
      <c r="A2558" t="s">
        <v>4793</v>
      </c>
      <c r="B2558" t="s">
        <v>922</v>
      </c>
      <c r="C2558" t="s">
        <v>146</v>
      </c>
      <c r="D2558" t="s">
        <v>2193</v>
      </c>
      <c r="E2558" t="s">
        <v>1871</v>
      </c>
      <c r="F2558">
        <v>51847</v>
      </c>
    </row>
    <row r="2559" spans="1:6" x14ac:dyDescent="0.25">
      <c r="A2559" t="s">
        <v>4794</v>
      </c>
      <c r="B2559" t="s">
        <v>922</v>
      </c>
      <c r="C2559" t="s">
        <v>146</v>
      </c>
      <c r="D2559" t="s">
        <v>2380</v>
      </c>
      <c r="E2559" t="s">
        <v>1879</v>
      </c>
      <c r="F2559">
        <v>19848</v>
      </c>
    </row>
    <row r="2560" spans="1:6" x14ac:dyDescent="0.25">
      <c r="A2560" t="s">
        <v>4795</v>
      </c>
      <c r="B2560" t="s">
        <v>922</v>
      </c>
      <c r="C2560" t="s">
        <v>146</v>
      </c>
      <c r="D2560" t="s">
        <v>2649</v>
      </c>
      <c r="E2560" t="s">
        <v>1915</v>
      </c>
      <c r="F2560">
        <v>83735</v>
      </c>
    </row>
    <row r="2561" spans="1:6" x14ac:dyDescent="0.25">
      <c r="A2561" t="s">
        <v>4796</v>
      </c>
      <c r="B2561" t="s">
        <v>922</v>
      </c>
      <c r="C2561" t="s">
        <v>146</v>
      </c>
      <c r="D2561" t="s">
        <v>2401</v>
      </c>
      <c r="E2561" t="s">
        <v>1871</v>
      </c>
      <c r="F2561">
        <v>34105</v>
      </c>
    </row>
    <row r="2562" spans="1:6" x14ac:dyDescent="0.25">
      <c r="A2562" t="s">
        <v>4797</v>
      </c>
      <c r="B2562" t="s">
        <v>922</v>
      </c>
      <c r="C2562" t="s">
        <v>146</v>
      </c>
      <c r="D2562" t="s">
        <v>2014</v>
      </c>
      <c r="E2562" t="s">
        <v>1915</v>
      </c>
      <c r="F2562">
        <v>84718</v>
      </c>
    </row>
    <row r="2563" spans="1:6" x14ac:dyDescent="0.25">
      <c r="A2563" t="s">
        <v>4798</v>
      </c>
      <c r="B2563" t="s">
        <v>922</v>
      </c>
      <c r="C2563" t="s">
        <v>146</v>
      </c>
      <c r="D2563" t="s">
        <v>2155</v>
      </c>
      <c r="E2563" t="s">
        <v>1876</v>
      </c>
      <c r="F2563">
        <v>49838</v>
      </c>
    </row>
    <row r="2564" spans="1:6" x14ac:dyDescent="0.25">
      <c r="A2564" t="s">
        <v>4799</v>
      </c>
      <c r="B2564" t="s">
        <v>922</v>
      </c>
      <c r="C2564" t="s">
        <v>146</v>
      </c>
      <c r="D2564" t="s">
        <v>2803</v>
      </c>
      <c r="E2564" t="s">
        <v>1886</v>
      </c>
      <c r="F2564">
        <v>6800</v>
      </c>
    </row>
    <row r="2565" spans="1:6" x14ac:dyDescent="0.25">
      <c r="A2565" t="s">
        <v>4800</v>
      </c>
      <c r="B2565" t="s">
        <v>922</v>
      </c>
      <c r="C2565" t="s">
        <v>146</v>
      </c>
      <c r="D2565" t="s">
        <v>1973</v>
      </c>
      <c r="E2565" t="s">
        <v>1879</v>
      </c>
      <c r="F2565">
        <v>40892</v>
      </c>
    </row>
    <row r="2566" spans="1:6" x14ac:dyDescent="0.25">
      <c r="A2566" t="s">
        <v>4801</v>
      </c>
      <c r="B2566" t="s">
        <v>922</v>
      </c>
      <c r="C2566" t="s">
        <v>146</v>
      </c>
      <c r="D2566" t="s">
        <v>2053</v>
      </c>
      <c r="E2566" t="s">
        <v>1871</v>
      </c>
      <c r="F2566">
        <v>25573</v>
      </c>
    </row>
    <row r="2567" spans="1:6" x14ac:dyDescent="0.25">
      <c r="A2567" t="s">
        <v>4802</v>
      </c>
      <c r="B2567" t="s">
        <v>922</v>
      </c>
      <c r="C2567" t="s">
        <v>146</v>
      </c>
      <c r="D2567" t="s">
        <v>2645</v>
      </c>
      <c r="E2567" t="s">
        <v>1915</v>
      </c>
      <c r="F2567">
        <v>3927</v>
      </c>
    </row>
    <row r="2568" spans="1:6" x14ac:dyDescent="0.25">
      <c r="A2568" t="s">
        <v>4803</v>
      </c>
      <c r="B2568" t="s">
        <v>922</v>
      </c>
      <c r="C2568" t="s">
        <v>146</v>
      </c>
      <c r="D2568" t="s">
        <v>2846</v>
      </c>
      <c r="E2568" t="s">
        <v>1915</v>
      </c>
      <c r="F2568">
        <v>25009</v>
      </c>
    </row>
    <row r="2569" spans="1:6" x14ac:dyDescent="0.25">
      <c r="A2569" t="s">
        <v>4804</v>
      </c>
      <c r="B2569" t="s">
        <v>925</v>
      </c>
      <c r="C2569" t="s">
        <v>96</v>
      </c>
      <c r="D2569" t="s">
        <v>2009</v>
      </c>
      <c r="E2569" t="s">
        <v>1876</v>
      </c>
      <c r="F2569">
        <v>12682</v>
      </c>
    </row>
    <row r="2570" spans="1:6" x14ac:dyDescent="0.25">
      <c r="A2570" t="s">
        <v>4805</v>
      </c>
      <c r="B2570" t="s">
        <v>925</v>
      </c>
      <c r="C2570" t="s">
        <v>96</v>
      </c>
      <c r="D2570" t="s">
        <v>1875</v>
      </c>
      <c r="E2570" t="s">
        <v>1871</v>
      </c>
      <c r="F2570">
        <v>17481</v>
      </c>
    </row>
    <row r="2571" spans="1:6" x14ac:dyDescent="0.25">
      <c r="A2571" t="s">
        <v>4806</v>
      </c>
      <c r="B2571" t="s">
        <v>925</v>
      </c>
      <c r="C2571" t="s">
        <v>96</v>
      </c>
      <c r="D2571" t="s">
        <v>2114</v>
      </c>
      <c r="E2571" t="s">
        <v>1871</v>
      </c>
      <c r="F2571">
        <v>8925</v>
      </c>
    </row>
    <row r="2572" spans="1:6" x14ac:dyDescent="0.25">
      <c r="A2572" t="s">
        <v>4807</v>
      </c>
      <c r="B2572" t="s">
        <v>925</v>
      </c>
      <c r="C2572" t="s">
        <v>96</v>
      </c>
      <c r="D2572" t="s">
        <v>2722</v>
      </c>
      <c r="E2572" t="s">
        <v>1879</v>
      </c>
      <c r="F2572">
        <v>23561</v>
      </c>
    </row>
    <row r="2573" spans="1:6" x14ac:dyDescent="0.25">
      <c r="A2573" t="s">
        <v>4808</v>
      </c>
      <c r="B2573" t="s">
        <v>925</v>
      </c>
      <c r="C2573" t="s">
        <v>96</v>
      </c>
      <c r="D2573" t="s">
        <v>1885</v>
      </c>
      <c r="E2573" t="s">
        <v>1876</v>
      </c>
      <c r="F2573">
        <v>6418</v>
      </c>
    </row>
    <row r="2574" spans="1:6" x14ac:dyDescent="0.25">
      <c r="A2574" t="s">
        <v>4809</v>
      </c>
      <c r="B2574" t="s">
        <v>925</v>
      </c>
      <c r="C2574" t="s">
        <v>96</v>
      </c>
      <c r="D2574" t="s">
        <v>2779</v>
      </c>
      <c r="E2574" t="s">
        <v>1879</v>
      </c>
      <c r="F2574">
        <v>8491</v>
      </c>
    </row>
    <row r="2575" spans="1:6" x14ac:dyDescent="0.25">
      <c r="A2575" t="s">
        <v>4810</v>
      </c>
      <c r="B2575" t="s">
        <v>925</v>
      </c>
      <c r="C2575" t="s">
        <v>96</v>
      </c>
      <c r="D2575" t="s">
        <v>2314</v>
      </c>
      <c r="E2575" t="s">
        <v>1871</v>
      </c>
      <c r="F2575">
        <v>8368</v>
      </c>
    </row>
    <row r="2576" spans="1:6" x14ac:dyDescent="0.25">
      <c r="A2576" t="s">
        <v>4811</v>
      </c>
      <c r="B2576" t="s">
        <v>925</v>
      </c>
      <c r="C2576" t="s">
        <v>96</v>
      </c>
      <c r="D2576" t="s">
        <v>2117</v>
      </c>
      <c r="E2576" t="s">
        <v>1915</v>
      </c>
      <c r="F2576">
        <v>39441</v>
      </c>
    </row>
    <row r="2577" spans="1:6" x14ac:dyDescent="0.25">
      <c r="A2577" t="s">
        <v>4812</v>
      </c>
      <c r="B2577" t="s">
        <v>928</v>
      </c>
      <c r="C2577" t="s">
        <v>51</v>
      </c>
      <c r="D2577" t="s">
        <v>3026</v>
      </c>
      <c r="E2577" t="s">
        <v>1915</v>
      </c>
      <c r="F2577">
        <v>23577</v>
      </c>
    </row>
    <row r="2578" spans="1:6" x14ac:dyDescent="0.25">
      <c r="A2578" t="s">
        <v>4813</v>
      </c>
      <c r="B2578" t="s">
        <v>928</v>
      </c>
      <c r="C2578" t="s">
        <v>51</v>
      </c>
      <c r="D2578" t="s">
        <v>2107</v>
      </c>
      <c r="E2578" t="s">
        <v>1871</v>
      </c>
      <c r="F2578">
        <v>13926</v>
      </c>
    </row>
    <row r="2579" spans="1:6" x14ac:dyDescent="0.25">
      <c r="A2579" t="s">
        <v>4814</v>
      </c>
      <c r="B2579" t="s">
        <v>928</v>
      </c>
      <c r="C2579" t="s">
        <v>51</v>
      </c>
      <c r="D2579" t="s">
        <v>3119</v>
      </c>
      <c r="E2579" t="s">
        <v>1871</v>
      </c>
      <c r="F2579">
        <v>13597</v>
      </c>
    </row>
    <row r="2580" spans="1:6" x14ac:dyDescent="0.25">
      <c r="A2580" t="s">
        <v>4815</v>
      </c>
      <c r="B2580" t="s">
        <v>928</v>
      </c>
      <c r="C2580" t="s">
        <v>51</v>
      </c>
      <c r="D2580" t="s">
        <v>2068</v>
      </c>
      <c r="E2580" t="s">
        <v>1886</v>
      </c>
      <c r="F2580">
        <v>33710</v>
      </c>
    </row>
    <row r="2581" spans="1:6" x14ac:dyDescent="0.25">
      <c r="A2581" t="s">
        <v>4816</v>
      </c>
      <c r="B2581" t="s">
        <v>928</v>
      </c>
      <c r="C2581" t="s">
        <v>51</v>
      </c>
      <c r="D2581" t="s">
        <v>2401</v>
      </c>
      <c r="E2581" t="s">
        <v>1879</v>
      </c>
      <c r="F2581">
        <v>18671</v>
      </c>
    </row>
    <row r="2582" spans="1:6" x14ac:dyDescent="0.25">
      <c r="A2582" t="s">
        <v>4817</v>
      </c>
      <c r="B2582" t="s">
        <v>928</v>
      </c>
      <c r="C2582" t="s">
        <v>51</v>
      </c>
      <c r="D2582" t="s">
        <v>1921</v>
      </c>
      <c r="E2582" t="s">
        <v>1915</v>
      </c>
      <c r="F2582">
        <v>15455</v>
      </c>
    </row>
    <row r="2583" spans="1:6" x14ac:dyDescent="0.25">
      <c r="A2583" t="s">
        <v>4818</v>
      </c>
      <c r="B2583" t="s">
        <v>928</v>
      </c>
      <c r="C2583" t="s">
        <v>51</v>
      </c>
      <c r="D2583" t="s">
        <v>2175</v>
      </c>
      <c r="E2583" t="s">
        <v>1879</v>
      </c>
      <c r="F2583">
        <v>6489</v>
      </c>
    </row>
    <row r="2584" spans="1:6" x14ac:dyDescent="0.25">
      <c r="A2584" t="s">
        <v>4819</v>
      </c>
      <c r="B2584" t="s">
        <v>928</v>
      </c>
      <c r="C2584" t="s">
        <v>51</v>
      </c>
      <c r="D2584" t="s">
        <v>2126</v>
      </c>
      <c r="E2584" t="s">
        <v>1879</v>
      </c>
      <c r="F2584">
        <v>2538</v>
      </c>
    </row>
    <row r="2585" spans="1:6" x14ac:dyDescent="0.25">
      <c r="A2585" t="s">
        <v>4820</v>
      </c>
      <c r="B2585" t="s">
        <v>928</v>
      </c>
      <c r="C2585" t="s">
        <v>51</v>
      </c>
      <c r="D2585" t="s">
        <v>1988</v>
      </c>
      <c r="E2585" t="s">
        <v>1879</v>
      </c>
      <c r="F2585">
        <v>6760</v>
      </c>
    </row>
    <row r="2586" spans="1:6" x14ac:dyDescent="0.25">
      <c r="A2586" t="s">
        <v>4821</v>
      </c>
      <c r="B2586" t="s">
        <v>931</v>
      </c>
      <c r="C2586" t="s">
        <v>146</v>
      </c>
      <c r="D2586" t="s">
        <v>1885</v>
      </c>
      <c r="E2586" t="s">
        <v>1915</v>
      </c>
      <c r="F2586">
        <v>22235</v>
      </c>
    </row>
    <row r="2587" spans="1:6" x14ac:dyDescent="0.25">
      <c r="A2587" t="s">
        <v>4822</v>
      </c>
      <c r="B2587" t="s">
        <v>931</v>
      </c>
      <c r="C2587" t="s">
        <v>146</v>
      </c>
      <c r="D2587" t="s">
        <v>2502</v>
      </c>
      <c r="E2587" t="s">
        <v>1871</v>
      </c>
      <c r="F2587">
        <v>19895</v>
      </c>
    </row>
    <row r="2588" spans="1:6" x14ac:dyDescent="0.25">
      <c r="A2588" t="s">
        <v>4823</v>
      </c>
      <c r="B2588" t="s">
        <v>931</v>
      </c>
      <c r="C2588" t="s">
        <v>146</v>
      </c>
      <c r="D2588" t="s">
        <v>1910</v>
      </c>
      <c r="E2588" t="s">
        <v>1915</v>
      </c>
      <c r="F2588">
        <v>39779</v>
      </c>
    </row>
    <row r="2589" spans="1:6" x14ac:dyDescent="0.25">
      <c r="A2589" t="s">
        <v>4824</v>
      </c>
      <c r="B2589" t="s">
        <v>931</v>
      </c>
      <c r="C2589" t="s">
        <v>146</v>
      </c>
      <c r="D2589" t="s">
        <v>1984</v>
      </c>
      <c r="E2589" t="s">
        <v>1871</v>
      </c>
      <c r="F2589">
        <v>20312</v>
      </c>
    </row>
    <row r="2590" spans="1:6" x14ac:dyDescent="0.25">
      <c r="A2590" t="s">
        <v>4825</v>
      </c>
      <c r="B2590" t="s">
        <v>931</v>
      </c>
      <c r="C2590" t="s">
        <v>146</v>
      </c>
      <c r="D2590" t="s">
        <v>1960</v>
      </c>
      <c r="E2590" t="s">
        <v>1871</v>
      </c>
      <c r="F2590">
        <v>25328</v>
      </c>
    </row>
    <row r="2591" spans="1:6" x14ac:dyDescent="0.25">
      <c r="A2591" t="s">
        <v>4826</v>
      </c>
      <c r="B2591" t="s">
        <v>931</v>
      </c>
      <c r="C2591" t="s">
        <v>146</v>
      </c>
      <c r="D2591" t="s">
        <v>2101</v>
      </c>
      <c r="E2591" t="s">
        <v>1879</v>
      </c>
      <c r="F2591">
        <v>9798</v>
      </c>
    </row>
    <row r="2592" spans="1:6" x14ac:dyDescent="0.25">
      <c r="A2592" t="s">
        <v>4827</v>
      </c>
      <c r="B2592" t="s">
        <v>934</v>
      </c>
      <c r="C2592" t="s">
        <v>96</v>
      </c>
      <c r="D2592" t="s">
        <v>2661</v>
      </c>
      <c r="E2592" t="s">
        <v>1876</v>
      </c>
      <c r="F2592">
        <v>1149</v>
      </c>
    </row>
    <row r="2593" spans="1:6" x14ac:dyDescent="0.25">
      <c r="A2593" t="s">
        <v>4828</v>
      </c>
      <c r="B2593" t="s">
        <v>934</v>
      </c>
      <c r="C2593" t="s">
        <v>96</v>
      </c>
      <c r="D2593" t="s">
        <v>2195</v>
      </c>
      <c r="E2593" t="s">
        <v>1915</v>
      </c>
      <c r="F2593">
        <v>2302</v>
      </c>
    </row>
    <row r="2594" spans="1:6" x14ac:dyDescent="0.25">
      <c r="A2594" t="s">
        <v>4829</v>
      </c>
      <c r="B2594" t="s">
        <v>934</v>
      </c>
      <c r="C2594" t="s">
        <v>96</v>
      </c>
      <c r="D2594" t="s">
        <v>2305</v>
      </c>
      <c r="E2594" t="s">
        <v>1876</v>
      </c>
      <c r="F2594">
        <v>8670</v>
      </c>
    </row>
    <row r="2595" spans="1:6" x14ac:dyDescent="0.25">
      <c r="A2595" t="s">
        <v>4830</v>
      </c>
      <c r="B2595" t="s">
        <v>934</v>
      </c>
      <c r="C2595" t="s">
        <v>96</v>
      </c>
      <c r="D2595" t="s">
        <v>2077</v>
      </c>
      <c r="E2595" t="s">
        <v>1879</v>
      </c>
      <c r="F2595">
        <v>4681</v>
      </c>
    </row>
    <row r="2596" spans="1:6" x14ac:dyDescent="0.25">
      <c r="A2596" t="s">
        <v>4831</v>
      </c>
      <c r="B2596" t="s">
        <v>934</v>
      </c>
      <c r="C2596" t="s">
        <v>96</v>
      </c>
      <c r="D2596" t="s">
        <v>2878</v>
      </c>
      <c r="E2596" t="s">
        <v>1879</v>
      </c>
      <c r="F2596">
        <v>3919</v>
      </c>
    </row>
    <row r="2597" spans="1:6" x14ac:dyDescent="0.25">
      <c r="A2597" t="s">
        <v>4832</v>
      </c>
      <c r="B2597" t="s">
        <v>934</v>
      </c>
      <c r="C2597" t="s">
        <v>96</v>
      </c>
      <c r="D2597" t="s">
        <v>2210</v>
      </c>
      <c r="E2597" t="s">
        <v>1876</v>
      </c>
      <c r="F2597">
        <v>10154</v>
      </c>
    </row>
    <row r="2598" spans="1:6" x14ac:dyDescent="0.25">
      <c r="A2598" t="s">
        <v>4833</v>
      </c>
      <c r="B2598" t="s">
        <v>934</v>
      </c>
      <c r="C2598" t="s">
        <v>96</v>
      </c>
      <c r="D2598" t="s">
        <v>2271</v>
      </c>
      <c r="E2598" t="s">
        <v>1879</v>
      </c>
      <c r="F2598">
        <v>9383</v>
      </c>
    </row>
    <row r="2599" spans="1:6" x14ac:dyDescent="0.25">
      <c r="A2599" t="s">
        <v>4834</v>
      </c>
      <c r="B2599" t="s">
        <v>934</v>
      </c>
      <c r="C2599" t="s">
        <v>96</v>
      </c>
      <c r="D2599" t="s">
        <v>2036</v>
      </c>
      <c r="E2599" t="s">
        <v>1915</v>
      </c>
      <c r="F2599">
        <v>4898</v>
      </c>
    </row>
    <row r="2600" spans="1:6" x14ac:dyDescent="0.25">
      <c r="A2600" t="s">
        <v>4835</v>
      </c>
      <c r="B2600" t="s">
        <v>934</v>
      </c>
      <c r="C2600" t="s">
        <v>96</v>
      </c>
      <c r="D2600" t="s">
        <v>2464</v>
      </c>
      <c r="E2600" t="s">
        <v>1915</v>
      </c>
      <c r="F2600">
        <v>5236</v>
      </c>
    </row>
    <row r="2601" spans="1:6" x14ac:dyDescent="0.25">
      <c r="A2601" t="s">
        <v>4836</v>
      </c>
      <c r="B2601" t="s">
        <v>937</v>
      </c>
      <c r="C2601" t="s">
        <v>51</v>
      </c>
      <c r="D2601" t="s">
        <v>2645</v>
      </c>
      <c r="E2601" t="s">
        <v>1876</v>
      </c>
      <c r="F2601">
        <v>14095</v>
      </c>
    </row>
    <row r="2602" spans="1:6" x14ac:dyDescent="0.25">
      <c r="A2602" t="s">
        <v>4837</v>
      </c>
      <c r="B2602" t="s">
        <v>937</v>
      </c>
      <c r="C2602" t="s">
        <v>51</v>
      </c>
      <c r="D2602" t="s">
        <v>1925</v>
      </c>
      <c r="E2602" t="s">
        <v>1876</v>
      </c>
      <c r="F2602">
        <v>6838</v>
      </c>
    </row>
    <row r="2603" spans="1:6" x14ac:dyDescent="0.25">
      <c r="A2603" t="s">
        <v>4838</v>
      </c>
      <c r="B2603" t="s">
        <v>937</v>
      </c>
      <c r="C2603" t="s">
        <v>51</v>
      </c>
      <c r="D2603" t="s">
        <v>2863</v>
      </c>
      <c r="E2603" t="s">
        <v>1871</v>
      </c>
      <c r="F2603">
        <v>6505</v>
      </c>
    </row>
    <row r="2604" spans="1:6" x14ac:dyDescent="0.25">
      <c r="A2604" t="s">
        <v>4839</v>
      </c>
      <c r="B2604" t="s">
        <v>937</v>
      </c>
      <c r="C2604" t="s">
        <v>51</v>
      </c>
      <c r="D2604" t="s">
        <v>2765</v>
      </c>
      <c r="E2604" t="s">
        <v>1879</v>
      </c>
      <c r="F2604">
        <v>11910</v>
      </c>
    </row>
    <row r="2605" spans="1:6" x14ac:dyDescent="0.25">
      <c r="A2605" t="s">
        <v>4840</v>
      </c>
      <c r="B2605" t="s">
        <v>937</v>
      </c>
      <c r="C2605" t="s">
        <v>51</v>
      </c>
      <c r="D2605" t="s">
        <v>2387</v>
      </c>
      <c r="E2605" t="s">
        <v>1915</v>
      </c>
      <c r="F2605">
        <v>4140</v>
      </c>
    </row>
    <row r="2606" spans="1:6" x14ac:dyDescent="0.25">
      <c r="A2606" t="s">
        <v>4841</v>
      </c>
      <c r="B2606" t="s">
        <v>937</v>
      </c>
      <c r="C2606" t="s">
        <v>51</v>
      </c>
      <c r="D2606" t="s">
        <v>1964</v>
      </c>
      <c r="E2606" t="s">
        <v>1915</v>
      </c>
      <c r="F2606">
        <v>8529</v>
      </c>
    </row>
    <row r="2607" spans="1:6" x14ac:dyDescent="0.25">
      <c r="A2607" t="s">
        <v>4842</v>
      </c>
      <c r="B2607" t="s">
        <v>937</v>
      </c>
      <c r="C2607" t="s">
        <v>51</v>
      </c>
      <c r="D2607" t="s">
        <v>3188</v>
      </c>
      <c r="E2607" t="s">
        <v>1879</v>
      </c>
      <c r="F2607">
        <v>1476</v>
      </c>
    </row>
    <row r="2608" spans="1:6" x14ac:dyDescent="0.25">
      <c r="A2608" t="s">
        <v>4843</v>
      </c>
      <c r="B2608" t="s">
        <v>937</v>
      </c>
      <c r="C2608" t="s">
        <v>51</v>
      </c>
      <c r="D2608" t="s">
        <v>2066</v>
      </c>
      <c r="E2608" t="s">
        <v>1886</v>
      </c>
      <c r="F2608">
        <v>6766</v>
      </c>
    </row>
    <row r="2609" spans="1:6" x14ac:dyDescent="0.25">
      <c r="A2609" t="s">
        <v>4844</v>
      </c>
      <c r="B2609" t="s">
        <v>937</v>
      </c>
      <c r="C2609" t="s">
        <v>51</v>
      </c>
      <c r="D2609" t="s">
        <v>2032</v>
      </c>
      <c r="E2609" t="s">
        <v>1876</v>
      </c>
      <c r="F2609">
        <v>2346</v>
      </c>
    </row>
    <row r="2610" spans="1:6" x14ac:dyDescent="0.25">
      <c r="A2610" t="s">
        <v>4845</v>
      </c>
      <c r="B2610" t="s">
        <v>937</v>
      </c>
      <c r="C2610" t="s">
        <v>51</v>
      </c>
      <c r="D2610" t="s">
        <v>2529</v>
      </c>
      <c r="E2610" t="s">
        <v>1879</v>
      </c>
      <c r="F2610">
        <v>5157</v>
      </c>
    </row>
    <row r="2611" spans="1:6" x14ac:dyDescent="0.25">
      <c r="A2611" t="s">
        <v>4846</v>
      </c>
      <c r="B2611" t="s">
        <v>940</v>
      </c>
      <c r="C2611" t="s">
        <v>73</v>
      </c>
      <c r="D2611" t="s">
        <v>2954</v>
      </c>
      <c r="E2611" t="s">
        <v>1915</v>
      </c>
      <c r="F2611">
        <v>70490</v>
      </c>
    </row>
    <row r="2612" spans="1:6" x14ac:dyDescent="0.25">
      <c r="A2612" t="s">
        <v>4847</v>
      </c>
      <c r="B2612" t="s">
        <v>940</v>
      </c>
      <c r="C2612" t="s">
        <v>73</v>
      </c>
      <c r="D2612" t="s">
        <v>2409</v>
      </c>
      <c r="E2612" t="s">
        <v>1876</v>
      </c>
      <c r="F2612">
        <v>21767</v>
      </c>
    </row>
    <row r="2613" spans="1:6" x14ac:dyDescent="0.25">
      <c r="A2613" t="s">
        <v>4848</v>
      </c>
      <c r="B2613" t="s">
        <v>940</v>
      </c>
      <c r="C2613" t="s">
        <v>73</v>
      </c>
      <c r="D2613" t="s">
        <v>2042</v>
      </c>
      <c r="E2613" t="s">
        <v>1886</v>
      </c>
      <c r="F2613">
        <v>29596</v>
      </c>
    </row>
    <row r="2614" spans="1:6" x14ac:dyDescent="0.25">
      <c r="A2614" t="s">
        <v>4849</v>
      </c>
      <c r="B2614" t="s">
        <v>940</v>
      </c>
      <c r="C2614" t="s">
        <v>73</v>
      </c>
      <c r="D2614" t="s">
        <v>2708</v>
      </c>
      <c r="E2614" t="s">
        <v>1879</v>
      </c>
      <c r="F2614">
        <v>21125</v>
      </c>
    </row>
    <row r="2615" spans="1:6" x14ac:dyDescent="0.25">
      <c r="A2615" t="s">
        <v>4850</v>
      </c>
      <c r="B2615" t="s">
        <v>940</v>
      </c>
      <c r="C2615" t="s">
        <v>73</v>
      </c>
      <c r="D2615" t="s">
        <v>2565</v>
      </c>
      <c r="E2615" t="s">
        <v>1871</v>
      </c>
      <c r="F2615">
        <v>41919</v>
      </c>
    </row>
    <row r="2616" spans="1:6" x14ac:dyDescent="0.25">
      <c r="A2616" t="s">
        <v>4851</v>
      </c>
      <c r="B2616" t="s">
        <v>940</v>
      </c>
      <c r="C2616" t="s">
        <v>73</v>
      </c>
      <c r="D2616" t="s">
        <v>2305</v>
      </c>
      <c r="E2616" t="s">
        <v>1915</v>
      </c>
      <c r="F2616">
        <v>53967</v>
      </c>
    </row>
    <row r="2617" spans="1:6" x14ac:dyDescent="0.25">
      <c r="A2617" t="s">
        <v>4852</v>
      </c>
      <c r="B2617" t="s">
        <v>943</v>
      </c>
      <c r="C2617" t="s">
        <v>96</v>
      </c>
      <c r="D2617" t="s">
        <v>2252</v>
      </c>
      <c r="E2617" t="s">
        <v>1879</v>
      </c>
      <c r="F2617">
        <v>10006</v>
      </c>
    </row>
    <row r="2618" spans="1:6" x14ac:dyDescent="0.25">
      <c r="A2618" t="s">
        <v>4853</v>
      </c>
      <c r="B2618" t="s">
        <v>943</v>
      </c>
      <c r="C2618" t="s">
        <v>96</v>
      </c>
      <c r="D2618" t="s">
        <v>2061</v>
      </c>
      <c r="E2618" t="s">
        <v>1876</v>
      </c>
      <c r="F2618">
        <v>16363</v>
      </c>
    </row>
    <row r="2619" spans="1:6" x14ac:dyDescent="0.25">
      <c r="A2619" t="s">
        <v>4854</v>
      </c>
      <c r="B2619" t="s">
        <v>943</v>
      </c>
      <c r="C2619" t="s">
        <v>96</v>
      </c>
      <c r="D2619" t="s">
        <v>3785</v>
      </c>
      <c r="E2619" t="s">
        <v>1886</v>
      </c>
      <c r="F2619">
        <v>7037</v>
      </c>
    </row>
    <row r="2620" spans="1:6" x14ac:dyDescent="0.25">
      <c r="A2620" t="s">
        <v>4855</v>
      </c>
      <c r="B2620" t="s">
        <v>943</v>
      </c>
      <c r="C2620" t="s">
        <v>96</v>
      </c>
      <c r="D2620" t="s">
        <v>2537</v>
      </c>
      <c r="E2620" t="s">
        <v>1871</v>
      </c>
      <c r="F2620">
        <v>8656</v>
      </c>
    </row>
    <row r="2621" spans="1:6" x14ac:dyDescent="0.25">
      <c r="A2621" t="s">
        <v>4856</v>
      </c>
      <c r="B2621" t="s">
        <v>943</v>
      </c>
      <c r="C2621" t="s">
        <v>96</v>
      </c>
      <c r="D2621" t="s">
        <v>2672</v>
      </c>
      <c r="E2621" t="s">
        <v>1886</v>
      </c>
      <c r="F2621">
        <v>5973</v>
      </c>
    </row>
    <row r="2622" spans="1:6" x14ac:dyDescent="0.25">
      <c r="A2622" t="s">
        <v>4857</v>
      </c>
      <c r="B2622" t="s">
        <v>943</v>
      </c>
      <c r="C2622" t="s">
        <v>96</v>
      </c>
      <c r="D2622" t="s">
        <v>2557</v>
      </c>
      <c r="E2622" t="s">
        <v>1871</v>
      </c>
      <c r="F2622">
        <v>17903</v>
      </c>
    </row>
    <row r="2623" spans="1:6" x14ac:dyDescent="0.25">
      <c r="A2623" t="s">
        <v>4858</v>
      </c>
      <c r="B2623" t="s">
        <v>943</v>
      </c>
      <c r="C2623" t="s">
        <v>96</v>
      </c>
      <c r="D2623" t="s">
        <v>2302</v>
      </c>
      <c r="E2623" t="s">
        <v>1879</v>
      </c>
      <c r="F2623">
        <v>18005</v>
      </c>
    </row>
    <row r="2624" spans="1:6" x14ac:dyDescent="0.25">
      <c r="A2624" t="s">
        <v>4859</v>
      </c>
      <c r="B2624" t="s">
        <v>943</v>
      </c>
      <c r="C2624" t="s">
        <v>96</v>
      </c>
      <c r="D2624" t="s">
        <v>2666</v>
      </c>
      <c r="E2624" t="s">
        <v>1915</v>
      </c>
      <c r="F2624">
        <v>19390</v>
      </c>
    </row>
    <row r="2625" spans="1:6" x14ac:dyDescent="0.25">
      <c r="A2625" t="s">
        <v>4860</v>
      </c>
      <c r="B2625" t="s">
        <v>943</v>
      </c>
      <c r="C2625" t="s">
        <v>96</v>
      </c>
      <c r="D2625" t="s">
        <v>2588</v>
      </c>
      <c r="E2625" t="s">
        <v>1871</v>
      </c>
      <c r="F2625">
        <v>14827</v>
      </c>
    </row>
    <row r="2626" spans="1:6" x14ac:dyDescent="0.25">
      <c r="A2626" t="s">
        <v>4861</v>
      </c>
      <c r="B2626" t="s">
        <v>943</v>
      </c>
      <c r="C2626" t="s">
        <v>96</v>
      </c>
      <c r="D2626" t="s">
        <v>2320</v>
      </c>
      <c r="E2626" t="s">
        <v>1879</v>
      </c>
      <c r="F2626">
        <v>10522</v>
      </c>
    </row>
    <row r="2627" spans="1:6" x14ac:dyDescent="0.25">
      <c r="A2627" t="s">
        <v>4862</v>
      </c>
      <c r="B2627" t="s">
        <v>943</v>
      </c>
      <c r="C2627" t="s">
        <v>96</v>
      </c>
      <c r="D2627" t="s">
        <v>3119</v>
      </c>
      <c r="E2627" t="s">
        <v>1915</v>
      </c>
      <c r="F2627">
        <v>29148</v>
      </c>
    </row>
    <row r="2628" spans="1:6" x14ac:dyDescent="0.25">
      <c r="A2628" t="s">
        <v>4863</v>
      </c>
      <c r="B2628" t="s">
        <v>946</v>
      </c>
      <c r="C2628" t="s">
        <v>146</v>
      </c>
      <c r="D2628" t="s">
        <v>2829</v>
      </c>
      <c r="E2628" t="s">
        <v>1879</v>
      </c>
      <c r="F2628">
        <v>19424</v>
      </c>
    </row>
    <row r="2629" spans="1:6" x14ac:dyDescent="0.25">
      <c r="A2629" t="s">
        <v>4864</v>
      </c>
      <c r="B2629" t="s">
        <v>946</v>
      </c>
      <c r="C2629" t="s">
        <v>146</v>
      </c>
      <c r="D2629" t="s">
        <v>2286</v>
      </c>
      <c r="E2629" t="s">
        <v>1886</v>
      </c>
      <c r="F2629">
        <v>2693</v>
      </c>
    </row>
    <row r="2630" spans="1:6" x14ac:dyDescent="0.25">
      <c r="A2630" t="s">
        <v>4865</v>
      </c>
      <c r="B2630" t="s">
        <v>946</v>
      </c>
      <c r="C2630" t="s">
        <v>146</v>
      </c>
      <c r="D2630" t="s">
        <v>2221</v>
      </c>
      <c r="E2630" t="s">
        <v>1876</v>
      </c>
      <c r="F2630">
        <v>3678</v>
      </c>
    </row>
    <row r="2631" spans="1:6" x14ac:dyDescent="0.25">
      <c r="A2631" t="s">
        <v>4866</v>
      </c>
      <c r="B2631" t="s">
        <v>946</v>
      </c>
      <c r="C2631" t="s">
        <v>146</v>
      </c>
      <c r="D2631" t="s">
        <v>2151</v>
      </c>
      <c r="E2631" t="s">
        <v>1879</v>
      </c>
      <c r="F2631">
        <v>26807</v>
      </c>
    </row>
    <row r="2632" spans="1:6" x14ac:dyDescent="0.25">
      <c r="A2632" t="s">
        <v>4867</v>
      </c>
      <c r="B2632" t="s">
        <v>946</v>
      </c>
      <c r="C2632" t="s">
        <v>146</v>
      </c>
      <c r="D2632" t="s">
        <v>2775</v>
      </c>
      <c r="E2632" t="s">
        <v>1915</v>
      </c>
      <c r="F2632">
        <v>29855</v>
      </c>
    </row>
    <row r="2633" spans="1:6" x14ac:dyDescent="0.25">
      <c r="A2633" t="s">
        <v>4868</v>
      </c>
      <c r="B2633" t="s">
        <v>946</v>
      </c>
      <c r="C2633" t="s">
        <v>146</v>
      </c>
      <c r="D2633" t="s">
        <v>2088</v>
      </c>
      <c r="E2633" t="s">
        <v>1915</v>
      </c>
      <c r="F2633">
        <v>3093</v>
      </c>
    </row>
    <row r="2634" spans="1:6" x14ac:dyDescent="0.25">
      <c r="A2634" t="s">
        <v>4869</v>
      </c>
      <c r="B2634" t="s">
        <v>949</v>
      </c>
      <c r="C2634" t="s">
        <v>146</v>
      </c>
      <c r="D2634" t="s">
        <v>1873</v>
      </c>
      <c r="E2634" t="s">
        <v>1871</v>
      </c>
      <c r="F2634">
        <v>8897</v>
      </c>
    </row>
    <row r="2635" spans="1:6" x14ac:dyDescent="0.25">
      <c r="A2635" t="s">
        <v>4870</v>
      </c>
      <c r="B2635" t="s">
        <v>949</v>
      </c>
      <c r="C2635" t="s">
        <v>146</v>
      </c>
      <c r="D2635" t="s">
        <v>1919</v>
      </c>
      <c r="E2635" t="s">
        <v>1915</v>
      </c>
      <c r="F2635">
        <v>32958</v>
      </c>
    </row>
    <row r="2636" spans="1:6" x14ac:dyDescent="0.25">
      <c r="A2636" t="s">
        <v>4871</v>
      </c>
      <c r="B2636" t="s">
        <v>949</v>
      </c>
      <c r="C2636" t="s">
        <v>146</v>
      </c>
      <c r="D2636" t="s">
        <v>3030</v>
      </c>
      <c r="E2636" t="s">
        <v>1871</v>
      </c>
      <c r="F2636">
        <v>11047</v>
      </c>
    </row>
    <row r="2637" spans="1:6" x14ac:dyDescent="0.25">
      <c r="A2637" t="s">
        <v>4872</v>
      </c>
      <c r="B2637" t="s">
        <v>949</v>
      </c>
      <c r="C2637" t="s">
        <v>146</v>
      </c>
      <c r="D2637" t="s">
        <v>2009</v>
      </c>
      <c r="E2637" t="s">
        <v>1915</v>
      </c>
      <c r="F2637">
        <v>26605</v>
      </c>
    </row>
    <row r="2638" spans="1:6" x14ac:dyDescent="0.25">
      <c r="A2638" t="s">
        <v>4873</v>
      </c>
      <c r="B2638" t="s">
        <v>949</v>
      </c>
      <c r="C2638" t="s">
        <v>146</v>
      </c>
      <c r="D2638" t="s">
        <v>2226</v>
      </c>
      <c r="E2638" t="s">
        <v>1871</v>
      </c>
      <c r="F2638">
        <v>2208</v>
      </c>
    </row>
    <row r="2639" spans="1:6" x14ac:dyDescent="0.25">
      <c r="A2639" t="s">
        <v>4874</v>
      </c>
      <c r="B2639" t="s">
        <v>949</v>
      </c>
      <c r="C2639" t="s">
        <v>146</v>
      </c>
      <c r="D2639" t="s">
        <v>1975</v>
      </c>
      <c r="E2639" t="s">
        <v>1876</v>
      </c>
      <c r="F2639">
        <v>1261</v>
      </c>
    </row>
    <row r="2640" spans="1:6" x14ac:dyDescent="0.25">
      <c r="A2640" t="s">
        <v>4875</v>
      </c>
      <c r="B2640" t="s">
        <v>949</v>
      </c>
      <c r="C2640" t="s">
        <v>146</v>
      </c>
      <c r="D2640" t="s">
        <v>2234</v>
      </c>
      <c r="E2640" t="s">
        <v>1886</v>
      </c>
      <c r="F2640">
        <v>8653</v>
      </c>
    </row>
    <row r="2641" spans="1:6" x14ac:dyDescent="0.25">
      <c r="A2641" t="s">
        <v>4876</v>
      </c>
      <c r="B2641" t="s">
        <v>949</v>
      </c>
      <c r="C2641" t="s">
        <v>146</v>
      </c>
      <c r="D2641" t="s">
        <v>3969</v>
      </c>
      <c r="E2641" t="s">
        <v>1915</v>
      </c>
      <c r="F2641">
        <v>28942</v>
      </c>
    </row>
    <row r="2642" spans="1:6" x14ac:dyDescent="0.25">
      <c r="A2642" t="s">
        <v>4877</v>
      </c>
      <c r="B2642" t="s">
        <v>949</v>
      </c>
      <c r="C2642" t="s">
        <v>146</v>
      </c>
      <c r="D2642" t="s">
        <v>2531</v>
      </c>
      <c r="E2642" t="s">
        <v>1886</v>
      </c>
      <c r="F2642">
        <v>8811</v>
      </c>
    </row>
    <row r="2643" spans="1:6" x14ac:dyDescent="0.25">
      <c r="A2643" t="s">
        <v>4878</v>
      </c>
      <c r="B2643" t="s">
        <v>952</v>
      </c>
      <c r="C2643" t="s">
        <v>51</v>
      </c>
      <c r="D2643" t="s">
        <v>2044</v>
      </c>
      <c r="E2643" t="s">
        <v>1879</v>
      </c>
      <c r="F2643">
        <v>5437</v>
      </c>
    </row>
    <row r="2644" spans="1:6" x14ac:dyDescent="0.25">
      <c r="A2644" t="s">
        <v>4879</v>
      </c>
      <c r="B2644" t="s">
        <v>952</v>
      </c>
      <c r="C2644" t="s">
        <v>51</v>
      </c>
      <c r="D2644" t="s">
        <v>1910</v>
      </c>
      <c r="E2644" t="s">
        <v>1871</v>
      </c>
      <c r="F2644">
        <v>2787</v>
      </c>
    </row>
    <row r="2645" spans="1:6" x14ac:dyDescent="0.25">
      <c r="A2645" t="s">
        <v>4880</v>
      </c>
      <c r="B2645" t="s">
        <v>952</v>
      </c>
      <c r="C2645" t="s">
        <v>51</v>
      </c>
      <c r="D2645" t="s">
        <v>3233</v>
      </c>
      <c r="E2645" t="s">
        <v>1879</v>
      </c>
      <c r="F2645">
        <v>18429</v>
      </c>
    </row>
    <row r="2646" spans="1:6" x14ac:dyDescent="0.25">
      <c r="A2646" t="s">
        <v>4881</v>
      </c>
      <c r="B2646" t="s">
        <v>952</v>
      </c>
      <c r="C2646" t="s">
        <v>51</v>
      </c>
      <c r="D2646" t="s">
        <v>2599</v>
      </c>
      <c r="E2646" t="s">
        <v>1879</v>
      </c>
      <c r="F2646">
        <v>17886</v>
      </c>
    </row>
    <row r="2647" spans="1:6" x14ac:dyDescent="0.25">
      <c r="A2647" t="s">
        <v>4882</v>
      </c>
      <c r="B2647" t="s">
        <v>952</v>
      </c>
      <c r="C2647" t="s">
        <v>51</v>
      </c>
      <c r="D2647" t="s">
        <v>2101</v>
      </c>
      <c r="E2647" t="s">
        <v>1871</v>
      </c>
      <c r="F2647">
        <v>16086</v>
      </c>
    </row>
    <row r="2648" spans="1:6" x14ac:dyDescent="0.25">
      <c r="A2648" t="s">
        <v>4883</v>
      </c>
      <c r="B2648" t="s">
        <v>952</v>
      </c>
      <c r="C2648" t="s">
        <v>51</v>
      </c>
      <c r="D2648" t="s">
        <v>2599</v>
      </c>
      <c r="E2648" t="s">
        <v>1876</v>
      </c>
      <c r="F2648">
        <v>19765</v>
      </c>
    </row>
    <row r="2649" spans="1:6" x14ac:dyDescent="0.25">
      <c r="A2649" t="s">
        <v>4884</v>
      </c>
      <c r="B2649" t="s">
        <v>952</v>
      </c>
      <c r="C2649" t="s">
        <v>51</v>
      </c>
      <c r="D2649" t="s">
        <v>2328</v>
      </c>
      <c r="E2649" t="s">
        <v>1886</v>
      </c>
      <c r="F2649">
        <v>4817</v>
      </c>
    </row>
    <row r="2650" spans="1:6" x14ac:dyDescent="0.25">
      <c r="A2650" t="s">
        <v>4885</v>
      </c>
      <c r="B2650" t="s">
        <v>952</v>
      </c>
      <c r="C2650" t="s">
        <v>51</v>
      </c>
      <c r="D2650" t="s">
        <v>3093</v>
      </c>
      <c r="E2650" t="s">
        <v>1871</v>
      </c>
      <c r="F2650">
        <v>426</v>
      </c>
    </row>
    <row r="2651" spans="1:6" x14ac:dyDescent="0.25">
      <c r="A2651" t="s">
        <v>4886</v>
      </c>
      <c r="B2651" t="s">
        <v>952</v>
      </c>
      <c r="C2651" t="s">
        <v>51</v>
      </c>
      <c r="D2651" t="s">
        <v>2672</v>
      </c>
      <c r="E2651" t="s">
        <v>1915</v>
      </c>
      <c r="F2651">
        <v>5663</v>
      </c>
    </row>
    <row r="2652" spans="1:6" x14ac:dyDescent="0.25">
      <c r="A2652" t="s">
        <v>4887</v>
      </c>
      <c r="B2652" t="s">
        <v>952</v>
      </c>
      <c r="C2652" t="s">
        <v>51</v>
      </c>
      <c r="D2652" t="s">
        <v>2803</v>
      </c>
      <c r="E2652" t="s">
        <v>1876</v>
      </c>
      <c r="F2652">
        <v>17902</v>
      </c>
    </row>
    <row r="2653" spans="1:6" x14ac:dyDescent="0.25">
      <c r="A2653" t="s">
        <v>4888</v>
      </c>
      <c r="B2653" t="s">
        <v>955</v>
      </c>
      <c r="C2653" t="s">
        <v>73</v>
      </c>
      <c r="D2653" t="s">
        <v>2101</v>
      </c>
      <c r="E2653" t="s">
        <v>1886</v>
      </c>
      <c r="F2653">
        <v>23935</v>
      </c>
    </row>
    <row r="2654" spans="1:6" x14ac:dyDescent="0.25">
      <c r="A2654" t="s">
        <v>4889</v>
      </c>
      <c r="B2654" t="s">
        <v>955</v>
      </c>
      <c r="C2654" t="s">
        <v>73</v>
      </c>
      <c r="D2654" t="s">
        <v>2151</v>
      </c>
      <c r="E2654" t="s">
        <v>1879</v>
      </c>
      <c r="F2654">
        <v>21182</v>
      </c>
    </row>
    <row r="2655" spans="1:6" x14ac:dyDescent="0.25">
      <c r="A2655" t="s">
        <v>4890</v>
      </c>
      <c r="B2655" t="s">
        <v>955</v>
      </c>
      <c r="C2655" t="s">
        <v>73</v>
      </c>
      <c r="D2655" t="s">
        <v>2425</v>
      </c>
      <c r="E2655" t="s">
        <v>1876</v>
      </c>
      <c r="F2655">
        <v>20570</v>
      </c>
    </row>
    <row r="2656" spans="1:6" x14ac:dyDescent="0.25">
      <c r="A2656" t="s">
        <v>4891</v>
      </c>
      <c r="B2656" t="s">
        <v>955</v>
      </c>
      <c r="C2656" t="s">
        <v>73</v>
      </c>
      <c r="D2656" t="s">
        <v>1988</v>
      </c>
      <c r="E2656" t="s">
        <v>1915</v>
      </c>
      <c r="F2656">
        <v>11363</v>
      </c>
    </row>
    <row r="2657" spans="1:6" x14ac:dyDescent="0.25">
      <c r="A2657" t="s">
        <v>4892</v>
      </c>
      <c r="B2657" t="s">
        <v>955</v>
      </c>
      <c r="C2657" t="s">
        <v>73</v>
      </c>
      <c r="D2657" t="s">
        <v>2645</v>
      </c>
      <c r="E2657" t="s">
        <v>1915</v>
      </c>
      <c r="F2657">
        <v>37534</v>
      </c>
    </row>
    <row r="2658" spans="1:6" x14ac:dyDescent="0.25">
      <c r="A2658" t="s">
        <v>4893</v>
      </c>
      <c r="B2658" t="s">
        <v>955</v>
      </c>
      <c r="C2658" t="s">
        <v>73</v>
      </c>
      <c r="D2658" t="s">
        <v>1975</v>
      </c>
      <c r="E2658" t="s">
        <v>1879</v>
      </c>
      <c r="F2658">
        <v>3609</v>
      </c>
    </row>
    <row r="2659" spans="1:6" x14ac:dyDescent="0.25">
      <c r="A2659" t="s">
        <v>4894</v>
      </c>
      <c r="B2659" t="s">
        <v>955</v>
      </c>
      <c r="C2659" t="s">
        <v>73</v>
      </c>
      <c r="D2659" t="s">
        <v>3785</v>
      </c>
      <c r="E2659" t="s">
        <v>1915</v>
      </c>
      <c r="F2659">
        <v>6468</v>
      </c>
    </row>
    <row r="2660" spans="1:6" x14ac:dyDescent="0.25">
      <c r="A2660" t="s">
        <v>4895</v>
      </c>
      <c r="B2660" t="s">
        <v>955</v>
      </c>
      <c r="C2660" t="s">
        <v>73</v>
      </c>
      <c r="D2660" t="s">
        <v>2546</v>
      </c>
      <c r="E2660" t="s">
        <v>1871</v>
      </c>
      <c r="F2660">
        <v>19056</v>
      </c>
    </row>
    <row r="2661" spans="1:6" x14ac:dyDescent="0.25">
      <c r="A2661" t="s">
        <v>4896</v>
      </c>
      <c r="B2661" t="s">
        <v>955</v>
      </c>
      <c r="C2661" t="s">
        <v>73</v>
      </c>
      <c r="D2661" t="s">
        <v>2399</v>
      </c>
      <c r="E2661" t="s">
        <v>1871</v>
      </c>
      <c r="F2661">
        <v>17919</v>
      </c>
    </row>
    <row r="2662" spans="1:6" x14ac:dyDescent="0.25">
      <c r="A2662" t="s">
        <v>4897</v>
      </c>
      <c r="B2662" t="s">
        <v>958</v>
      </c>
      <c r="C2662" t="s">
        <v>51</v>
      </c>
      <c r="D2662" t="s">
        <v>2352</v>
      </c>
      <c r="E2662" t="s">
        <v>1915</v>
      </c>
      <c r="F2662">
        <v>24166</v>
      </c>
    </row>
    <row r="2663" spans="1:6" x14ac:dyDescent="0.25">
      <c r="A2663" t="s">
        <v>4898</v>
      </c>
      <c r="B2663" t="s">
        <v>958</v>
      </c>
      <c r="C2663" t="s">
        <v>51</v>
      </c>
      <c r="D2663" t="s">
        <v>2738</v>
      </c>
      <c r="E2663" t="s">
        <v>1879</v>
      </c>
      <c r="F2663">
        <v>454</v>
      </c>
    </row>
    <row r="2664" spans="1:6" x14ac:dyDescent="0.25">
      <c r="A2664" t="s">
        <v>4899</v>
      </c>
      <c r="B2664" t="s">
        <v>958</v>
      </c>
      <c r="C2664" t="s">
        <v>51</v>
      </c>
      <c r="D2664" t="s">
        <v>2181</v>
      </c>
      <c r="E2664" t="s">
        <v>1871</v>
      </c>
      <c r="F2664">
        <v>20016</v>
      </c>
    </row>
    <row r="2665" spans="1:6" x14ac:dyDescent="0.25">
      <c r="A2665" t="s">
        <v>4900</v>
      </c>
      <c r="B2665" t="s">
        <v>958</v>
      </c>
      <c r="C2665" t="s">
        <v>51</v>
      </c>
      <c r="D2665" t="s">
        <v>2588</v>
      </c>
      <c r="E2665" t="s">
        <v>1876</v>
      </c>
      <c r="F2665">
        <v>13637</v>
      </c>
    </row>
    <row r="2666" spans="1:6" x14ac:dyDescent="0.25">
      <c r="A2666" t="s">
        <v>4901</v>
      </c>
      <c r="B2666" t="s">
        <v>958</v>
      </c>
      <c r="C2666" t="s">
        <v>51</v>
      </c>
      <c r="D2666" t="s">
        <v>2297</v>
      </c>
      <c r="E2666" t="s">
        <v>1879</v>
      </c>
      <c r="F2666">
        <v>7535</v>
      </c>
    </row>
    <row r="2667" spans="1:6" x14ac:dyDescent="0.25">
      <c r="A2667" t="s">
        <v>4902</v>
      </c>
      <c r="B2667" t="s">
        <v>958</v>
      </c>
      <c r="C2667" t="s">
        <v>51</v>
      </c>
      <c r="D2667" t="s">
        <v>2101</v>
      </c>
      <c r="E2667" t="s">
        <v>1886</v>
      </c>
      <c r="F2667">
        <v>13100</v>
      </c>
    </row>
    <row r="2668" spans="1:6" x14ac:dyDescent="0.25">
      <c r="A2668" t="s">
        <v>4903</v>
      </c>
      <c r="B2668" t="s">
        <v>958</v>
      </c>
      <c r="C2668" t="s">
        <v>51</v>
      </c>
      <c r="D2668" t="s">
        <v>2254</v>
      </c>
      <c r="E2668" t="s">
        <v>1886</v>
      </c>
      <c r="F2668">
        <v>34230</v>
      </c>
    </row>
    <row r="2669" spans="1:6" x14ac:dyDescent="0.25">
      <c r="A2669" t="s">
        <v>4904</v>
      </c>
      <c r="B2669" t="s">
        <v>958</v>
      </c>
      <c r="C2669" t="s">
        <v>51</v>
      </c>
      <c r="D2669" t="s">
        <v>2126</v>
      </c>
      <c r="E2669" t="s">
        <v>1915</v>
      </c>
      <c r="F2669">
        <v>33144</v>
      </c>
    </row>
    <row r="2670" spans="1:6" x14ac:dyDescent="0.25">
      <c r="A2670" t="s">
        <v>4905</v>
      </c>
      <c r="B2670" t="s">
        <v>958</v>
      </c>
      <c r="C2670" t="s">
        <v>51</v>
      </c>
      <c r="D2670" t="s">
        <v>2173</v>
      </c>
      <c r="E2670" t="s">
        <v>1886</v>
      </c>
      <c r="F2670">
        <v>27149</v>
      </c>
    </row>
    <row r="2671" spans="1:6" x14ac:dyDescent="0.25">
      <c r="A2671" t="s">
        <v>4906</v>
      </c>
      <c r="B2671" t="s">
        <v>961</v>
      </c>
      <c r="C2671" t="s">
        <v>73</v>
      </c>
      <c r="D2671" t="s">
        <v>2498</v>
      </c>
      <c r="E2671" t="s">
        <v>1879</v>
      </c>
      <c r="F2671">
        <v>26920</v>
      </c>
    </row>
    <row r="2672" spans="1:6" x14ac:dyDescent="0.25">
      <c r="A2672" t="s">
        <v>4907</v>
      </c>
      <c r="B2672" t="s">
        <v>961</v>
      </c>
      <c r="C2672" t="s">
        <v>73</v>
      </c>
      <c r="D2672" t="s">
        <v>2726</v>
      </c>
      <c r="E2672" t="s">
        <v>1871</v>
      </c>
      <c r="F2672">
        <v>6579</v>
      </c>
    </row>
    <row r="2673" spans="1:6" x14ac:dyDescent="0.25">
      <c r="A2673" t="s">
        <v>4908</v>
      </c>
      <c r="B2673" t="s">
        <v>961</v>
      </c>
      <c r="C2673" t="s">
        <v>73</v>
      </c>
      <c r="D2673" t="s">
        <v>1975</v>
      </c>
      <c r="E2673" t="s">
        <v>1915</v>
      </c>
      <c r="F2673">
        <v>46378</v>
      </c>
    </row>
    <row r="2674" spans="1:6" x14ac:dyDescent="0.25">
      <c r="A2674" t="s">
        <v>4909</v>
      </c>
      <c r="B2674" t="s">
        <v>961</v>
      </c>
      <c r="C2674" t="s">
        <v>73</v>
      </c>
      <c r="D2674" t="s">
        <v>2212</v>
      </c>
      <c r="E2674" t="s">
        <v>1879</v>
      </c>
      <c r="F2674">
        <v>1840</v>
      </c>
    </row>
    <row r="2675" spans="1:6" x14ac:dyDescent="0.25">
      <c r="A2675" t="s">
        <v>4910</v>
      </c>
      <c r="B2675" t="s">
        <v>961</v>
      </c>
      <c r="C2675" t="s">
        <v>73</v>
      </c>
      <c r="D2675" t="s">
        <v>2699</v>
      </c>
      <c r="E2675" t="s">
        <v>1876</v>
      </c>
      <c r="F2675">
        <v>20691</v>
      </c>
    </row>
    <row r="2676" spans="1:6" x14ac:dyDescent="0.25">
      <c r="A2676" t="s">
        <v>4911</v>
      </c>
      <c r="B2676" t="s">
        <v>961</v>
      </c>
      <c r="C2676" t="s">
        <v>73</v>
      </c>
      <c r="D2676" t="s">
        <v>2284</v>
      </c>
      <c r="E2676" t="s">
        <v>1915</v>
      </c>
      <c r="F2676">
        <v>43173</v>
      </c>
    </row>
    <row r="2677" spans="1:6" x14ac:dyDescent="0.25">
      <c r="A2677" t="s">
        <v>4912</v>
      </c>
      <c r="B2677" t="s">
        <v>964</v>
      </c>
      <c r="C2677" t="s">
        <v>73</v>
      </c>
      <c r="D2677" t="s">
        <v>1883</v>
      </c>
      <c r="E2677" t="s">
        <v>1915</v>
      </c>
      <c r="F2677">
        <v>18901</v>
      </c>
    </row>
    <row r="2678" spans="1:6" x14ac:dyDescent="0.25">
      <c r="A2678" t="s">
        <v>4913</v>
      </c>
      <c r="B2678" t="s">
        <v>964</v>
      </c>
      <c r="C2678" t="s">
        <v>73</v>
      </c>
      <c r="D2678" t="s">
        <v>3446</v>
      </c>
      <c r="E2678" t="s">
        <v>1915</v>
      </c>
      <c r="F2678">
        <v>17377</v>
      </c>
    </row>
    <row r="2679" spans="1:6" x14ac:dyDescent="0.25">
      <c r="A2679" t="s">
        <v>4914</v>
      </c>
      <c r="B2679" t="s">
        <v>964</v>
      </c>
      <c r="C2679" t="s">
        <v>73</v>
      </c>
      <c r="D2679" t="s">
        <v>2271</v>
      </c>
      <c r="E2679" t="s">
        <v>1876</v>
      </c>
      <c r="F2679">
        <v>7658</v>
      </c>
    </row>
    <row r="2680" spans="1:6" x14ac:dyDescent="0.25">
      <c r="A2680" t="s">
        <v>4915</v>
      </c>
      <c r="B2680" t="s">
        <v>964</v>
      </c>
      <c r="C2680" t="s">
        <v>73</v>
      </c>
      <c r="D2680" t="s">
        <v>2221</v>
      </c>
      <c r="E2680" t="s">
        <v>1886</v>
      </c>
      <c r="F2680">
        <v>6008</v>
      </c>
    </row>
    <row r="2681" spans="1:6" x14ac:dyDescent="0.25">
      <c r="A2681" t="s">
        <v>4916</v>
      </c>
      <c r="B2681" t="s">
        <v>964</v>
      </c>
      <c r="C2681" t="s">
        <v>73</v>
      </c>
      <c r="D2681" t="s">
        <v>1480</v>
      </c>
      <c r="E2681" t="s">
        <v>1915</v>
      </c>
      <c r="F2681">
        <v>29396</v>
      </c>
    </row>
    <row r="2682" spans="1:6" x14ac:dyDescent="0.25">
      <c r="A2682" t="s">
        <v>4917</v>
      </c>
      <c r="B2682" t="s">
        <v>964</v>
      </c>
      <c r="C2682" t="s">
        <v>73</v>
      </c>
      <c r="D2682" t="s">
        <v>2380</v>
      </c>
      <c r="E2682" t="s">
        <v>1876</v>
      </c>
      <c r="F2682">
        <v>8993</v>
      </c>
    </row>
    <row r="2683" spans="1:6" x14ac:dyDescent="0.25">
      <c r="A2683" t="s">
        <v>4918</v>
      </c>
      <c r="B2683" t="s">
        <v>964</v>
      </c>
      <c r="C2683" t="s">
        <v>73</v>
      </c>
      <c r="D2683" t="s">
        <v>2066</v>
      </c>
      <c r="E2683" t="s">
        <v>1886</v>
      </c>
      <c r="F2683">
        <v>13403</v>
      </c>
    </row>
    <row r="2684" spans="1:6" x14ac:dyDescent="0.25">
      <c r="A2684" t="s">
        <v>4919</v>
      </c>
      <c r="B2684" t="s">
        <v>964</v>
      </c>
      <c r="C2684" t="s">
        <v>73</v>
      </c>
      <c r="D2684" t="s">
        <v>2443</v>
      </c>
      <c r="E2684" t="s">
        <v>1876</v>
      </c>
      <c r="F2684">
        <v>3417</v>
      </c>
    </row>
    <row r="2685" spans="1:6" x14ac:dyDescent="0.25">
      <c r="A2685" t="s">
        <v>4920</v>
      </c>
      <c r="B2685" t="s">
        <v>967</v>
      </c>
      <c r="C2685" t="s">
        <v>96</v>
      </c>
      <c r="D2685" t="s">
        <v>2557</v>
      </c>
      <c r="E2685" t="s">
        <v>1876</v>
      </c>
      <c r="F2685">
        <v>10013</v>
      </c>
    </row>
    <row r="2686" spans="1:6" x14ac:dyDescent="0.25">
      <c r="A2686" t="s">
        <v>4921</v>
      </c>
      <c r="B2686" t="s">
        <v>967</v>
      </c>
      <c r="C2686" t="s">
        <v>96</v>
      </c>
      <c r="D2686" t="s">
        <v>1978</v>
      </c>
      <c r="E2686" t="s">
        <v>1879</v>
      </c>
      <c r="F2686">
        <v>18723</v>
      </c>
    </row>
    <row r="2687" spans="1:6" x14ac:dyDescent="0.25">
      <c r="A2687" t="s">
        <v>4922</v>
      </c>
      <c r="B2687" t="s">
        <v>967</v>
      </c>
      <c r="C2687" t="s">
        <v>96</v>
      </c>
      <c r="D2687" t="s">
        <v>2537</v>
      </c>
      <c r="E2687" t="s">
        <v>1876</v>
      </c>
      <c r="F2687">
        <v>28647</v>
      </c>
    </row>
    <row r="2688" spans="1:6" x14ac:dyDescent="0.25">
      <c r="A2688" t="s">
        <v>4923</v>
      </c>
      <c r="B2688" t="s">
        <v>967</v>
      </c>
      <c r="C2688" t="s">
        <v>96</v>
      </c>
      <c r="D2688" t="s">
        <v>3062</v>
      </c>
      <c r="E2688" t="s">
        <v>1871</v>
      </c>
      <c r="F2688">
        <v>27492</v>
      </c>
    </row>
    <row r="2689" spans="1:6" x14ac:dyDescent="0.25">
      <c r="A2689" t="s">
        <v>4924</v>
      </c>
      <c r="B2689" t="s">
        <v>967</v>
      </c>
      <c r="C2689" t="s">
        <v>96</v>
      </c>
      <c r="D2689" t="s">
        <v>2840</v>
      </c>
      <c r="E2689" t="s">
        <v>1886</v>
      </c>
      <c r="F2689">
        <v>13824</v>
      </c>
    </row>
    <row r="2690" spans="1:6" x14ac:dyDescent="0.25">
      <c r="A2690" t="s">
        <v>4925</v>
      </c>
      <c r="B2690" t="s">
        <v>967</v>
      </c>
      <c r="C2690" t="s">
        <v>96</v>
      </c>
      <c r="D2690" t="s">
        <v>3248</v>
      </c>
      <c r="E2690" t="s">
        <v>1876</v>
      </c>
      <c r="F2690">
        <v>24920</v>
      </c>
    </row>
    <row r="2691" spans="1:6" x14ac:dyDescent="0.25">
      <c r="A2691" t="s">
        <v>4926</v>
      </c>
      <c r="B2691" t="s">
        <v>967</v>
      </c>
      <c r="C2691" t="s">
        <v>96</v>
      </c>
      <c r="D2691" t="s">
        <v>2230</v>
      </c>
      <c r="E2691" t="s">
        <v>1915</v>
      </c>
      <c r="F2691">
        <v>52019</v>
      </c>
    </row>
    <row r="2692" spans="1:6" x14ac:dyDescent="0.25">
      <c r="A2692" t="s">
        <v>4927</v>
      </c>
      <c r="B2692" t="s">
        <v>967</v>
      </c>
      <c r="C2692" t="s">
        <v>96</v>
      </c>
      <c r="D2692" t="s">
        <v>2624</v>
      </c>
      <c r="E2692" t="s">
        <v>1886</v>
      </c>
      <c r="F2692">
        <v>30155</v>
      </c>
    </row>
    <row r="2693" spans="1:6" x14ac:dyDescent="0.25">
      <c r="A2693" t="s">
        <v>4928</v>
      </c>
      <c r="B2693" t="s">
        <v>967</v>
      </c>
      <c r="C2693" t="s">
        <v>96</v>
      </c>
      <c r="D2693" t="s">
        <v>2522</v>
      </c>
      <c r="E2693" t="s">
        <v>1871</v>
      </c>
      <c r="F2693">
        <v>3022</v>
      </c>
    </row>
    <row r="2694" spans="1:6" x14ac:dyDescent="0.25">
      <c r="A2694" t="s">
        <v>4929</v>
      </c>
      <c r="B2694" t="s">
        <v>967</v>
      </c>
      <c r="C2694" t="s">
        <v>96</v>
      </c>
      <c r="D2694" t="s">
        <v>2515</v>
      </c>
      <c r="E2694" t="s">
        <v>1879</v>
      </c>
      <c r="F2694">
        <v>11290</v>
      </c>
    </row>
    <row r="2695" spans="1:6" x14ac:dyDescent="0.25">
      <c r="A2695" t="s">
        <v>4930</v>
      </c>
      <c r="B2695" t="s">
        <v>967</v>
      </c>
      <c r="C2695" t="s">
        <v>96</v>
      </c>
      <c r="D2695" t="s">
        <v>2022</v>
      </c>
      <c r="E2695" t="s">
        <v>1915</v>
      </c>
      <c r="F2695">
        <v>16114</v>
      </c>
    </row>
    <row r="2696" spans="1:6" x14ac:dyDescent="0.25">
      <c r="A2696" t="s">
        <v>4931</v>
      </c>
      <c r="B2696" t="s">
        <v>969</v>
      </c>
      <c r="C2696" t="s">
        <v>73</v>
      </c>
      <c r="D2696" t="s">
        <v>2745</v>
      </c>
      <c r="E2696" t="s">
        <v>1879</v>
      </c>
      <c r="F2696">
        <v>5884</v>
      </c>
    </row>
    <row r="2697" spans="1:6" x14ac:dyDescent="0.25">
      <c r="A2697" t="s">
        <v>4932</v>
      </c>
      <c r="B2697" t="s">
        <v>969</v>
      </c>
      <c r="C2697" t="s">
        <v>73</v>
      </c>
      <c r="D2697" t="s">
        <v>2502</v>
      </c>
      <c r="E2697" t="s">
        <v>1879</v>
      </c>
      <c r="F2697">
        <v>12819</v>
      </c>
    </row>
    <row r="2698" spans="1:6" x14ac:dyDescent="0.25">
      <c r="A2698" t="s">
        <v>4933</v>
      </c>
      <c r="B2698" t="s">
        <v>969</v>
      </c>
      <c r="C2698" t="s">
        <v>73</v>
      </c>
      <c r="D2698" t="s">
        <v>3242</v>
      </c>
      <c r="E2698" t="s">
        <v>1876</v>
      </c>
      <c r="F2698">
        <v>10673</v>
      </c>
    </row>
    <row r="2699" spans="1:6" x14ac:dyDescent="0.25">
      <c r="A2699" t="s">
        <v>4934</v>
      </c>
      <c r="B2699" t="s">
        <v>969</v>
      </c>
      <c r="C2699" t="s">
        <v>73</v>
      </c>
      <c r="D2699" t="s">
        <v>3395</v>
      </c>
      <c r="E2699" t="s">
        <v>1879</v>
      </c>
      <c r="F2699">
        <v>11049</v>
      </c>
    </row>
    <row r="2700" spans="1:6" x14ac:dyDescent="0.25">
      <c r="A2700" t="s">
        <v>4935</v>
      </c>
      <c r="B2700" t="s">
        <v>969</v>
      </c>
      <c r="C2700" t="s">
        <v>73</v>
      </c>
      <c r="D2700" t="s">
        <v>2085</v>
      </c>
      <c r="E2700" t="s">
        <v>1871</v>
      </c>
      <c r="F2700">
        <v>1952</v>
      </c>
    </row>
    <row r="2701" spans="1:6" x14ac:dyDescent="0.25">
      <c r="A2701" t="s">
        <v>4936</v>
      </c>
      <c r="B2701" t="s">
        <v>969</v>
      </c>
      <c r="C2701" t="s">
        <v>73</v>
      </c>
      <c r="D2701" t="s">
        <v>2840</v>
      </c>
      <c r="E2701" t="s">
        <v>1915</v>
      </c>
      <c r="F2701">
        <v>3739</v>
      </c>
    </row>
    <row r="2702" spans="1:6" x14ac:dyDescent="0.25">
      <c r="A2702" t="s">
        <v>4937</v>
      </c>
      <c r="B2702" t="s">
        <v>969</v>
      </c>
      <c r="C2702" t="s">
        <v>73</v>
      </c>
      <c r="D2702" t="s">
        <v>2267</v>
      </c>
      <c r="E2702" t="s">
        <v>1871</v>
      </c>
      <c r="F2702">
        <v>1046</v>
      </c>
    </row>
    <row r="2703" spans="1:6" x14ac:dyDescent="0.25">
      <c r="A2703" t="s">
        <v>4938</v>
      </c>
      <c r="B2703" t="s">
        <v>969</v>
      </c>
      <c r="C2703" t="s">
        <v>73</v>
      </c>
      <c r="D2703" t="s">
        <v>2009</v>
      </c>
      <c r="E2703" t="s">
        <v>1876</v>
      </c>
      <c r="F2703">
        <v>6391</v>
      </c>
    </row>
    <row r="2704" spans="1:6" x14ac:dyDescent="0.25">
      <c r="A2704" t="s">
        <v>4939</v>
      </c>
      <c r="B2704" t="s">
        <v>969</v>
      </c>
      <c r="C2704" t="s">
        <v>73</v>
      </c>
      <c r="D2704" t="s">
        <v>2320</v>
      </c>
      <c r="E2704" t="s">
        <v>1876</v>
      </c>
      <c r="F2704">
        <v>3160</v>
      </c>
    </row>
    <row r="2705" spans="1:6" x14ac:dyDescent="0.25">
      <c r="A2705" t="s">
        <v>4940</v>
      </c>
      <c r="B2705" t="s">
        <v>972</v>
      </c>
      <c r="C2705" t="s">
        <v>73</v>
      </c>
      <c r="D2705" t="s">
        <v>3710</v>
      </c>
      <c r="E2705" t="s">
        <v>1915</v>
      </c>
      <c r="F2705">
        <v>24187</v>
      </c>
    </row>
    <row r="2706" spans="1:6" x14ac:dyDescent="0.25">
      <c r="A2706" t="s">
        <v>4941</v>
      </c>
      <c r="B2706" t="s">
        <v>972</v>
      </c>
      <c r="C2706" t="s">
        <v>73</v>
      </c>
      <c r="D2706" t="s">
        <v>1885</v>
      </c>
      <c r="E2706" t="s">
        <v>1879</v>
      </c>
      <c r="F2706">
        <v>14045</v>
      </c>
    </row>
    <row r="2707" spans="1:6" x14ac:dyDescent="0.25">
      <c r="A2707" t="s">
        <v>4942</v>
      </c>
      <c r="B2707" t="s">
        <v>972</v>
      </c>
      <c r="C2707" t="s">
        <v>73</v>
      </c>
      <c r="D2707" t="s">
        <v>2320</v>
      </c>
      <c r="E2707" t="s">
        <v>1879</v>
      </c>
      <c r="F2707">
        <v>17434</v>
      </c>
    </row>
    <row r="2708" spans="1:6" x14ac:dyDescent="0.25">
      <c r="A2708" t="s">
        <v>4943</v>
      </c>
      <c r="B2708" t="s">
        <v>972</v>
      </c>
      <c r="C2708" t="s">
        <v>73</v>
      </c>
      <c r="D2708" t="s">
        <v>2525</v>
      </c>
      <c r="E2708" t="s">
        <v>1879</v>
      </c>
      <c r="F2708">
        <v>916</v>
      </c>
    </row>
    <row r="2709" spans="1:6" x14ac:dyDescent="0.25">
      <c r="A2709" t="s">
        <v>4944</v>
      </c>
      <c r="B2709" t="s">
        <v>972</v>
      </c>
      <c r="C2709" t="s">
        <v>73</v>
      </c>
      <c r="D2709" t="s">
        <v>2639</v>
      </c>
      <c r="E2709" t="s">
        <v>1915</v>
      </c>
      <c r="F2709">
        <v>20978</v>
      </c>
    </row>
    <row r="2710" spans="1:6" x14ac:dyDescent="0.25">
      <c r="A2710" t="s">
        <v>4945</v>
      </c>
      <c r="B2710" t="s">
        <v>972</v>
      </c>
      <c r="C2710" t="s">
        <v>73</v>
      </c>
      <c r="D2710" t="s">
        <v>1984</v>
      </c>
      <c r="E2710" t="s">
        <v>1871</v>
      </c>
      <c r="F2710">
        <v>3759</v>
      </c>
    </row>
    <row r="2711" spans="1:6" x14ac:dyDescent="0.25">
      <c r="A2711" t="s">
        <v>4946</v>
      </c>
      <c r="B2711" t="s">
        <v>972</v>
      </c>
      <c r="C2711" t="s">
        <v>73</v>
      </c>
      <c r="D2711" t="s">
        <v>3969</v>
      </c>
      <c r="E2711" t="s">
        <v>1871</v>
      </c>
      <c r="F2711">
        <v>4334</v>
      </c>
    </row>
    <row r="2712" spans="1:6" x14ac:dyDescent="0.25">
      <c r="A2712" t="s">
        <v>4947</v>
      </c>
      <c r="B2712" t="s">
        <v>975</v>
      </c>
      <c r="C2712" t="s">
        <v>73</v>
      </c>
      <c r="D2712" t="s">
        <v>2016</v>
      </c>
      <c r="E2712" t="s">
        <v>1915</v>
      </c>
      <c r="F2712">
        <v>32007</v>
      </c>
    </row>
    <row r="2713" spans="1:6" x14ac:dyDescent="0.25">
      <c r="A2713" t="s">
        <v>4948</v>
      </c>
      <c r="B2713" t="s">
        <v>975</v>
      </c>
      <c r="C2713" t="s">
        <v>73</v>
      </c>
      <c r="D2713" t="s">
        <v>2537</v>
      </c>
      <c r="E2713" t="s">
        <v>1915</v>
      </c>
      <c r="F2713">
        <v>11226</v>
      </c>
    </row>
    <row r="2714" spans="1:6" x14ac:dyDescent="0.25">
      <c r="A2714" t="s">
        <v>4949</v>
      </c>
      <c r="B2714" t="s">
        <v>975</v>
      </c>
      <c r="C2714" t="s">
        <v>73</v>
      </c>
      <c r="D2714" t="s">
        <v>2498</v>
      </c>
      <c r="E2714" t="s">
        <v>1915</v>
      </c>
      <c r="F2714">
        <v>10465</v>
      </c>
    </row>
    <row r="2715" spans="1:6" x14ac:dyDescent="0.25">
      <c r="A2715" t="s">
        <v>4950</v>
      </c>
      <c r="B2715" t="s">
        <v>975</v>
      </c>
      <c r="C2715" t="s">
        <v>73</v>
      </c>
      <c r="D2715" t="s">
        <v>2533</v>
      </c>
      <c r="E2715" t="s">
        <v>1876</v>
      </c>
      <c r="F2715">
        <v>6733</v>
      </c>
    </row>
    <row r="2716" spans="1:6" x14ac:dyDescent="0.25">
      <c r="A2716" t="s">
        <v>4951</v>
      </c>
      <c r="B2716" t="s">
        <v>975</v>
      </c>
      <c r="C2716" t="s">
        <v>73</v>
      </c>
      <c r="D2716" t="s">
        <v>2657</v>
      </c>
      <c r="E2716" t="s">
        <v>1876</v>
      </c>
      <c r="F2716">
        <v>6927</v>
      </c>
    </row>
    <row r="2717" spans="1:6" x14ac:dyDescent="0.25">
      <c r="A2717" t="s">
        <v>4952</v>
      </c>
      <c r="B2717" t="s">
        <v>975</v>
      </c>
      <c r="C2717" t="s">
        <v>73</v>
      </c>
      <c r="D2717" t="s">
        <v>3119</v>
      </c>
      <c r="E2717" t="s">
        <v>1915</v>
      </c>
      <c r="F2717">
        <v>29434</v>
      </c>
    </row>
    <row r="2718" spans="1:6" x14ac:dyDescent="0.25">
      <c r="A2718" t="s">
        <v>4953</v>
      </c>
      <c r="B2718" t="s">
        <v>975</v>
      </c>
      <c r="C2718" t="s">
        <v>73</v>
      </c>
      <c r="D2718" t="s">
        <v>2513</v>
      </c>
      <c r="E2718" t="s">
        <v>1879</v>
      </c>
      <c r="F2718">
        <v>14630</v>
      </c>
    </row>
    <row r="2719" spans="1:6" x14ac:dyDescent="0.25">
      <c r="A2719" t="s">
        <v>4954</v>
      </c>
      <c r="B2719" t="s">
        <v>975</v>
      </c>
      <c r="C2719" t="s">
        <v>73</v>
      </c>
      <c r="D2719" t="s">
        <v>2659</v>
      </c>
      <c r="E2719" t="s">
        <v>1871</v>
      </c>
      <c r="F2719">
        <v>18139</v>
      </c>
    </row>
    <row r="2720" spans="1:6" x14ac:dyDescent="0.25">
      <c r="A2720" t="s">
        <v>4955</v>
      </c>
      <c r="B2720" t="s">
        <v>975</v>
      </c>
      <c r="C2720" t="s">
        <v>73</v>
      </c>
      <c r="D2720" t="s">
        <v>2114</v>
      </c>
      <c r="E2720" t="s">
        <v>1879</v>
      </c>
      <c r="F2720">
        <v>13370</v>
      </c>
    </row>
    <row r="2721" spans="1:6" x14ac:dyDescent="0.25">
      <c r="A2721" t="s">
        <v>4956</v>
      </c>
      <c r="B2721" t="s">
        <v>975</v>
      </c>
      <c r="C2721" t="s">
        <v>73</v>
      </c>
      <c r="D2721" t="s">
        <v>2747</v>
      </c>
      <c r="E2721" t="s">
        <v>1879</v>
      </c>
      <c r="F2721">
        <v>2930</v>
      </c>
    </row>
    <row r="2722" spans="1:6" x14ac:dyDescent="0.25">
      <c r="A2722" t="s">
        <v>4957</v>
      </c>
      <c r="B2722" t="s">
        <v>975</v>
      </c>
      <c r="C2722" t="s">
        <v>73</v>
      </c>
      <c r="D2722" t="s">
        <v>2672</v>
      </c>
      <c r="E2722" t="s">
        <v>1879</v>
      </c>
      <c r="F2722">
        <v>6699</v>
      </c>
    </row>
    <row r="2723" spans="1:6" x14ac:dyDescent="0.25">
      <c r="A2723" t="s">
        <v>4958</v>
      </c>
      <c r="B2723" t="s">
        <v>975</v>
      </c>
      <c r="C2723" t="s">
        <v>73</v>
      </c>
      <c r="D2723" t="s">
        <v>3446</v>
      </c>
      <c r="E2723" t="s">
        <v>1879</v>
      </c>
      <c r="F2723">
        <v>6488</v>
      </c>
    </row>
    <row r="2724" spans="1:6" x14ac:dyDescent="0.25">
      <c r="A2724" t="s">
        <v>4959</v>
      </c>
      <c r="B2724" t="s">
        <v>978</v>
      </c>
      <c r="C2724" t="s">
        <v>73</v>
      </c>
      <c r="D2724" t="s">
        <v>3047</v>
      </c>
      <c r="E2724" t="s">
        <v>1915</v>
      </c>
      <c r="F2724">
        <v>17755</v>
      </c>
    </row>
    <row r="2725" spans="1:6" x14ac:dyDescent="0.25">
      <c r="A2725" t="s">
        <v>4960</v>
      </c>
      <c r="B2725" t="s">
        <v>978</v>
      </c>
      <c r="C2725" t="s">
        <v>73</v>
      </c>
      <c r="D2725" t="s">
        <v>1875</v>
      </c>
      <c r="E2725" t="s">
        <v>1915</v>
      </c>
      <c r="F2725">
        <v>2711</v>
      </c>
    </row>
    <row r="2726" spans="1:6" x14ac:dyDescent="0.25">
      <c r="A2726" t="s">
        <v>4961</v>
      </c>
      <c r="B2726" t="s">
        <v>978</v>
      </c>
      <c r="C2726" t="s">
        <v>73</v>
      </c>
      <c r="D2726" t="s">
        <v>1875</v>
      </c>
      <c r="E2726" t="s">
        <v>1876</v>
      </c>
      <c r="F2726">
        <v>505</v>
      </c>
    </row>
    <row r="2727" spans="1:6" x14ac:dyDescent="0.25">
      <c r="A2727" t="s">
        <v>4962</v>
      </c>
      <c r="B2727" t="s">
        <v>978</v>
      </c>
      <c r="C2727" t="s">
        <v>73</v>
      </c>
      <c r="D2727" t="s">
        <v>2280</v>
      </c>
      <c r="E2727" t="s">
        <v>1876</v>
      </c>
      <c r="F2727">
        <v>13499</v>
      </c>
    </row>
    <row r="2728" spans="1:6" x14ac:dyDescent="0.25">
      <c r="A2728" t="s">
        <v>4963</v>
      </c>
      <c r="B2728" t="s">
        <v>978</v>
      </c>
      <c r="C2728" t="s">
        <v>73</v>
      </c>
      <c r="D2728" t="s">
        <v>2038</v>
      </c>
      <c r="E2728" t="s">
        <v>1879</v>
      </c>
      <c r="F2728">
        <v>8517</v>
      </c>
    </row>
    <row r="2729" spans="1:6" x14ac:dyDescent="0.25">
      <c r="A2729" t="s">
        <v>4964</v>
      </c>
      <c r="B2729" t="s">
        <v>978</v>
      </c>
      <c r="C2729" t="s">
        <v>73</v>
      </c>
      <c r="D2729" t="s">
        <v>2527</v>
      </c>
      <c r="E2729" t="s">
        <v>1886</v>
      </c>
      <c r="F2729">
        <v>33440</v>
      </c>
    </row>
    <row r="2730" spans="1:6" x14ac:dyDescent="0.25">
      <c r="A2730" t="s">
        <v>4965</v>
      </c>
      <c r="B2730" t="s">
        <v>978</v>
      </c>
      <c r="C2730" t="s">
        <v>73</v>
      </c>
      <c r="D2730" t="s">
        <v>2302</v>
      </c>
      <c r="E2730" t="s">
        <v>1886</v>
      </c>
      <c r="F2730">
        <v>33665</v>
      </c>
    </row>
    <row r="2731" spans="1:6" x14ac:dyDescent="0.25">
      <c r="A2731" t="s">
        <v>4966</v>
      </c>
      <c r="B2731" t="s">
        <v>978</v>
      </c>
      <c r="C2731" t="s">
        <v>73</v>
      </c>
      <c r="D2731" t="s">
        <v>2857</v>
      </c>
      <c r="E2731" t="s">
        <v>1886</v>
      </c>
      <c r="F2731">
        <v>1752</v>
      </c>
    </row>
    <row r="2732" spans="1:6" x14ac:dyDescent="0.25">
      <c r="A2732" t="s">
        <v>4967</v>
      </c>
      <c r="B2732" t="s">
        <v>978</v>
      </c>
      <c r="C2732" t="s">
        <v>73</v>
      </c>
      <c r="D2732" t="s">
        <v>1988</v>
      </c>
      <c r="E2732" t="s">
        <v>1879</v>
      </c>
      <c r="F2732">
        <v>13960</v>
      </c>
    </row>
    <row r="2733" spans="1:6" x14ac:dyDescent="0.25">
      <c r="A2733" t="s">
        <v>4968</v>
      </c>
      <c r="B2733" t="s">
        <v>978</v>
      </c>
      <c r="C2733" t="s">
        <v>73</v>
      </c>
      <c r="D2733" t="s">
        <v>2829</v>
      </c>
      <c r="E2733" t="s">
        <v>1886</v>
      </c>
      <c r="F2733">
        <v>10274</v>
      </c>
    </row>
    <row r="2734" spans="1:6" x14ac:dyDescent="0.25">
      <c r="A2734" t="s">
        <v>4969</v>
      </c>
      <c r="B2734" t="s">
        <v>978</v>
      </c>
      <c r="C2734" t="s">
        <v>73</v>
      </c>
      <c r="D2734" t="s">
        <v>1921</v>
      </c>
      <c r="E2734" t="s">
        <v>1915</v>
      </c>
      <c r="F2734">
        <v>3756</v>
      </c>
    </row>
    <row r="2735" spans="1:6" x14ac:dyDescent="0.25">
      <c r="A2735" t="s">
        <v>4970</v>
      </c>
      <c r="B2735" t="s">
        <v>978</v>
      </c>
      <c r="C2735" t="s">
        <v>73</v>
      </c>
      <c r="D2735" t="s">
        <v>2557</v>
      </c>
      <c r="E2735" t="s">
        <v>1915</v>
      </c>
      <c r="F2735">
        <v>27977</v>
      </c>
    </row>
    <row r="2736" spans="1:6" x14ac:dyDescent="0.25">
      <c r="A2736" t="s">
        <v>4971</v>
      </c>
      <c r="B2736" t="s">
        <v>981</v>
      </c>
      <c r="C2736" t="s">
        <v>73</v>
      </c>
      <c r="D2736" t="s">
        <v>2517</v>
      </c>
      <c r="E2736" t="s">
        <v>1879</v>
      </c>
      <c r="F2736">
        <v>8536</v>
      </c>
    </row>
    <row r="2737" spans="1:6" x14ac:dyDescent="0.25">
      <c r="A2737" t="s">
        <v>4972</v>
      </c>
      <c r="B2737" t="s">
        <v>981</v>
      </c>
      <c r="C2737" t="s">
        <v>73</v>
      </c>
      <c r="D2737" t="s">
        <v>2401</v>
      </c>
      <c r="E2737" t="s">
        <v>1886</v>
      </c>
      <c r="F2737">
        <v>17904</v>
      </c>
    </row>
    <row r="2738" spans="1:6" x14ac:dyDescent="0.25">
      <c r="A2738" t="s">
        <v>4973</v>
      </c>
      <c r="B2738" t="s">
        <v>981</v>
      </c>
      <c r="C2738" t="s">
        <v>73</v>
      </c>
      <c r="D2738" t="s">
        <v>3785</v>
      </c>
      <c r="E2738" t="s">
        <v>1876</v>
      </c>
      <c r="F2738">
        <v>18841</v>
      </c>
    </row>
    <row r="2739" spans="1:6" x14ac:dyDescent="0.25">
      <c r="A2739" t="s">
        <v>4974</v>
      </c>
      <c r="B2739" t="s">
        <v>981</v>
      </c>
      <c r="C2739" t="s">
        <v>73</v>
      </c>
      <c r="D2739" t="s">
        <v>3105</v>
      </c>
      <c r="E2739" t="s">
        <v>1879</v>
      </c>
      <c r="F2739">
        <v>9770</v>
      </c>
    </row>
    <row r="2740" spans="1:6" x14ac:dyDescent="0.25">
      <c r="A2740" t="s">
        <v>4975</v>
      </c>
      <c r="B2740" t="s">
        <v>981</v>
      </c>
      <c r="C2740" t="s">
        <v>73</v>
      </c>
      <c r="D2740" t="s">
        <v>1945</v>
      </c>
      <c r="E2740" t="s">
        <v>1915</v>
      </c>
      <c r="F2740">
        <v>19876</v>
      </c>
    </row>
    <row r="2741" spans="1:6" x14ac:dyDescent="0.25">
      <c r="A2741" t="s">
        <v>4976</v>
      </c>
      <c r="B2741" t="s">
        <v>981</v>
      </c>
      <c r="C2741" t="s">
        <v>73</v>
      </c>
      <c r="D2741" t="s">
        <v>2221</v>
      </c>
      <c r="E2741" t="s">
        <v>1915</v>
      </c>
      <c r="F2741">
        <v>5363</v>
      </c>
    </row>
    <row r="2742" spans="1:6" x14ac:dyDescent="0.25">
      <c r="A2742" t="s">
        <v>4977</v>
      </c>
      <c r="B2742" t="s">
        <v>981</v>
      </c>
      <c r="C2742" t="s">
        <v>73</v>
      </c>
      <c r="D2742" t="s">
        <v>2193</v>
      </c>
      <c r="E2742" t="s">
        <v>1879</v>
      </c>
      <c r="F2742">
        <v>1950</v>
      </c>
    </row>
    <row r="2743" spans="1:6" x14ac:dyDescent="0.25">
      <c r="A2743" t="s">
        <v>4978</v>
      </c>
      <c r="B2743" t="s">
        <v>981</v>
      </c>
      <c r="C2743" t="s">
        <v>73</v>
      </c>
      <c r="D2743" t="s">
        <v>2779</v>
      </c>
      <c r="E2743" t="s">
        <v>1879</v>
      </c>
      <c r="F2743">
        <v>16557</v>
      </c>
    </row>
    <row r="2744" spans="1:6" x14ac:dyDescent="0.25">
      <c r="A2744" t="s">
        <v>4979</v>
      </c>
      <c r="B2744" t="s">
        <v>981</v>
      </c>
      <c r="C2744" t="s">
        <v>73</v>
      </c>
      <c r="D2744" t="s">
        <v>2599</v>
      </c>
      <c r="E2744" t="s">
        <v>1879</v>
      </c>
      <c r="F2744">
        <v>20722</v>
      </c>
    </row>
    <row r="2745" spans="1:6" x14ac:dyDescent="0.25">
      <c r="A2745" t="s">
        <v>4980</v>
      </c>
      <c r="B2745" t="s">
        <v>981</v>
      </c>
      <c r="C2745" t="s">
        <v>73</v>
      </c>
      <c r="D2745" t="s">
        <v>2425</v>
      </c>
      <c r="E2745" t="s">
        <v>1871</v>
      </c>
      <c r="F2745">
        <v>15745</v>
      </c>
    </row>
    <row r="2746" spans="1:6" x14ac:dyDescent="0.25">
      <c r="A2746" t="s">
        <v>4981</v>
      </c>
      <c r="B2746" t="s">
        <v>981</v>
      </c>
      <c r="C2746" t="s">
        <v>73</v>
      </c>
      <c r="D2746" t="s">
        <v>2203</v>
      </c>
      <c r="E2746" t="s">
        <v>1879</v>
      </c>
      <c r="F2746">
        <v>7245</v>
      </c>
    </row>
    <row r="2747" spans="1:6" x14ac:dyDescent="0.25">
      <c r="A2747" t="s">
        <v>4982</v>
      </c>
      <c r="B2747" t="s">
        <v>981</v>
      </c>
      <c r="C2747" t="s">
        <v>73</v>
      </c>
      <c r="D2747" t="s">
        <v>2450</v>
      </c>
      <c r="E2747" t="s">
        <v>1879</v>
      </c>
      <c r="F2747">
        <v>13706</v>
      </c>
    </row>
    <row r="2748" spans="1:6" x14ac:dyDescent="0.25">
      <c r="A2748" t="s">
        <v>4983</v>
      </c>
      <c r="B2748" t="s">
        <v>984</v>
      </c>
      <c r="C2748" t="s">
        <v>146</v>
      </c>
      <c r="D2748" t="s">
        <v>2026</v>
      </c>
      <c r="E2748" t="s">
        <v>1915</v>
      </c>
      <c r="F2748">
        <v>25227</v>
      </c>
    </row>
    <row r="2749" spans="1:6" x14ac:dyDescent="0.25">
      <c r="A2749" t="s">
        <v>4984</v>
      </c>
      <c r="B2749" t="s">
        <v>984</v>
      </c>
      <c r="C2749" t="s">
        <v>146</v>
      </c>
      <c r="D2749" t="s">
        <v>2085</v>
      </c>
      <c r="E2749" t="s">
        <v>1886</v>
      </c>
      <c r="F2749">
        <v>22205</v>
      </c>
    </row>
    <row r="2750" spans="1:6" x14ac:dyDescent="0.25">
      <c r="A2750" t="s">
        <v>4985</v>
      </c>
      <c r="B2750" t="s">
        <v>984</v>
      </c>
      <c r="C2750" t="s">
        <v>146</v>
      </c>
      <c r="D2750" t="s">
        <v>2061</v>
      </c>
      <c r="E2750" t="s">
        <v>1876</v>
      </c>
      <c r="F2750">
        <v>21843</v>
      </c>
    </row>
    <row r="2751" spans="1:6" x14ac:dyDescent="0.25">
      <c r="A2751" t="s">
        <v>4986</v>
      </c>
      <c r="B2751" t="s">
        <v>984</v>
      </c>
      <c r="C2751" t="s">
        <v>146</v>
      </c>
      <c r="D2751" t="s">
        <v>2537</v>
      </c>
      <c r="E2751" t="s">
        <v>1876</v>
      </c>
      <c r="F2751">
        <v>5145</v>
      </c>
    </row>
    <row r="2752" spans="1:6" x14ac:dyDescent="0.25">
      <c r="A2752" t="s">
        <v>4987</v>
      </c>
      <c r="B2752" t="s">
        <v>984</v>
      </c>
      <c r="C2752" t="s">
        <v>146</v>
      </c>
      <c r="D2752" t="s">
        <v>1941</v>
      </c>
      <c r="E2752" t="s">
        <v>1871</v>
      </c>
      <c r="F2752">
        <v>15816</v>
      </c>
    </row>
    <row r="2753" spans="1:6" x14ac:dyDescent="0.25">
      <c r="A2753" t="s">
        <v>4988</v>
      </c>
      <c r="B2753" t="s">
        <v>984</v>
      </c>
      <c r="C2753" t="s">
        <v>146</v>
      </c>
      <c r="D2753" t="s">
        <v>2159</v>
      </c>
      <c r="E2753" t="s">
        <v>1915</v>
      </c>
      <c r="F2753">
        <v>30392</v>
      </c>
    </row>
    <row r="2754" spans="1:6" x14ac:dyDescent="0.25">
      <c r="A2754" t="s">
        <v>4989</v>
      </c>
      <c r="B2754" t="s">
        <v>984</v>
      </c>
      <c r="C2754" t="s">
        <v>146</v>
      </c>
      <c r="D2754" t="s">
        <v>2034</v>
      </c>
      <c r="E2754" t="s">
        <v>1886</v>
      </c>
      <c r="F2754">
        <v>13559</v>
      </c>
    </row>
    <row r="2755" spans="1:6" x14ac:dyDescent="0.25">
      <c r="A2755" t="s">
        <v>4990</v>
      </c>
      <c r="B2755" t="s">
        <v>984</v>
      </c>
      <c r="C2755" t="s">
        <v>146</v>
      </c>
      <c r="D2755" t="s">
        <v>2107</v>
      </c>
      <c r="E2755" t="s">
        <v>1915</v>
      </c>
      <c r="F2755">
        <v>6244</v>
      </c>
    </row>
    <row r="2756" spans="1:6" x14ac:dyDescent="0.25">
      <c r="A2756" t="s">
        <v>4991</v>
      </c>
      <c r="B2756" t="s">
        <v>984</v>
      </c>
      <c r="C2756" t="s">
        <v>146</v>
      </c>
      <c r="D2756" t="s">
        <v>4317</v>
      </c>
      <c r="E2756" t="s">
        <v>1879</v>
      </c>
      <c r="F2756">
        <v>23294</v>
      </c>
    </row>
    <row r="2757" spans="1:6" x14ac:dyDescent="0.25">
      <c r="A2757" t="s">
        <v>4992</v>
      </c>
      <c r="B2757" t="s">
        <v>985</v>
      </c>
      <c r="C2757" t="s">
        <v>96</v>
      </c>
      <c r="D2757" t="s">
        <v>2539</v>
      </c>
      <c r="E2757" t="s">
        <v>1879</v>
      </c>
      <c r="F2757">
        <v>12960</v>
      </c>
    </row>
    <row r="2758" spans="1:6" x14ac:dyDescent="0.25">
      <c r="A2758" t="s">
        <v>4993</v>
      </c>
      <c r="B2758" t="s">
        <v>985</v>
      </c>
      <c r="C2758" t="s">
        <v>96</v>
      </c>
      <c r="D2758" t="s">
        <v>2145</v>
      </c>
      <c r="E2758" t="s">
        <v>1915</v>
      </c>
      <c r="F2758">
        <v>2763</v>
      </c>
    </row>
    <row r="2759" spans="1:6" x14ac:dyDescent="0.25">
      <c r="A2759" t="s">
        <v>4994</v>
      </c>
      <c r="B2759" t="s">
        <v>985</v>
      </c>
      <c r="C2759" t="s">
        <v>96</v>
      </c>
      <c r="D2759" t="s">
        <v>3486</v>
      </c>
      <c r="E2759" t="s">
        <v>1876</v>
      </c>
      <c r="F2759">
        <v>9956</v>
      </c>
    </row>
    <row r="2760" spans="1:6" x14ac:dyDescent="0.25">
      <c r="A2760" t="s">
        <v>4995</v>
      </c>
      <c r="B2760" t="s">
        <v>985</v>
      </c>
      <c r="C2760" t="s">
        <v>96</v>
      </c>
      <c r="D2760" t="s">
        <v>2322</v>
      </c>
      <c r="E2760" t="s">
        <v>1879</v>
      </c>
      <c r="F2760">
        <v>8490</v>
      </c>
    </row>
    <row r="2761" spans="1:6" x14ac:dyDescent="0.25">
      <c r="A2761" t="s">
        <v>4996</v>
      </c>
      <c r="B2761" t="s">
        <v>985</v>
      </c>
      <c r="C2761" t="s">
        <v>96</v>
      </c>
      <c r="D2761" t="s">
        <v>3446</v>
      </c>
      <c r="E2761" t="s">
        <v>1876</v>
      </c>
      <c r="F2761">
        <v>13025</v>
      </c>
    </row>
    <row r="2762" spans="1:6" x14ac:dyDescent="0.25">
      <c r="A2762" t="s">
        <v>4997</v>
      </c>
      <c r="B2762" t="s">
        <v>985</v>
      </c>
      <c r="C2762" t="s">
        <v>96</v>
      </c>
      <c r="D2762" t="s">
        <v>2151</v>
      </c>
      <c r="E2762" t="s">
        <v>1915</v>
      </c>
      <c r="F2762">
        <v>15323</v>
      </c>
    </row>
    <row r="2763" spans="1:6" x14ac:dyDescent="0.25">
      <c r="A2763" t="s">
        <v>4998</v>
      </c>
      <c r="B2763" t="s">
        <v>985</v>
      </c>
      <c r="C2763" t="s">
        <v>96</v>
      </c>
      <c r="D2763" t="s">
        <v>2399</v>
      </c>
      <c r="E2763" t="s">
        <v>1886</v>
      </c>
      <c r="F2763">
        <v>30154</v>
      </c>
    </row>
    <row r="2764" spans="1:6" x14ac:dyDescent="0.25">
      <c r="A2764" t="s">
        <v>4999</v>
      </c>
      <c r="B2764" t="s">
        <v>985</v>
      </c>
      <c r="C2764" t="s">
        <v>96</v>
      </c>
      <c r="D2764" t="s">
        <v>2101</v>
      </c>
      <c r="E2764" t="s">
        <v>1871</v>
      </c>
      <c r="F2764">
        <v>15316</v>
      </c>
    </row>
    <row r="2765" spans="1:6" x14ac:dyDescent="0.25">
      <c r="A2765" t="s">
        <v>5000</v>
      </c>
      <c r="B2765" t="s">
        <v>985</v>
      </c>
      <c r="C2765" t="s">
        <v>96</v>
      </c>
      <c r="D2765" t="s">
        <v>2016</v>
      </c>
      <c r="E2765" t="s">
        <v>1879</v>
      </c>
      <c r="F2765">
        <v>11638</v>
      </c>
    </row>
    <row r="2766" spans="1:6" x14ac:dyDescent="0.25">
      <c r="A2766" t="s">
        <v>5001</v>
      </c>
      <c r="B2766" t="s">
        <v>985</v>
      </c>
      <c r="C2766" t="s">
        <v>96</v>
      </c>
      <c r="D2766" t="s">
        <v>1951</v>
      </c>
      <c r="E2766" t="s">
        <v>1871</v>
      </c>
      <c r="F2766">
        <v>7658</v>
      </c>
    </row>
    <row r="2767" spans="1:6" x14ac:dyDescent="0.25">
      <c r="A2767" t="s">
        <v>5002</v>
      </c>
      <c r="B2767" t="s">
        <v>985</v>
      </c>
      <c r="C2767" t="s">
        <v>96</v>
      </c>
      <c r="D2767" t="s">
        <v>1927</v>
      </c>
      <c r="E2767" t="s">
        <v>1886</v>
      </c>
      <c r="F2767">
        <v>18891</v>
      </c>
    </row>
    <row r="2768" spans="1:6" x14ac:dyDescent="0.25">
      <c r="A2768" t="s">
        <v>5003</v>
      </c>
      <c r="B2768" t="s">
        <v>988</v>
      </c>
      <c r="C2768" t="s">
        <v>51</v>
      </c>
      <c r="D2768" t="s">
        <v>3233</v>
      </c>
      <c r="E2768" t="s">
        <v>1915</v>
      </c>
      <c r="F2768">
        <v>53574</v>
      </c>
    </row>
    <row r="2769" spans="1:6" x14ac:dyDescent="0.25">
      <c r="A2769" t="s">
        <v>5004</v>
      </c>
      <c r="B2769" t="s">
        <v>988</v>
      </c>
      <c r="C2769" t="s">
        <v>51</v>
      </c>
      <c r="D2769" t="s">
        <v>2099</v>
      </c>
      <c r="E2769" t="s">
        <v>1915</v>
      </c>
      <c r="F2769">
        <v>51501</v>
      </c>
    </row>
    <row r="2770" spans="1:6" x14ac:dyDescent="0.25">
      <c r="A2770" t="s">
        <v>5005</v>
      </c>
      <c r="B2770" t="s">
        <v>988</v>
      </c>
      <c r="C2770" t="s">
        <v>51</v>
      </c>
      <c r="D2770" t="s">
        <v>2954</v>
      </c>
      <c r="E2770" t="s">
        <v>1871</v>
      </c>
      <c r="F2770">
        <v>55507</v>
      </c>
    </row>
    <row r="2771" spans="1:6" x14ac:dyDescent="0.25">
      <c r="A2771" t="s">
        <v>5006</v>
      </c>
      <c r="B2771" t="s">
        <v>988</v>
      </c>
      <c r="C2771" t="s">
        <v>51</v>
      </c>
      <c r="D2771" t="s">
        <v>2958</v>
      </c>
      <c r="E2771" t="s">
        <v>1886</v>
      </c>
      <c r="F2771">
        <v>11029</v>
      </c>
    </row>
    <row r="2772" spans="1:6" x14ac:dyDescent="0.25">
      <c r="A2772" t="s">
        <v>5007</v>
      </c>
      <c r="B2772" t="s">
        <v>988</v>
      </c>
      <c r="C2772" t="s">
        <v>51</v>
      </c>
      <c r="D2772" t="s">
        <v>2954</v>
      </c>
      <c r="E2772" t="s">
        <v>1886</v>
      </c>
      <c r="F2772">
        <v>32307</v>
      </c>
    </row>
    <row r="2773" spans="1:6" x14ac:dyDescent="0.25">
      <c r="A2773" t="s">
        <v>5008</v>
      </c>
      <c r="B2773" t="s">
        <v>988</v>
      </c>
      <c r="C2773" t="s">
        <v>51</v>
      </c>
      <c r="D2773" t="s">
        <v>2263</v>
      </c>
      <c r="E2773" t="s">
        <v>1886</v>
      </c>
      <c r="F2773">
        <v>25147</v>
      </c>
    </row>
    <row r="2774" spans="1:6" x14ac:dyDescent="0.25">
      <c r="A2774" t="s">
        <v>5009</v>
      </c>
      <c r="B2774" t="s">
        <v>988</v>
      </c>
      <c r="C2774" t="s">
        <v>51</v>
      </c>
      <c r="D2774" t="s">
        <v>2210</v>
      </c>
      <c r="E2774" t="s">
        <v>1876</v>
      </c>
      <c r="F2774">
        <v>53421</v>
      </c>
    </row>
    <row r="2775" spans="1:6" x14ac:dyDescent="0.25">
      <c r="A2775" t="s">
        <v>5010</v>
      </c>
      <c r="B2775" t="s">
        <v>991</v>
      </c>
      <c r="C2775" t="s">
        <v>146</v>
      </c>
      <c r="D2775" t="s">
        <v>2151</v>
      </c>
      <c r="E2775" t="s">
        <v>1879</v>
      </c>
      <c r="F2775">
        <v>19741</v>
      </c>
    </row>
    <row r="2776" spans="1:6" x14ac:dyDescent="0.25">
      <c r="A2776" t="s">
        <v>5011</v>
      </c>
      <c r="B2776" t="s">
        <v>991</v>
      </c>
      <c r="C2776" t="s">
        <v>146</v>
      </c>
      <c r="D2776" t="s">
        <v>2095</v>
      </c>
      <c r="E2776" t="s">
        <v>1915</v>
      </c>
      <c r="F2776">
        <v>91124</v>
      </c>
    </row>
    <row r="2777" spans="1:6" x14ac:dyDescent="0.25">
      <c r="A2777" t="s">
        <v>5012</v>
      </c>
      <c r="B2777" t="s">
        <v>991</v>
      </c>
      <c r="C2777" t="s">
        <v>146</v>
      </c>
      <c r="D2777" t="s">
        <v>2747</v>
      </c>
      <c r="E2777" t="s">
        <v>1879</v>
      </c>
      <c r="F2777">
        <v>17747</v>
      </c>
    </row>
    <row r="2778" spans="1:6" x14ac:dyDescent="0.25">
      <c r="A2778" t="s">
        <v>5013</v>
      </c>
      <c r="B2778" t="s">
        <v>991</v>
      </c>
      <c r="C2778" t="s">
        <v>146</v>
      </c>
      <c r="D2778" t="s">
        <v>2077</v>
      </c>
      <c r="E2778" t="s">
        <v>1876</v>
      </c>
      <c r="F2778">
        <v>13967</v>
      </c>
    </row>
    <row r="2779" spans="1:6" x14ac:dyDescent="0.25">
      <c r="A2779" t="s">
        <v>5014</v>
      </c>
      <c r="B2779" t="s">
        <v>991</v>
      </c>
      <c r="C2779" t="s">
        <v>146</v>
      </c>
      <c r="D2779" t="s">
        <v>2101</v>
      </c>
      <c r="E2779" t="s">
        <v>1915</v>
      </c>
      <c r="F2779">
        <v>27282</v>
      </c>
    </row>
    <row r="2780" spans="1:6" x14ac:dyDescent="0.25">
      <c r="A2780" t="s">
        <v>5015</v>
      </c>
      <c r="B2780" t="s">
        <v>991</v>
      </c>
      <c r="C2780" t="s">
        <v>146</v>
      </c>
      <c r="D2780" t="s">
        <v>2527</v>
      </c>
      <c r="E2780" t="s">
        <v>1915</v>
      </c>
      <c r="F2780">
        <v>23505</v>
      </c>
    </row>
    <row r="2781" spans="1:6" x14ac:dyDescent="0.25">
      <c r="A2781" t="s">
        <v>5016</v>
      </c>
      <c r="B2781" t="s">
        <v>991</v>
      </c>
      <c r="C2781" t="s">
        <v>146</v>
      </c>
      <c r="D2781" t="s">
        <v>2236</v>
      </c>
      <c r="E2781" t="s">
        <v>1879</v>
      </c>
      <c r="F2781">
        <v>47876</v>
      </c>
    </row>
    <row r="2782" spans="1:6" x14ac:dyDescent="0.25">
      <c r="A2782" t="s">
        <v>5017</v>
      </c>
      <c r="B2782" t="s">
        <v>991</v>
      </c>
      <c r="C2782" t="s">
        <v>146</v>
      </c>
      <c r="D2782" t="s">
        <v>2773</v>
      </c>
      <c r="E2782" t="s">
        <v>1886</v>
      </c>
      <c r="F2782">
        <v>6239</v>
      </c>
    </row>
    <row r="2783" spans="1:6" x14ac:dyDescent="0.25">
      <c r="A2783" t="s">
        <v>5018</v>
      </c>
      <c r="B2783" t="s">
        <v>991</v>
      </c>
      <c r="C2783" t="s">
        <v>146</v>
      </c>
      <c r="D2783" t="s">
        <v>2148</v>
      </c>
      <c r="E2783" t="s">
        <v>1886</v>
      </c>
      <c r="F2783">
        <v>14445</v>
      </c>
    </row>
    <row r="2784" spans="1:6" x14ac:dyDescent="0.25">
      <c r="A2784" t="s">
        <v>5019</v>
      </c>
      <c r="B2784" t="s">
        <v>991</v>
      </c>
      <c r="C2784" t="s">
        <v>146</v>
      </c>
      <c r="D2784" t="s">
        <v>2855</v>
      </c>
      <c r="E2784" t="s">
        <v>1879</v>
      </c>
      <c r="F2784">
        <v>48977</v>
      </c>
    </row>
    <row r="2785" spans="1:6" x14ac:dyDescent="0.25">
      <c r="A2785" t="s">
        <v>5020</v>
      </c>
      <c r="B2785" t="s">
        <v>991</v>
      </c>
      <c r="C2785" t="s">
        <v>146</v>
      </c>
      <c r="D2785" t="s">
        <v>2024</v>
      </c>
      <c r="E2785" t="s">
        <v>1879</v>
      </c>
      <c r="F2785">
        <v>63954</v>
      </c>
    </row>
    <row r="2786" spans="1:6" x14ac:dyDescent="0.25">
      <c r="A2786" t="s">
        <v>5021</v>
      </c>
      <c r="B2786" t="s">
        <v>994</v>
      </c>
      <c r="C2786" t="s">
        <v>73</v>
      </c>
      <c r="D2786" t="s">
        <v>2395</v>
      </c>
      <c r="E2786" t="s">
        <v>1871</v>
      </c>
      <c r="F2786">
        <v>58803</v>
      </c>
    </row>
    <row r="2787" spans="1:6" x14ac:dyDescent="0.25">
      <c r="A2787" t="s">
        <v>5022</v>
      </c>
      <c r="B2787" t="s">
        <v>994</v>
      </c>
      <c r="C2787" t="s">
        <v>73</v>
      </c>
      <c r="D2787" t="s">
        <v>2359</v>
      </c>
      <c r="E2787" t="s">
        <v>1876</v>
      </c>
      <c r="F2787">
        <v>11716</v>
      </c>
    </row>
    <row r="2788" spans="1:6" x14ac:dyDescent="0.25">
      <c r="A2788" t="s">
        <v>5023</v>
      </c>
      <c r="B2788" t="s">
        <v>994</v>
      </c>
      <c r="C2788" t="s">
        <v>73</v>
      </c>
      <c r="D2788" t="s">
        <v>2263</v>
      </c>
      <c r="E2788" t="s">
        <v>1876</v>
      </c>
      <c r="F2788">
        <v>23061</v>
      </c>
    </row>
    <row r="2789" spans="1:6" x14ac:dyDescent="0.25">
      <c r="A2789" t="s">
        <v>5024</v>
      </c>
      <c r="B2789" t="s">
        <v>994</v>
      </c>
      <c r="C2789" t="s">
        <v>73</v>
      </c>
      <c r="D2789" t="s">
        <v>2095</v>
      </c>
      <c r="E2789" t="s">
        <v>1876</v>
      </c>
      <c r="F2789">
        <v>14122</v>
      </c>
    </row>
    <row r="2790" spans="1:6" x14ac:dyDescent="0.25">
      <c r="A2790" t="s">
        <v>5025</v>
      </c>
      <c r="B2790" t="s">
        <v>994</v>
      </c>
      <c r="C2790" t="s">
        <v>73</v>
      </c>
      <c r="D2790" t="s">
        <v>2546</v>
      </c>
      <c r="E2790" t="s">
        <v>1915</v>
      </c>
      <c r="F2790">
        <v>43081</v>
      </c>
    </row>
    <row r="2791" spans="1:6" x14ac:dyDescent="0.25">
      <c r="A2791" t="s">
        <v>5026</v>
      </c>
      <c r="B2791" t="s">
        <v>994</v>
      </c>
      <c r="C2791" t="s">
        <v>73</v>
      </c>
      <c r="D2791" t="s">
        <v>3233</v>
      </c>
      <c r="E2791" t="s">
        <v>1915</v>
      </c>
      <c r="F2791">
        <v>82429</v>
      </c>
    </row>
    <row r="2792" spans="1:6" x14ac:dyDescent="0.25">
      <c r="A2792" t="s">
        <v>5027</v>
      </c>
      <c r="B2792" t="s">
        <v>994</v>
      </c>
      <c r="C2792" t="s">
        <v>73</v>
      </c>
      <c r="D2792" t="s">
        <v>2228</v>
      </c>
      <c r="E2792" t="s">
        <v>1871</v>
      </c>
      <c r="F2792">
        <v>33442</v>
      </c>
    </row>
    <row r="2793" spans="1:6" x14ac:dyDescent="0.25">
      <c r="A2793" t="s">
        <v>5028</v>
      </c>
      <c r="B2793" t="s">
        <v>994</v>
      </c>
      <c r="C2793" t="s">
        <v>73</v>
      </c>
      <c r="D2793" t="s">
        <v>3142</v>
      </c>
      <c r="E2793" t="s">
        <v>1879</v>
      </c>
      <c r="F2793">
        <v>66470</v>
      </c>
    </row>
    <row r="2794" spans="1:6" x14ac:dyDescent="0.25">
      <c r="A2794" t="s">
        <v>5029</v>
      </c>
      <c r="B2794" t="s">
        <v>997</v>
      </c>
      <c r="C2794" t="s">
        <v>73</v>
      </c>
      <c r="D2794" t="s">
        <v>2331</v>
      </c>
      <c r="E2794" t="s">
        <v>1915</v>
      </c>
      <c r="F2794">
        <v>54851</v>
      </c>
    </row>
    <row r="2795" spans="1:6" x14ac:dyDescent="0.25">
      <c r="A2795" t="s">
        <v>5030</v>
      </c>
      <c r="B2795" t="s">
        <v>997</v>
      </c>
      <c r="C2795" t="s">
        <v>73</v>
      </c>
      <c r="D2795" t="s">
        <v>2119</v>
      </c>
      <c r="E2795" t="s">
        <v>1886</v>
      </c>
      <c r="F2795">
        <v>10433</v>
      </c>
    </row>
    <row r="2796" spans="1:6" x14ac:dyDescent="0.25">
      <c r="A2796" t="s">
        <v>5031</v>
      </c>
      <c r="B2796" t="s">
        <v>997</v>
      </c>
      <c r="C2796" t="s">
        <v>73</v>
      </c>
      <c r="D2796" t="s">
        <v>2519</v>
      </c>
      <c r="E2796" t="s">
        <v>1879</v>
      </c>
      <c r="F2796">
        <v>43659</v>
      </c>
    </row>
    <row r="2797" spans="1:6" x14ac:dyDescent="0.25">
      <c r="A2797" t="s">
        <v>5032</v>
      </c>
      <c r="B2797" t="s">
        <v>997</v>
      </c>
      <c r="C2797" t="s">
        <v>73</v>
      </c>
      <c r="D2797" t="s">
        <v>2141</v>
      </c>
      <c r="E2797" t="s">
        <v>1886</v>
      </c>
      <c r="F2797">
        <v>12983</v>
      </c>
    </row>
    <row r="2798" spans="1:6" x14ac:dyDescent="0.25">
      <c r="A2798" t="s">
        <v>5033</v>
      </c>
      <c r="B2798" t="s">
        <v>997</v>
      </c>
      <c r="C2798" t="s">
        <v>73</v>
      </c>
      <c r="D2798" t="s">
        <v>2471</v>
      </c>
      <c r="E2798" t="s">
        <v>1915</v>
      </c>
      <c r="F2798">
        <v>21372</v>
      </c>
    </row>
    <row r="2799" spans="1:6" x14ac:dyDescent="0.25">
      <c r="A2799" t="s">
        <v>5034</v>
      </c>
      <c r="B2799" t="s">
        <v>997</v>
      </c>
      <c r="C2799" t="s">
        <v>73</v>
      </c>
      <c r="D2799" t="s">
        <v>2053</v>
      </c>
      <c r="E2799" t="s">
        <v>1871</v>
      </c>
      <c r="F2799">
        <v>9536</v>
      </c>
    </row>
    <row r="2800" spans="1:6" x14ac:dyDescent="0.25">
      <c r="A2800" t="s">
        <v>5035</v>
      </c>
      <c r="B2800" t="s">
        <v>997</v>
      </c>
      <c r="C2800" t="s">
        <v>73</v>
      </c>
      <c r="D2800" t="s">
        <v>2212</v>
      </c>
      <c r="E2800" t="s">
        <v>1886</v>
      </c>
      <c r="F2800">
        <v>27603</v>
      </c>
    </row>
    <row r="2801" spans="1:6" x14ac:dyDescent="0.25">
      <c r="A2801" t="s">
        <v>5036</v>
      </c>
      <c r="B2801" t="s">
        <v>997</v>
      </c>
      <c r="C2801" t="s">
        <v>73</v>
      </c>
      <c r="D2801" t="s">
        <v>2803</v>
      </c>
      <c r="E2801" t="s">
        <v>1876</v>
      </c>
      <c r="F2801">
        <v>54701</v>
      </c>
    </row>
    <row r="2802" spans="1:6" x14ac:dyDescent="0.25">
      <c r="A2802" t="s">
        <v>5037</v>
      </c>
      <c r="B2802" t="s">
        <v>997</v>
      </c>
      <c r="C2802" t="s">
        <v>73</v>
      </c>
      <c r="D2802" t="s">
        <v>2097</v>
      </c>
      <c r="E2802" t="s">
        <v>1915</v>
      </c>
      <c r="F2802">
        <v>120837</v>
      </c>
    </row>
    <row r="2803" spans="1:6" x14ac:dyDescent="0.25">
      <c r="A2803" t="s">
        <v>5038</v>
      </c>
      <c r="B2803" t="s">
        <v>997</v>
      </c>
      <c r="C2803" t="s">
        <v>73</v>
      </c>
      <c r="D2803" t="s">
        <v>2706</v>
      </c>
      <c r="E2803" t="s">
        <v>1871</v>
      </c>
      <c r="F2803">
        <v>55709</v>
      </c>
    </row>
    <row r="2804" spans="1:6" x14ac:dyDescent="0.25">
      <c r="A2804" t="s">
        <v>5039</v>
      </c>
      <c r="B2804" t="s">
        <v>997</v>
      </c>
      <c r="C2804" t="s">
        <v>73</v>
      </c>
      <c r="D2804" t="s">
        <v>2708</v>
      </c>
      <c r="E2804" t="s">
        <v>1886</v>
      </c>
      <c r="F2804">
        <v>17476</v>
      </c>
    </row>
    <row r="2805" spans="1:6" x14ac:dyDescent="0.25">
      <c r="A2805" t="s">
        <v>5040</v>
      </c>
      <c r="B2805" t="s">
        <v>1000</v>
      </c>
      <c r="C2805" t="s">
        <v>87</v>
      </c>
      <c r="D2805" t="s">
        <v>2114</v>
      </c>
      <c r="E2805" t="s">
        <v>1886</v>
      </c>
      <c r="F2805">
        <v>30355</v>
      </c>
    </row>
    <row r="2806" spans="1:6" x14ac:dyDescent="0.25">
      <c r="A2806" t="s">
        <v>5041</v>
      </c>
      <c r="B2806" t="s">
        <v>1000</v>
      </c>
      <c r="C2806" t="s">
        <v>87</v>
      </c>
      <c r="D2806" t="s">
        <v>2012</v>
      </c>
      <c r="E2806" t="s">
        <v>1915</v>
      </c>
      <c r="F2806">
        <v>16279</v>
      </c>
    </row>
    <row r="2807" spans="1:6" x14ac:dyDescent="0.25">
      <c r="A2807" t="s">
        <v>5042</v>
      </c>
      <c r="B2807" t="s">
        <v>1000</v>
      </c>
      <c r="C2807" t="s">
        <v>87</v>
      </c>
      <c r="D2807" t="s">
        <v>2005</v>
      </c>
      <c r="E2807" t="s">
        <v>1879</v>
      </c>
      <c r="F2807">
        <v>16056</v>
      </c>
    </row>
    <row r="2808" spans="1:6" x14ac:dyDescent="0.25">
      <c r="A2808" t="s">
        <v>5043</v>
      </c>
      <c r="B2808" t="s">
        <v>1000</v>
      </c>
      <c r="C2808" t="s">
        <v>87</v>
      </c>
      <c r="D2808" t="s">
        <v>3242</v>
      </c>
      <c r="E2808" t="s">
        <v>1879</v>
      </c>
      <c r="F2808">
        <v>4016</v>
      </c>
    </row>
    <row r="2809" spans="1:6" x14ac:dyDescent="0.25">
      <c r="A2809" t="s">
        <v>5044</v>
      </c>
      <c r="B2809" t="s">
        <v>1000</v>
      </c>
      <c r="C2809" t="s">
        <v>87</v>
      </c>
      <c r="D2809" t="s">
        <v>2310</v>
      </c>
      <c r="E2809" t="s">
        <v>1879</v>
      </c>
      <c r="F2809">
        <v>17888</v>
      </c>
    </row>
    <row r="2810" spans="1:6" x14ac:dyDescent="0.25">
      <c r="A2810" t="s">
        <v>5045</v>
      </c>
      <c r="B2810" t="s">
        <v>1000</v>
      </c>
      <c r="C2810" t="s">
        <v>87</v>
      </c>
      <c r="D2810" t="s">
        <v>2491</v>
      </c>
      <c r="E2810" t="s">
        <v>1879</v>
      </c>
      <c r="F2810">
        <v>16997</v>
      </c>
    </row>
    <row r="2811" spans="1:6" x14ac:dyDescent="0.25">
      <c r="A2811" t="s">
        <v>5046</v>
      </c>
      <c r="B2811" t="s">
        <v>1000</v>
      </c>
      <c r="C2811" t="s">
        <v>87</v>
      </c>
      <c r="D2811" t="s">
        <v>1917</v>
      </c>
      <c r="E2811" t="s">
        <v>1915</v>
      </c>
      <c r="F2811">
        <v>27867</v>
      </c>
    </row>
    <row r="2812" spans="1:6" x14ac:dyDescent="0.25">
      <c r="A2812" t="s">
        <v>5047</v>
      </c>
      <c r="B2812" t="s">
        <v>1003</v>
      </c>
      <c r="C2812" t="s">
        <v>51</v>
      </c>
      <c r="D2812" t="s">
        <v>2645</v>
      </c>
      <c r="E2812" t="s">
        <v>1879</v>
      </c>
      <c r="F2812">
        <v>16892</v>
      </c>
    </row>
    <row r="2813" spans="1:6" x14ac:dyDescent="0.25">
      <c r="A2813" t="s">
        <v>5048</v>
      </c>
      <c r="B2813" t="s">
        <v>1003</v>
      </c>
      <c r="C2813" t="s">
        <v>51</v>
      </c>
      <c r="D2813" t="s">
        <v>2473</v>
      </c>
      <c r="E2813" t="s">
        <v>1879</v>
      </c>
      <c r="F2813">
        <v>10077</v>
      </c>
    </row>
    <row r="2814" spans="1:6" x14ac:dyDescent="0.25">
      <c r="A2814" t="s">
        <v>5049</v>
      </c>
      <c r="B2814" t="s">
        <v>1003</v>
      </c>
      <c r="C2814" t="s">
        <v>51</v>
      </c>
      <c r="D2814" t="s">
        <v>2615</v>
      </c>
      <c r="E2814" t="s">
        <v>1886</v>
      </c>
      <c r="F2814">
        <v>21537</v>
      </c>
    </row>
    <row r="2815" spans="1:6" x14ac:dyDescent="0.25">
      <c r="A2815" t="s">
        <v>5050</v>
      </c>
      <c r="B2815" t="s">
        <v>1003</v>
      </c>
      <c r="C2815" t="s">
        <v>51</v>
      </c>
      <c r="D2815" t="s">
        <v>2104</v>
      </c>
      <c r="E2815" t="s">
        <v>1879</v>
      </c>
      <c r="F2815">
        <v>16684</v>
      </c>
    </row>
    <row r="2816" spans="1:6" x14ac:dyDescent="0.25">
      <c r="A2816" t="s">
        <v>5051</v>
      </c>
      <c r="B2816" t="s">
        <v>1003</v>
      </c>
      <c r="C2816" t="s">
        <v>51</v>
      </c>
      <c r="D2816" t="s">
        <v>3615</v>
      </c>
      <c r="E2816" t="s">
        <v>1879</v>
      </c>
      <c r="F2816">
        <v>5328</v>
      </c>
    </row>
    <row r="2817" spans="1:6" x14ac:dyDescent="0.25">
      <c r="A2817" t="s">
        <v>5052</v>
      </c>
      <c r="B2817" t="s">
        <v>1003</v>
      </c>
      <c r="C2817" t="s">
        <v>51</v>
      </c>
      <c r="D2817" t="s">
        <v>2148</v>
      </c>
      <c r="E2817" t="s">
        <v>1879</v>
      </c>
      <c r="F2817">
        <v>13112</v>
      </c>
    </row>
    <row r="2818" spans="1:6" x14ac:dyDescent="0.25">
      <c r="A2818" t="s">
        <v>5053</v>
      </c>
      <c r="B2818" t="s">
        <v>1003</v>
      </c>
      <c r="C2818" t="s">
        <v>51</v>
      </c>
      <c r="D2818" t="s">
        <v>3093</v>
      </c>
      <c r="E2818" t="s">
        <v>1876</v>
      </c>
      <c r="F2818">
        <v>12936</v>
      </c>
    </row>
    <row r="2819" spans="1:6" x14ac:dyDescent="0.25">
      <c r="A2819" t="s">
        <v>5054</v>
      </c>
      <c r="B2819" t="s">
        <v>1006</v>
      </c>
      <c r="C2819" t="s">
        <v>96</v>
      </c>
      <c r="D2819" t="s">
        <v>2095</v>
      </c>
      <c r="E2819" t="s">
        <v>1879</v>
      </c>
      <c r="F2819">
        <v>56476</v>
      </c>
    </row>
    <row r="2820" spans="1:6" x14ac:dyDescent="0.25">
      <c r="A2820" t="s">
        <v>5055</v>
      </c>
      <c r="B2820" t="s">
        <v>1006</v>
      </c>
      <c r="C2820" t="s">
        <v>96</v>
      </c>
      <c r="D2820" t="s">
        <v>2409</v>
      </c>
      <c r="E2820" t="s">
        <v>1915</v>
      </c>
      <c r="F2820">
        <v>21069</v>
      </c>
    </row>
    <row r="2821" spans="1:6" x14ac:dyDescent="0.25">
      <c r="A2821" t="s">
        <v>5056</v>
      </c>
      <c r="B2821" t="s">
        <v>1006</v>
      </c>
      <c r="C2821" t="s">
        <v>96</v>
      </c>
      <c r="D2821" t="s">
        <v>2117</v>
      </c>
      <c r="E2821" t="s">
        <v>1915</v>
      </c>
      <c r="F2821">
        <v>108457</v>
      </c>
    </row>
    <row r="2822" spans="1:6" x14ac:dyDescent="0.25">
      <c r="A2822" t="s">
        <v>5057</v>
      </c>
      <c r="B2822" t="s">
        <v>1006</v>
      </c>
      <c r="C2822" t="s">
        <v>96</v>
      </c>
      <c r="D2822" t="s">
        <v>2488</v>
      </c>
      <c r="E2822" t="s">
        <v>1876</v>
      </c>
      <c r="F2822">
        <v>55376</v>
      </c>
    </row>
    <row r="2823" spans="1:6" x14ac:dyDescent="0.25">
      <c r="A2823" t="s">
        <v>5058</v>
      </c>
      <c r="B2823" t="s">
        <v>1006</v>
      </c>
      <c r="C2823" t="s">
        <v>96</v>
      </c>
      <c r="D2823" t="s">
        <v>3860</v>
      </c>
      <c r="E2823" t="s">
        <v>1879</v>
      </c>
      <c r="F2823">
        <v>79923</v>
      </c>
    </row>
    <row r="2824" spans="1:6" x14ac:dyDescent="0.25">
      <c r="A2824" t="s">
        <v>5059</v>
      </c>
      <c r="B2824" t="s">
        <v>1006</v>
      </c>
      <c r="C2824" t="s">
        <v>96</v>
      </c>
      <c r="D2824" t="s">
        <v>2333</v>
      </c>
      <c r="E2824" t="s">
        <v>1886</v>
      </c>
      <c r="F2824">
        <v>14505</v>
      </c>
    </row>
    <row r="2825" spans="1:6" x14ac:dyDescent="0.25">
      <c r="A2825" t="s">
        <v>5060</v>
      </c>
      <c r="B2825" t="s">
        <v>1006</v>
      </c>
      <c r="C2825" t="s">
        <v>96</v>
      </c>
      <c r="D2825" t="s">
        <v>2163</v>
      </c>
      <c r="E2825" t="s">
        <v>1871</v>
      </c>
      <c r="F2825">
        <v>55513</v>
      </c>
    </row>
    <row r="2826" spans="1:6" x14ac:dyDescent="0.25">
      <c r="A2826" t="s">
        <v>5061</v>
      </c>
      <c r="B2826" t="s">
        <v>1006</v>
      </c>
      <c r="C2826" t="s">
        <v>96</v>
      </c>
      <c r="D2826" t="s">
        <v>3115</v>
      </c>
      <c r="E2826" t="s">
        <v>1876</v>
      </c>
      <c r="F2826">
        <v>21451</v>
      </c>
    </row>
    <row r="2827" spans="1:6" x14ac:dyDescent="0.25">
      <c r="A2827" t="s">
        <v>5062</v>
      </c>
      <c r="B2827" t="s">
        <v>1006</v>
      </c>
      <c r="C2827" t="s">
        <v>96</v>
      </c>
      <c r="D2827" t="s">
        <v>1970</v>
      </c>
      <c r="E2827" t="s">
        <v>1876</v>
      </c>
      <c r="F2827">
        <v>49254</v>
      </c>
    </row>
    <row r="2828" spans="1:6" x14ac:dyDescent="0.25">
      <c r="A2828" t="s">
        <v>5063</v>
      </c>
      <c r="B2828" t="s">
        <v>1006</v>
      </c>
      <c r="C2828" t="s">
        <v>96</v>
      </c>
      <c r="D2828" t="s">
        <v>2305</v>
      </c>
      <c r="E2828" t="s">
        <v>1915</v>
      </c>
      <c r="F2828">
        <v>65696</v>
      </c>
    </row>
    <row r="2829" spans="1:6" x14ac:dyDescent="0.25">
      <c r="A2829" t="s">
        <v>5064</v>
      </c>
      <c r="B2829" t="s">
        <v>1006</v>
      </c>
      <c r="C2829" t="s">
        <v>96</v>
      </c>
      <c r="D2829" t="s">
        <v>1931</v>
      </c>
      <c r="E2829" t="s">
        <v>1886</v>
      </c>
      <c r="F2829">
        <v>25685</v>
      </c>
    </row>
    <row r="2830" spans="1:6" x14ac:dyDescent="0.25">
      <c r="A2830" t="s">
        <v>5065</v>
      </c>
      <c r="B2830" t="s">
        <v>1006</v>
      </c>
      <c r="C2830" t="s">
        <v>96</v>
      </c>
      <c r="D2830" t="s">
        <v>2704</v>
      </c>
      <c r="E2830" t="s">
        <v>1915</v>
      </c>
      <c r="F2830">
        <v>127315</v>
      </c>
    </row>
    <row r="2831" spans="1:6" x14ac:dyDescent="0.25">
      <c r="A2831" t="s">
        <v>5066</v>
      </c>
      <c r="B2831" t="s">
        <v>1009</v>
      </c>
      <c r="C2831" t="s">
        <v>87</v>
      </c>
      <c r="D2831" t="s">
        <v>1906</v>
      </c>
      <c r="E2831" t="s">
        <v>1915</v>
      </c>
      <c r="F2831">
        <v>11140</v>
      </c>
    </row>
    <row r="2832" spans="1:6" x14ac:dyDescent="0.25">
      <c r="A2832" t="s">
        <v>5067</v>
      </c>
      <c r="B2832" t="s">
        <v>1009</v>
      </c>
      <c r="C2832" t="s">
        <v>87</v>
      </c>
      <c r="D2832" t="s">
        <v>2188</v>
      </c>
      <c r="E2832" t="s">
        <v>1871</v>
      </c>
      <c r="F2832">
        <v>8799</v>
      </c>
    </row>
    <row r="2833" spans="1:6" x14ac:dyDescent="0.25">
      <c r="A2833" t="s">
        <v>5068</v>
      </c>
      <c r="B2833" t="s">
        <v>1009</v>
      </c>
      <c r="C2833" t="s">
        <v>87</v>
      </c>
      <c r="D2833" t="s">
        <v>2680</v>
      </c>
      <c r="E2833" t="s">
        <v>1915</v>
      </c>
      <c r="F2833">
        <v>11988</v>
      </c>
    </row>
    <row r="2834" spans="1:6" x14ac:dyDescent="0.25">
      <c r="A2834" t="s">
        <v>5069</v>
      </c>
      <c r="B2834" t="s">
        <v>1009</v>
      </c>
      <c r="C2834" t="s">
        <v>87</v>
      </c>
      <c r="D2834" t="s">
        <v>2713</v>
      </c>
      <c r="E2834" t="s">
        <v>1876</v>
      </c>
      <c r="F2834">
        <v>1242</v>
      </c>
    </row>
    <row r="2835" spans="1:6" x14ac:dyDescent="0.25">
      <c r="A2835" t="s">
        <v>5070</v>
      </c>
      <c r="B2835" t="s">
        <v>1009</v>
      </c>
      <c r="C2835" t="s">
        <v>87</v>
      </c>
      <c r="D2835" t="s">
        <v>3047</v>
      </c>
      <c r="E2835" t="s">
        <v>1915</v>
      </c>
      <c r="F2835">
        <v>10586</v>
      </c>
    </row>
    <row r="2836" spans="1:6" x14ac:dyDescent="0.25">
      <c r="A2836" t="s">
        <v>5071</v>
      </c>
      <c r="B2836" t="s">
        <v>1009</v>
      </c>
      <c r="C2836" t="s">
        <v>87</v>
      </c>
      <c r="D2836" t="s">
        <v>2364</v>
      </c>
      <c r="E2836" t="s">
        <v>1915</v>
      </c>
      <c r="F2836">
        <v>15003</v>
      </c>
    </row>
    <row r="2837" spans="1:6" x14ac:dyDescent="0.25">
      <c r="A2837" t="s">
        <v>5072</v>
      </c>
      <c r="B2837" t="s">
        <v>1011</v>
      </c>
      <c r="C2837" t="s">
        <v>51</v>
      </c>
      <c r="D2837" t="s">
        <v>2645</v>
      </c>
      <c r="E2837" t="s">
        <v>1886</v>
      </c>
      <c r="F2837">
        <v>10162</v>
      </c>
    </row>
    <row r="2838" spans="1:6" x14ac:dyDescent="0.25">
      <c r="A2838" t="s">
        <v>5073</v>
      </c>
      <c r="B2838" t="s">
        <v>1011</v>
      </c>
      <c r="C2838" t="s">
        <v>51</v>
      </c>
      <c r="D2838" t="s">
        <v>1896</v>
      </c>
      <c r="E2838" t="s">
        <v>1886</v>
      </c>
      <c r="F2838">
        <v>31777</v>
      </c>
    </row>
    <row r="2839" spans="1:6" x14ac:dyDescent="0.25">
      <c r="A2839" t="s">
        <v>5074</v>
      </c>
      <c r="B2839" t="s">
        <v>1011</v>
      </c>
      <c r="C2839" t="s">
        <v>51</v>
      </c>
      <c r="D2839" t="s">
        <v>3860</v>
      </c>
      <c r="E2839" t="s">
        <v>1879</v>
      </c>
      <c r="F2839">
        <v>25083</v>
      </c>
    </row>
    <row r="2840" spans="1:6" x14ac:dyDescent="0.25">
      <c r="A2840" t="s">
        <v>5075</v>
      </c>
      <c r="B2840" t="s">
        <v>1011</v>
      </c>
      <c r="C2840" t="s">
        <v>51</v>
      </c>
      <c r="D2840" t="s">
        <v>2539</v>
      </c>
      <c r="E2840" t="s">
        <v>1886</v>
      </c>
      <c r="F2840">
        <v>26771</v>
      </c>
    </row>
    <row r="2841" spans="1:6" x14ac:dyDescent="0.25">
      <c r="A2841" t="s">
        <v>5076</v>
      </c>
      <c r="B2841" t="s">
        <v>1011</v>
      </c>
      <c r="C2841" t="s">
        <v>51</v>
      </c>
      <c r="D2841" t="s">
        <v>2195</v>
      </c>
      <c r="E2841" t="s">
        <v>1879</v>
      </c>
      <c r="F2841">
        <v>30349</v>
      </c>
    </row>
    <row r="2842" spans="1:6" x14ac:dyDescent="0.25">
      <c r="A2842" t="s">
        <v>5077</v>
      </c>
      <c r="B2842" t="s">
        <v>1011</v>
      </c>
      <c r="C2842" t="s">
        <v>51</v>
      </c>
      <c r="D2842" t="s">
        <v>2119</v>
      </c>
      <c r="E2842" t="s">
        <v>1876</v>
      </c>
      <c r="F2842">
        <v>3244</v>
      </c>
    </row>
    <row r="2843" spans="1:6" x14ac:dyDescent="0.25">
      <c r="A2843" t="s">
        <v>5078</v>
      </c>
      <c r="B2843" t="s">
        <v>1014</v>
      </c>
      <c r="C2843" t="s">
        <v>87</v>
      </c>
      <c r="D2843" t="s">
        <v>2362</v>
      </c>
      <c r="E2843" t="s">
        <v>1886</v>
      </c>
      <c r="F2843">
        <v>17368</v>
      </c>
    </row>
    <row r="2844" spans="1:6" x14ac:dyDescent="0.25">
      <c r="A2844" t="s">
        <v>5079</v>
      </c>
      <c r="B2844" t="s">
        <v>1014</v>
      </c>
      <c r="C2844" t="s">
        <v>87</v>
      </c>
      <c r="D2844" t="s">
        <v>2002</v>
      </c>
      <c r="E2844" t="s">
        <v>1886</v>
      </c>
      <c r="F2844">
        <v>7811</v>
      </c>
    </row>
    <row r="2845" spans="1:6" x14ac:dyDescent="0.25">
      <c r="A2845" t="s">
        <v>5080</v>
      </c>
      <c r="B2845" t="s">
        <v>1014</v>
      </c>
      <c r="C2845" t="s">
        <v>87</v>
      </c>
      <c r="D2845" t="s">
        <v>2284</v>
      </c>
      <c r="E2845" t="s">
        <v>1915</v>
      </c>
      <c r="F2845">
        <v>28163</v>
      </c>
    </row>
    <row r="2846" spans="1:6" x14ac:dyDescent="0.25">
      <c r="A2846" t="s">
        <v>5081</v>
      </c>
      <c r="B2846" t="s">
        <v>1014</v>
      </c>
      <c r="C2846" t="s">
        <v>87</v>
      </c>
      <c r="D2846" t="s">
        <v>2680</v>
      </c>
      <c r="E2846" t="s">
        <v>1876</v>
      </c>
      <c r="F2846">
        <v>30109</v>
      </c>
    </row>
    <row r="2847" spans="1:6" x14ac:dyDescent="0.25">
      <c r="A2847" t="s">
        <v>5082</v>
      </c>
      <c r="B2847" t="s">
        <v>1014</v>
      </c>
      <c r="C2847" t="s">
        <v>87</v>
      </c>
      <c r="D2847" t="s">
        <v>3026</v>
      </c>
      <c r="E2847" t="s">
        <v>1871</v>
      </c>
      <c r="F2847">
        <v>14008</v>
      </c>
    </row>
    <row r="2848" spans="1:6" x14ac:dyDescent="0.25">
      <c r="A2848" t="s">
        <v>5083</v>
      </c>
      <c r="B2848" t="s">
        <v>1014</v>
      </c>
      <c r="C2848" t="s">
        <v>87</v>
      </c>
      <c r="D2848" t="s">
        <v>2477</v>
      </c>
      <c r="E2848" t="s">
        <v>1879</v>
      </c>
      <c r="F2848">
        <v>34160</v>
      </c>
    </row>
    <row r="2849" spans="1:6" x14ac:dyDescent="0.25">
      <c r="A2849" t="s">
        <v>5084</v>
      </c>
      <c r="B2849" t="s">
        <v>1014</v>
      </c>
      <c r="C2849" t="s">
        <v>87</v>
      </c>
      <c r="D2849" t="s">
        <v>2101</v>
      </c>
      <c r="E2849" t="s">
        <v>1871</v>
      </c>
      <c r="F2849">
        <v>30058</v>
      </c>
    </row>
    <row r="2850" spans="1:6" x14ac:dyDescent="0.25">
      <c r="A2850" t="s">
        <v>5085</v>
      </c>
      <c r="B2850" t="s">
        <v>1014</v>
      </c>
      <c r="C2850" t="s">
        <v>87</v>
      </c>
      <c r="D2850" t="s">
        <v>2055</v>
      </c>
      <c r="E2850" t="s">
        <v>1879</v>
      </c>
      <c r="F2850">
        <v>5198</v>
      </c>
    </row>
    <row r="2851" spans="1:6" x14ac:dyDescent="0.25">
      <c r="A2851" t="s">
        <v>5086</v>
      </c>
      <c r="B2851" t="s">
        <v>1014</v>
      </c>
      <c r="C2851" t="s">
        <v>87</v>
      </c>
      <c r="D2851" t="s">
        <v>2350</v>
      </c>
      <c r="E2851" t="s">
        <v>1876</v>
      </c>
      <c r="F2851">
        <v>20040</v>
      </c>
    </row>
    <row r="2852" spans="1:6" x14ac:dyDescent="0.25">
      <c r="A2852" t="s">
        <v>5087</v>
      </c>
      <c r="B2852" t="s">
        <v>1017</v>
      </c>
      <c r="C2852" t="s">
        <v>96</v>
      </c>
      <c r="D2852" t="s">
        <v>1960</v>
      </c>
      <c r="E2852" t="s">
        <v>1886</v>
      </c>
      <c r="F2852">
        <v>10709</v>
      </c>
    </row>
    <row r="2853" spans="1:6" x14ac:dyDescent="0.25">
      <c r="A2853" t="s">
        <v>5088</v>
      </c>
      <c r="B2853" t="s">
        <v>1017</v>
      </c>
      <c r="C2853" t="s">
        <v>96</v>
      </c>
      <c r="D2853" t="s">
        <v>3486</v>
      </c>
      <c r="E2853" t="s">
        <v>1871</v>
      </c>
      <c r="F2853">
        <v>9462</v>
      </c>
    </row>
    <row r="2854" spans="1:6" x14ac:dyDescent="0.25">
      <c r="A2854" t="s">
        <v>5089</v>
      </c>
      <c r="B2854" t="s">
        <v>1017</v>
      </c>
      <c r="C2854" t="s">
        <v>96</v>
      </c>
      <c r="D2854" t="s">
        <v>1894</v>
      </c>
      <c r="E2854" t="s">
        <v>1886</v>
      </c>
      <c r="F2854">
        <v>15418</v>
      </c>
    </row>
    <row r="2855" spans="1:6" x14ac:dyDescent="0.25">
      <c r="A2855" t="s">
        <v>5090</v>
      </c>
      <c r="B2855" t="s">
        <v>1017</v>
      </c>
      <c r="C2855" t="s">
        <v>96</v>
      </c>
      <c r="D2855" t="s">
        <v>2954</v>
      </c>
      <c r="E2855" t="s">
        <v>1871</v>
      </c>
      <c r="F2855">
        <v>29821</v>
      </c>
    </row>
    <row r="2856" spans="1:6" x14ac:dyDescent="0.25">
      <c r="A2856" t="s">
        <v>5091</v>
      </c>
      <c r="B2856" t="s">
        <v>1017</v>
      </c>
      <c r="C2856" t="s">
        <v>96</v>
      </c>
      <c r="D2856" t="s">
        <v>2284</v>
      </c>
      <c r="E2856" t="s">
        <v>1871</v>
      </c>
      <c r="F2856">
        <v>38723</v>
      </c>
    </row>
    <row r="2857" spans="1:6" x14ac:dyDescent="0.25">
      <c r="A2857" t="s">
        <v>5092</v>
      </c>
      <c r="B2857" t="s">
        <v>1017</v>
      </c>
      <c r="C2857" t="s">
        <v>96</v>
      </c>
      <c r="D2857" t="s">
        <v>2509</v>
      </c>
      <c r="E2857" t="s">
        <v>1871</v>
      </c>
      <c r="F2857">
        <v>31830</v>
      </c>
    </row>
    <row r="2858" spans="1:6" x14ac:dyDescent="0.25">
      <c r="A2858" t="s">
        <v>5093</v>
      </c>
      <c r="B2858" t="s">
        <v>1017</v>
      </c>
      <c r="C2858" t="s">
        <v>96</v>
      </c>
      <c r="D2858" t="s">
        <v>1906</v>
      </c>
      <c r="E2858" t="s">
        <v>1879</v>
      </c>
      <c r="F2858">
        <v>28644</v>
      </c>
    </row>
    <row r="2859" spans="1:6" x14ac:dyDescent="0.25">
      <c r="A2859" t="s">
        <v>5094</v>
      </c>
      <c r="B2859" t="s">
        <v>1017</v>
      </c>
      <c r="C2859" t="s">
        <v>96</v>
      </c>
      <c r="D2859" t="s">
        <v>3252</v>
      </c>
      <c r="E2859" t="s">
        <v>1879</v>
      </c>
      <c r="F2859">
        <v>3466</v>
      </c>
    </row>
    <row r="2860" spans="1:6" x14ac:dyDescent="0.25">
      <c r="A2860" t="s">
        <v>5095</v>
      </c>
      <c r="B2860" t="s">
        <v>1017</v>
      </c>
      <c r="C2860" t="s">
        <v>96</v>
      </c>
      <c r="D2860" t="s">
        <v>2137</v>
      </c>
      <c r="E2860" t="s">
        <v>1886</v>
      </c>
      <c r="F2860">
        <v>4601</v>
      </c>
    </row>
    <row r="2861" spans="1:6" x14ac:dyDescent="0.25">
      <c r="A2861" t="s">
        <v>5096</v>
      </c>
      <c r="B2861" t="s">
        <v>1017</v>
      </c>
      <c r="C2861" t="s">
        <v>96</v>
      </c>
      <c r="D2861" t="s">
        <v>2295</v>
      </c>
      <c r="E2861" t="s">
        <v>1915</v>
      </c>
      <c r="F2861">
        <v>13235</v>
      </c>
    </row>
    <row r="2862" spans="1:6" x14ac:dyDescent="0.25">
      <c r="A2862" t="s">
        <v>5097</v>
      </c>
      <c r="B2862" t="s">
        <v>1020</v>
      </c>
      <c r="C2862" t="s">
        <v>146</v>
      </c>
      <c r="D2862" t="s">
        <v>2993</v>
      </c>
      <c r="E2862" t="s">
        <v>1886</v>
      </c>
      <c r="F2862">
        <v>2508</v>
      </c>
    </row>
    <row r="2863" spans="1:6" x14ac:dyDescent="0.25">
      <c r="A2863" t="s">
        <v>5098</v>
      </c>
      <c r="B2863" t="s">
        <v>1020</v>
      </c>
      <c r="C2863" t="s">
        <v>146</v>
      </c>
      <c r="D2863" t="s">
        <v>2286</v>
      </c>
      <c r="E2863" t="s">
        <v>1915</v>
      </c>
      <c r="F2863">
        <v>2287</v>
      </c>
    </row>
    <row r="2864" spans="1:6" x14ac:dyDescent="0.25">
      <c r="A2864" t="s">
        <v>5099</v>
      </c>
      <c r="B2864" t="s">
        <v>1020</v>
      </c>
      <c r="C2864" t="s">
        <v>146</v>
      </c>
      <c r="D2864" t="s">
        <v>2117</v>
      </c>
      <c r="E2864" t="s">
        <v>1915</v>
      </c>
      <c r="F2864">
        <v>16901</v>
      </c>
    </row>
    <row r="2865" spans="1:6" x14ac:dyDescent="0.25">
      <c r="A2865" t="s">
        <v>5100</v>
      </c>
      <c r="B2865" t="s">
        <v>1020</v>
      </c>
      <c r="C2865" t="s">
        <v>146</v>
      </c>
      <c r="D2865" t="s">
        <v>1994</v>
      </c>
      <c r="E2865" t="s">
        <v>1879</v>
      </c>
      <c r="F2865">
        <v>2049</v>
      </c>
    </row>
    <row r="2866" spans="1:6" x14ac:dyDescent="0.25">
      <c r="A2866" t="s">
        <v>5101</v>
      </c>
      <c r="B2866" t="s">
        <v>1020</v>
      </c>
      <c r="C2866" t="s">
        <v>146</v>
      </c>
      <c r="D2866" t="s">
        <v>2588</v>
      </c>
      <c r="E2866" t="s">
        <v>1871</v>
      </c>
      <c r="F2866">
        <v>3083</v>
      </c>
    </row>
    <row r="2867" spans="1:6" x14ac:dyDescent="0.25">
      <c r="A2867" t="s">
        <v>5102</v>
      </c>
      <c r="B2867" t="s">
        <v>1020</v>
      </c>
      <c r="C2867" t="s">
        <v>146</v>
      </c>
      <c r="D2867" t="s">
        <v>2066</v>
      </c>
      <c r="E2867" t="s">
        <v>1886</v>
      </c>
      <c r="F2867">
        <v>30224</v>
      </c>
    </row>
    <row r="2868" spans="1:6" x14ac:dyDescent="0.25">
      <c r="A2868" t="s">
        <v>5103</v>
      </c>
      <c r="B2868" t="s">
        <v>1020</v>
      </c>
      <c r="C2868" t="s">
        <v>146</v>
      </c>
      <c r="D2868" t="s">
        <v>3093</v>
      </c>
      <c r="E2868" t="s">
        <v>1879</v>
      </c>
      <c r="F2868">
        <v>7608</v>
      </c>
    </row>
    <row r="2869" spans="1:6" x14ac:dyDescent="0.25">
      <c r="A2869" t="s">
        <v>5104</v>
      </c>
      <c r="B2869" t="s">
        <v>1020</v>
      </c>
      <c r="C2869" t="s">
        <v>146</v>
      </c>
      <c r="D2869" t="s">
        <v>2794</v>
      </c>
      <c r="E2869" t="s">
        <v>1876</v>
      </c>
      <c r="F2869">
        <v>6458</v>
      </c>
    </row>
    <row r="2870" spans="1:6" x14ac:dyDescent="0.25">
      <c r="A2870" t="s">
        <v>5105</v>
      </c>
      <c r="B2870" t="s">
        <v>1020</v>
      </c>
      <c r="C2870" t="s">
        <v>146</v>
      </c>
      <c r="D2870" t="s">
        <v>2479</v>
      </c>
      <c r="E2870" t="s">
        <v>1876</v>
      </c>
      <c r="F2870">
        <v>15087</v>
      </c>
    </row>
    <row r="2871" spans="1:6" x14ac:dyDescent="0.25">
      <c r="A2871" t="s">
        <v>5106</v>
      </c>
      <c r="B2871" t="s">
        <v>1023</v>
      </c>
      <c r="C2871" t="s">
        <v>146</v>
      </c>
      <c r="D2871" t="s">
        <v>2293</v>
      </c>
      <c r="E2871" t="s">
        <v>1915</v>
      </c>
      <c r="F2871">
        <v>9796</v>
      </c>
    </row>
    <row r="2872" spans="1:6" x14ac:dyDescent="0.25">
      <c r="A2872" t="s">
        <v>5107</v>
      </c>
      <c r="B2872" t="s">
        <v>1023</v>
      </c>
      <c r="C2872" t="s">
        <v>146</v>
      </c>
      <c r="D2872" t="s">
        <v>2224</v>
      </c>
      <c r="E2872" t="s">
        <v>1915</v>
      </c>
      <c r="F2872">
        <v>19206</v>
      </c>
    </row>
    <row r="2873" spans="1:6" x14ac:dyDescent="0.25">
      <c r="A2873" t="s">
        <v>5108</v>
      </c>
      <c r="B2873" t="s">
        <v>1023</v>
      </c>
      <c r="C2873" t="s">
        <v>146</v>
      </c>
      <c r="D2873" t="s">
        <v>2271</v>
      </c>
      <c r="E2873" t="s">
        <v>1879</v>
      </c>
      <c r="F2873">
        <v>12750</v>
      </c>
    </row>
    <row r="2874" spans="1:6" x14ac:dyDescent="0.25">
      <c r="A2874" t="s">
        <v>5109</v>
      </c>
      <c r="B2874" t="s">
        <v>1023</v>
      </c>
      <c r="C2874" t="s">
        <v>146</v>
      </c>
      <c r="D2874" t="s">
        <v>2119</v>
      </c>
      <c r="E2874" t="s">
        <v>1879</v>
      </c>
      <c r="F2874">
        <v>21137</v>
      </c>
    </row>
    <row r="2875" spans="1:6" x14ac:dyDescent="0.25">
      <c r="A2875" t="s">
        <v>5110</v>
      </c>
      <c r="B2875" t="s">
        <v>1023</v>
      </c>
      <c r="C2875" t="s">
        <v>146</v>
      </c>
      <c r="D2875" t="s">
        <v>2034</v>
      </c>
      <c r="E2875" t="s">
        <v>1915</v>
      </c>
      <c r="F2875">
        <v>35760</v>
      </c>
    </row>
    <row r="2876" spans="1:6" x14ac:dyDescent="0.25">
      <c r="A2876" t="s">
        <v>5111</v>
      </c>
      <c r="B2876" t="s">
        <v>1023</v>
      </c>
      <c r="C2876" t="s">
        <v>146</v>
      </c>
      <c r="D2876" t="s">
        <v>2280</v>
      </c>
      <c r="E2876" t="s">
        <v>1879</v>
      </c>
      <c r="F2876">
        <v>5457</v>
      </c>
    </row>
    <row r="2877" spans="1:6" x14ac:dyDescent="0.25">
      <c r="A2877" t="s">
        <v>5112</v>
      </c>
      <c r="B2877" t="s">
        <v>1023</v>
      </c>
      <c r="C2877" t="s">
        <v>146</v>
      </c>
      <c r="D2877" t="s">
        <v>2416</v>
      </c>
      <c r="E2877" t="s">
        <v>1915</v>
      </c>
      <c r="F2877">
        <v>19379</v>
      </c>
    </row>
    <row r="2878" spans="1:6" x14ac:dyDescent="0.25">
      <c r="A2878" t="s">
        <v>5113</v>
      </c>
      <c r="B2878" t="s">
        <v>1023</v>
      </c>
      <c r="C2878" t="s">
        <v>146</v>
      </c>
      <c r="D2878" t="s">
        <v>1988</v>
      </c>
      <c r="E2878" t="s">
        <v>1876</v>
      </c>
      <c r="F2878">
        <v>24290</v>
      </c>
    </row>
    <row r="2879" spans="1:6" x14ac:dyDescent="0.25">
      <c r="A2879" t="s">
        <v>5114</v>
      </c>
      <c r="B2879" t="s">
        <v>1026</v>
      </c>
      <c r="C2879" t="s">
        <v>87</v>
      </c>
      <c r="D2879" t="s">
        <v>3233</v>
      </c>
      <c r="E2879" t="s">
        <v>1915</v>
      </c>
      <c r="F2879">
        <v>24720</v>
      </c>
    </row>
    <row r="2880" spans="1:6" x14ac:dyDescent="0.25">
      <c r="A2880" t="s">
        <v>5115</v>
      </c>
      <c r="B2880" t="s">
        <v>1026</v>
      </c>
      <c r="C2880" t="s">
        <v>87</v>
      </c>
      <c r="D2880" t="s">
        <v>2300</v>
      </c>
      <c r="E2880" t="s">
        <v>1879</v>
      </c>
      <c r="F2880">
        <v>12652</v>
      </c>
    </row>
    <row r="2881" spans="1:6" x14ac:dyDescent="0.25">
      <c r="A2881" t="s">
        <v>5116</v>
      </c>
      <c r="B2881" t="s">
        <v>1026</v>
      </c>
      <c r="C2881" t="s">
        <v>87</v>
      </c>
      <c r="D2881" t="s">
        <v>3486</v>
      </c>
      <c r="E2881" t="s">
        <v>1879</v>
      </c>
      <c r="F2881">
        <v>6935</v>
      </c>
    </row>
    <row r="2882" spans="1:6" x14ac:dyDescent="0.25">
      <c r="A2882" t="s">
        <v>5117</v>
      </c>
      <c r="B2882" t="s">
        <v>1026</v>
      </c>
      <c r="C2882" t="s">
        <v>87</v>
      </c>
      <c r="D2882" t="s">
        <v>2593</v>
      </c>
      <c r="E2882" t="s">
        <v>1879</v>
      </c>
      <c r="F2882">
        <v>5888</v>
      </c>
    </row>
    <row r="2883" spans="1:6" x14ac:dyDescent="0.25">
      <c r="A2883" t="s">
        <v>5118</v>
      </c>
      <c r="B2883" t="s">
        <v>1026</v>
      </c>
      <c r="C2883" t="s">
        <v>87</v>
      </c>
      <c r="D2883" t="s">
        <v>3248</v>
      </c>
      <c r="E2883" t="s">
        <v>1871</v>
      </c>
      <c r="F2883">
        <v>15442</v>
      </c>
    </row>
    <row r="2884" spans="1:6" x14ac:dyDescent="0.25">
      <c r="A2884" t="s">
        <v>5119</v>
      </c>
      <c r="B2884" t="s">
        <v>1026</v>
      </c>
      <c r="C2884" t="s">
        <v>87</v>
      </c>
      <c r="D2884" t="s">
        <v>2699</v>
      </c>
      <c r="E2884" t="s">
        <v>1879</v>
      </c>
      <c r="F2884">
        <v>613</v>
      </c>
    </row>
    <row r="2885" spans="1:6" x14ac:dyDescent="0.25">
      <c r="A2885" t="s">
        <v>5120</v>
      </c>
      <c r="B2885" t="s">
        <v>1026</v>
      </c>
      <c r="C2885" t="s">
        <v>87</v>
      </c>
      <c r="D2885" t="s">
        <v>2218</v>
      </c>
      <c r="E2885" t="s">
        <v>1876</v>
      </c>
      <c r="F2885">
        <v>4947</v>
      </c>
    </row>
    <row r="2886" spans="1:6" x14ac:dyDescent="0.25">
      <c r="A2886" t="s">
        <v>5121</v>
      </c>
      <c r="B2886" t="s">
        <v>1026</v>
      </c>
      <c r="C2886" t="s">
        <v>87</v>
      </c>
      <c r="D2886" t="s">
        <v>2680</v>
      </c>
      <c r="E2886" t="s">
        <v>1871</v>
      </c>
      <c r="F2886">
        <v>7468</v>
      </c>
    </row>
    <row r="2887" spans="1:6" x14ac:dyDescent="0.25">
      <c r="A2887" t="s">
        <v>5122</v>
      </c>
      <c r="B2887" t="s">
        <v>1026</v>
      </c>
      <c r="C2887" t="s">
        <v>87</v>
      </c>
      <c r="D2887" t="s">
        <v>2993</v>
      </c>
      <c r="E2887" t="s">
        <v>1915</v>
      </c>
      <c r="F2887">
        <v>9640</v>
      </c>
    </row>
    <row r="2888" spans="1:6" x14ac:dyDescent="0.25">
      <c r="A2888" t="s">
        <v>5123</v>
      </c>
      <c r="B2888" t="s">
        <v>1026</v>
      </c>
      <c r="C2888" t="s">
        <v>87</v>
      </c>
      <c r="D2888" t="s">
        <v>2210</v>
      </c>
      <c r="E2888" t="s">
        <v>1915</v>
      </c>
      <c r="F2888">
        <v>29434</v>
      </c>
    </row>
    <row r="2889" spans="1:6" x14ac:dyDescent="0.25">
      <c r="A2889" t="s">
        <v>5124</v>
      </c>
      <c r="B2889" t="s">
        <v>1029</v>
      </c>
      <c r="C2889" t="s">
        <v>87</v>
      </c>
      <c r="D2889" t="s">
        <v>2040</v>
      </c>
      <c r="E2889" t="s">
        <v>1871</v>
      </c>
      <c r="F2889">
        <v>11134</v>
      </c>
    </row>
    <row r="2890" spans="1:6" x14ac:dyDescent="0.25">
      <c r="A2890" t="s">
        <v>5125</v>
      </c>
      <c r="B2890" t="s">
        <v>1029</v>
      </c>
      <c r="C2890" t="s">
        <v>87</v>
      </c>
      <c r="D2890" t="s">
        <v>1931</v>
      </c>
      <c r="E2890" t="s">
        <v>1915</v>
      </c>
      <c r="F2890">
        <v>34316</v>
      </c>
    </row>
    <row r="2891" spans="1:6" x14ac:dyDescent="0.25">
      <c r="A2891" t="s">
        <v>5126</v>
      </c>
      <c r="B2891" t="s">
        <v>1029</v>
      </c>
      <c r="C2891" t="s">
        <v>87</v>
      </c>
      <c r="D2891" t="s">
        <v>2387</v>
      </c>
      <c r="E2891" t="s">
        <v>1886</v>
      </c>
      <c r="F2891">
        <v>32343</v>
      </c>
    </row>
    <row r="2892" spans="1:6" x14ac:dyDescent="0.25">
      <c r="A2892" t="s">
        <v>5127</v>
      </c>
      <c r="B2892" t="s">
        <v>1029</v>
      </c>
      <c r="C2892" t="s">
        <v>87</v>
      </c>
      <c r="D2892" t="s">
        <v>2588</v>
      </c>
      <c r="E2892" t="s">
        <v>1876</v>
      </c>
      <c r="F2892">
        <v>2695</v>
      </c>
    </row>
    <row r="2893" spans="1:6" x14ac:dyDescent="0.25">
      <c r="A2893" t="s">
        <v>5128</v>
      </c>
      <c r="B2893" t="s">
        <v>1029</v>
      </c>
      <c r="C2893" t="s">
        <v>87</v>
      </c>
      <c r="D2893" t="s">
        <v>2038</v>
      </c>
      <c r="E2893" t="s">
        <v>1879</v>
      </c>
      <c r="F2893">
        <v>18279</v>
      </c>
    </row>
    <row r="2894" spans="1:6" x14ac:dyDescent="0.25">
      <c r="A2894" t="s">
        <v>5129</v>
      </c>
      <c r="B2894" t="s">
        <v>1029</v>
      </c>
      <c r="C2894" t="s">
        <v>87</v>
      </c>
      <c r="D2894" t="s">
        <v>2544</v>
      </c>
      <c r="E2894" t="s">
        <v>1871</v>
      </c>
      <c r="F2894">
        <v>7010</v>
      </c>
    </row>
    <row r="2895" spans="1:6" x14ac:dyDescent="0.25">
      <c r="A2895" t="s">
        <v>5130</v>
      </c>
      <c r="B2895" t="s">
        <v>1029</v>
      </c>
      <c r="C2895" t="s">
        <v>87</v>
      </c>
      <c r="D2895" t="s">
        <v>2005</v>
      </c>
      <c r="E2895" t="s">
        <v>1915</v>
      </c>
      <c r="F2895">
        <v>16654</v>
      </c>
    </row>
    <row r="2896" spans="1:6" x14ac:dyDescent="0.25">
      <c r="A2896" t="s">
        <v>5131</v>
      </c>
      <c r="B2896" t="s">
        <v>1029</v>
      </c>
      <c r="C2896" t="s">
        <v>87</v>
      </c>
      <c r="D2896" t="s">
        <v>2190</v>
      </c>
      <c r="E2896" t="s">
        <v>1879</v>
      </c>
      <c r="F2896">
        <v>2654</v>
      </c>
    </row>
    <row r="2897" spans="1:6" x14ac:dyDescent="0.25">
      <c r="A2897" t="s">
        <v>5132</v>
      </c>
      <c r="B2897" t="s">
        <v>1029</v>
      </c>
      <c r="C2897" t="s">
        <v>87</v>
      </c>
      <c r="D2897" t="s">
        <v>2053</v>
      </c>
      <c r="E2897" t="s">
        <v>1876</v>
      </c>
      <c r="F2897">
        <v>15622</v>
      </c>
    </row>
    <row r="2898" spans="1:6" x14ac:dyDescent="0.25">
      <c r="A2898" t="s">
        <v>5133</v>
      </c>
      <c r="B2898" t="s">
        <v>1029</v>
      </c>
      <c r="C2898" t="s">
        <v>87</v>
      </c>
      <c r="D2898" t="s">
        <v>2210</v>
      </c>
      <c r="E2898" t="s">
        <v>1879</v>
      </c>
      <c r="F2898">
        <v>22174</v>
      </c>
    </row>
    <row r="2899" spans="1:6" x14ac:dyDescent="0.25">
      <c r="A2899" t="s">
        <v>5134</v>
      </c>
      <c r="B2899" t="s">
        <v>1032</v>
      </c>
      <c r="C2899" t="s">
        <v>96</v>
      </c>
      <c r="D2899" t="s">
        <v>2628</v>
      </c>
      <c r="E2899" t="s">
        <v>1915</v>
      </c>
      <c r="F2899">
        <v>2759</v>
      </c>
    </row>
    <row r="2900" spans="1:6" x14ac:dyDescent="0.25">
      <c r="A2900" t="s">
        <v>5135</v>
      </c>
      <c r="B2900" t="s">
        <v>1032</v>
      </c>
      <c r="C2900" t="s">
        <v>96</v>
      </c>
      <c r="D2900" t="s">
        <v>1925</v>
      </c>
      <c r="E2900" t="s">
        <v>1879</v>
      </c>
      <c r="F2900">
        <v>14107</v>
      </c>
    </row>
    <row r="2901" spans="1:6" x14ac:dyDescent="0.25">
      <c r="A2901" t="s">
        <v>5136</v>
      </c>
      <c r="B2901" t="s">
        <v>1032</v>
      </c>
      <c r="C2901" t="s">
        <v>96</v>
      </c>
      <c r="D2901" t="s">
        <v>2464</v>
      </c>
      <c r="E2901" t="s">
        <v>1886</v>
      </c>
      <c r="F2901">
        <v>7639</v>
      </c>
    </row>
    <row r="2902" spans="1:6" x14ac:dyDescent="0.25">
      <c r="A2902" t="s">
        <v>5137</v>
      </c>
      <c r="B2902" t="s">
        <v>1032</v>
      </c>
      <c r="C2902" t="s">
        <v>96</v>
      </c>
      <c r="D2902" t="s">
        <v>2477</v>
      </c>
      <c r="E2902" t="s">
        <v>1876</v>
      </c>
      <c r="F2902">
        <v>4905</v>
      </c>
    </row>
    <row r="2903" spans="1:6" x14ac:dyDescent="0.25">
      <c r="A2903" t="s">
        <v>5138</v>
      </c>
      <c r="B2903" t="s">
        <v>1032</v>
      </c>
      <c r="C2903" t="s">
        <v>96</v>
      </c>
      <c r="D2903" t="s">
        <v>2441</v>
      </c>
      <c r="E2903" t="s">
        <v>1915</v>
      </c>
      <c r="F2903">
        <v>19647</v>
      </c>
    </row>
    <row r="2904" spans="1:6" x14ac:dyDescent="0.25">
      <c r="A2904" t="s">
        <v>5139</v>
      </c>
      <c r="B2904" t="s">
        <v>1032</v>
      </c>
      <c r="C2904" t="s">
        <v>96</v>
      </c>
      <c r="D2904" t="s">
        <v>2077</v>
      </c>
      <c r="E2904" t="s">
        <v>1871</v>
      </c>
      <c r="F2904">
        <v>7760</v>
      </c>
    </row>
    <row r="2905" spans="1:6" x14ac:dyDescent="0.25">
      <c r="A2905" t="s">
        <v>5140</v>
      </c>
      <c r="B2905" t="s">
        <v>1032</v>
      </c>
      <c r="C2905" t="s">
        <v>96</v>
      </c>
      <c r="D2905" t="s">
        <v>1904</v>
      </c>
      <c r="E2905" t="s">
        <v>1871</v>
      </c>
      <c r="F2905">
        <v>12584</v>
      </c>
    </row>
    <row r="2906" spans="1:6" x14ac:dyDescent="0.25">
      <c r="A2906" t="s">
        <v>5141</v>
      </c>
      <c r="B2906" t="s">
        <v>1035</v>
      </c>
      <c r="C2906" t="s">
        <v>96</v>
      </c>
      <c r="D2906" t="s">
        <v>2434</v>
      </c>
      <c r="E2906" t="s">
        <v>1879</v>
      </c>
      <c r="F2906">
        <v>11884</v>
      </c>
    </row>
    <row r="2907" spans="1:6" x14ac:dyDescent="0.25">
      <c r="A2907" t="s">
        <v>5142</v>
      </c>
      <c r="B2907" t="s">
        <v>1035</v>
      </c>
      <c r="C2907" t="s">
        <v>96</v>
      </c>
      <c r="D2907" t="s">
        <v>2457</v>
      </c>
      <c r="E2907" t="s">
        <v>1876</v>
      </c>
      <c r="F2907">
        <v>8634</v>
      </c>
    </row>
    <row r="2908" spans="1:6" x14ac:dyDescent="0.25">
      <c r="A2908" t="s">
        <v>5143</v>
      </c>
      <c r="B2908" t="s">
        <v>1035</v>
      </c>
      <c r="C2908" t="s">
        <v>96</v>
      </c>
      <c r="D2908" t="s">
        <v>1762</v>
      </c>
      <c r="E2908" t="s">
        <v>1915</v>
      </c>
      <c r="F2908">
        <v>24893</v>
      </c>
    </row>
    <row r="2909" spans="1:6" x14ac:dyDescent="0.25">
      <c r="A2909" t="s">
        <v>5144</v>
      </c>
      <c r="B2909" t="s">
        <v>1035</v>
      </c>
      <c r="C2909" t="s">
        <v>96</v>
      </c>
      <c r="D2909" t="s">
        <v>2561</v>
      </c>
      <c r="E2909" t="s">
        <v>1871</v>
      </c>
      <c r="F2909">
        <v>5969</v>
      </c>
    </row>
    <row r="2910" spans="1:6" x14ac:dyDescent="0.25">
      <c r="A2910" t="s">
        <v>5145</v>
      </c>
      <c r="B2910" t="s">
        <v>1035</v>
      </c>
      <c r="C2910" t="s">
        <v>96</v>
      </c>
      <c r="D2910" t="s">
        <v>2527</v>
      </c>
      <c r="E2910" t="s">
        <v>1871</v>
      </c>
      <c r="F2910">
        <v>14915</v>
      </c>
    </row>
    <row r="2911" spans="1:6" x14ac:dyDescent="0.25">
      <c r="A2911" t="s">
        <v>5146</v>
      </c>
      <c r="B2911" t="s">
        <v>1035</v>
      </c>
      <c r="C2911" t="s">
        <v>96</v>
      </c>
      <c r="D2911" t="s">
        <v>2295</v>
      </c>
      <c r="E2911" t="s">
        <v>1915</v>
      </c>
      <c r="F2911">
        <v>26804</v>
      </c>
    </row>
    <row r="2912" spans="1:6" x14ac:dyDescent="0.25">
      <c r="A2912" t="s">
        <v>5147</v>
      </c>
      <c r="B2912" t="s">
        <v>1035</v>
      </c>
      <c r="C2912" t="s">
        <v>96</v>
      </c>
      <c r="D2912" t="s">
        <v>2580</v>
      </c>
      <c r="E2912" t="s">
        <v>1915</v>
      </c>
      <c r="F2912">
        <v>24819</v>
      </c>
    </row>
    <row r="2913" spans="1:6" x14ac:dyDescent="0.25">
      <c r="A2913" t="s">
        <v>5148</v>
      </c>
      <c r="B2913" t="s">
        <v>1035</v>
      </c>
      <c r="C2913" t="s">
        <v>96</v>
      </c>
      <c r="D2913" t="s">
        <v>2857</v>
      </c>
      <c r="E2913" t="s">
        <v>1876</v>
      </c>
      <c r="F2913">
        <v>5936</v>
      </c>
    </row>
    <row r="2914" spans="1:6" x14ac:dyDescent="0.25">
      <c r="A2914" t="s">
        <v>5149</v>
      </c>
      <c r="B2914" t="s">
        <v>1035</v>
      </c>
      <c r="C2914" t="s">
        <v>96</v>
      </c>
      <c r="D2914" t="s">
        <v>2171</v>
      </c>
      <c r="E2914" t="s">
        <v>1879</v>
      </c>
      <c r="F2914">
        <v>5505</v>
      </c>
    </row>
    <row r="2915" spans="1:6" x14ac:dyDescent="0.25">
      <c r="A2915" t="s">
        <v>5150</v>
      </c>
      <c r="B2915" t="s">
        <v>1038</v>
      </c>
      <c r="C2915" t="s">
        <v>73</v>
      </c>
      <c r="D2915" t="s">
        <v>2254</v>
      </c>
      <c r="E2915" t="s">
        <v>1886</v>
      </c>
      <c r="F2915">
        <v>25298</v>
      </c>
    </row>
    <row r="2916" spans="1:6" x14ac:dyDescent="0.25">
      <c r="A2916" t="s">
        <v>5151</v>
      </c>
      <c r="B2916" t="s">
        <v>1038</v>
      </c>
      <c r="C2916" t="s">
        <v>73</v>
      </c>
      <c r="D2916" t="s">
        <v>1990</v>
      </c>
      <c r="E2916" t="s">
        <v>1879</v>
      </c>
      <c r="F2916">
        <v>16048</v>
      </c>
    </row>
    <row r="2917" spans="1:6" x14ac:dyDescent="0.25">
      <c r="A2917" t="s">
        <v>5152</v>
      </c>
      <c r="B2917" t="s">
        <v>1038</v>
      </c>
      <c r="C2917" t="s">
        <v>73</v>
      </c>
      <c r="D2917" t="s">
        <v>2546</v>
      </c>
      <c r="E2917" t="s">
        <v>1915</v>
      </c>
      <c r="F2917">
        <v>31254</v>
      </c>
    </row>
    <row r="2918" spans="1:6" x14ac:dyDescent="0.25">
      <c r="A2918" t="s">
        <v>5153</v>
      </c>
      <c r="B2918" t="s">
        <v>1038</v>
      </c>
      <c r="C2918" t="s">
        <v>73</v>
      </c>
      <c r="D2918" t="s">
        <v>2265</v>
      </c>
      <c r="E2918" t="s">
        <v>1915</v>
      </c>
      <c r="F2918">
        <v>8837</v>
      </c>
    </row>
    <row r="2919" spans="1:6" x14ac:dyDescent="0.25">
      <c r="A2919" t="s">
        <v>5154</v>
      </c>
      <c r="B2919" t="s">
        <v>1038</v>
      </c>
      <c r="C2919" t="s">
        <v>73</v>
      </c>
      <c r="D2919" t="s">
        <v>2395</v>
      </c>
      <c r="E2919" t="s">
        <v>1879</v>
      </c>
      <c r="F2919">
        <v>10340</v>
      </c>
    </row>
    <row r="2920" spans="1:6" x14ac:dyDescent="0.25">
      <c r="A2920" t="s">
        <v>5155</v>
      </c>
      <c r="B2920" t="s">
        <v>1038</v>
      </c>
      <c r="C2920" t="s">
        <v>73</v>
      </c>
      <c r="D2920" t="s">
        <v>2355</v>
      </c>
      <c r="E2920" t="s">
        <v>1886</v>
      </c>
      <c r="F2920">
        <v>3516</v>
      </c>
    </row>
    <row r="2921" spans="1:6" x14ac:dyDescent="0.25">
      <c r="A2921" t="s">
        <v>5156</v>
      </c>
      <c r="B2921" t="s">
        <v>1038</v>
      </c>
      <c r="C2921" t="s">
        <v>73</v>
      </c>
      <c r="D2921" t="s">
        <v>2745</v>
      </c>
      <c r="E2921" t="s">
        <v>1879</v>
      </c>
      <c r="F2921">
        <v>17591</v>
      </c>
    </row>
    <row r="2922" spans="1:6" x14ac:dyDescent="0.25">
      <c r="A2922" t="s">
        <v>5157</v>
      </c>
      <c r="B2922" t="s">
        <v>1038</v>
      </c>
      <c r="C2922" t="s">
        <v>73</v>
      </c>
      <c r="D2922" t="s">
        <v>2297</v>
      </c>
      <c r="E2922" t="s">
        <v>1871</v>
      </c>
      <c r="F2922">
        <v>14715</v>
      </c>
    </row>
    <row r="2923" spans="1:6" x14ac:dyDescent="0.25">
      <c r="A2923" t="s">
        <v>5158</v>
      </c>
      <c r="B2923" t="s">
        <v>1041</v>
      </c>
      <c r="C2923" t="s">
        <v>146</v>
      </c>
      <c r="D2923" t="s">
        <v>1984</v>
      </c>
      <c r="E2923" t="s">
        <v>1915</v>
      </c>
      <c r="F2923">
        <v>111098</v>
      </c>
    </row>
    <row r="2924" spans="1:6" x14ac:dyDescent="0.25">
      <c r="A2924" t="s">
        <v>5159</v>
      </c>
      <c r="B2924" t="s">
        <v>1041</v>
      </c>
      <c r="C2924" t="s">
        <v>146</v>
      </c>
      <c r="D2924" t="s">
        <v>2331</v>
      </c>
      <c r="E2924" t="s">
        <v>1871</v>
      </c>
      <c r="F2924">
        <v>35652</v>
      </c>
    </row>
    <row r="2925" spans="1:6" x14ac:dyDescent="0.25">
      <c r="A2925" t="s">
        <v>5160</v>
      </c>
      <c r="B2925" t="s">
        <v>1041</v>
      </c>
      <c r="C2925" t="s">
        <v>146</v>
      </c>
      <c r="D2925" t="s">
        <v>1890</v>
      </c>
      <c r="E2925" t="s">
        <v>1915</v>
      </c>
      <c r="F2925">
        <v>46790</v>
      </c>
    </row>
    <row r="2926" spans="1:6" x14ac:dyDescent="0.25">
      <c r="A2926" t="s">
        <v>5161</v>
      </c>
      <c r="B2926" t="s">
        <v>1041</v>
      </c>
      <c r="C2926" t="s">
        <v>146</v>
      </c>
      <c r="D2926" t="s">
        <v>2338</v>
      </c>
      <c r="E2926" t="s">
        <v>1879</v>
      </c>
      <c r="F2926">
        <v>2889</v>
      </c>
    </row>
    <row r="2927" spans="1:6" x14ac:dyDescent="0.25">
      <c r="A2927" t="s">
        <v>5162</v>
      </c>
      <c r="B2927" t="s">
        <v>1041</v>
      </c>
      <c r="C2927" t="s">
        <v>146</v>
      </c>
      <c r="D2927" t="s">
        <v>1975</v>
      </c>
      <c r="E2927" t="s">
        <v>1879</v>
      </c>
      <c r="F2927">
        <v>23489</v>
      </c>
    </row>
    <row r="2928" spans="1:6" x14ac:dyDescent="0.25">
      <c r="A2928" t="s">
        <v>5163</v>
      </c>
      <c r="B2928" t="s">
        <v>1041</v>
      </c>
      <c r="C2928" t="s">
        <v>146</v>
      </c>
      <c r="D2928" t="s">
        <v>1984</v>
      </c>
      <c r="E2928" t="s">
        <v>1915</v>
      </c>
      <c r="F2928">
        <v>99678</v>
      </c>
    </row>
    <row r="2929" spans="1:6" x14ac:dyDescent="0.25">
      <c r="A2929" t="s">
        <v>5164</v>
      </c>
      <c r="B2929" t="s">
        <v>1041</v>
      </c>
      <c r="C2929" t="s">
        <v>146</v>
      </c>
      <c r="D2929" t="s">
        <v>2012</v>
      </c>
      <c r="E2929" t="s">
        <v>1871</v>
      </c>
      <c r="F2929">
        <v>50303</v>
      </c>
    </row>
    <row r="2930" spans="1:6" x14ac:dyDescent="0.25">
      <c r="A2930" t="s">
        <v>5165</v>
      </c>
      <c r="B2930" t="s">
        <v>1041</v>
      </c>
      <c r="C2930" t="s">
        <v>146</v>
      </c>
      <c r="D2930" t="s">
        <v>2134</v>
      </c>
      <c r="E2930" t="s">
        <v>1871</v>
      </c>
      <c r="F2930">
        <v>64884</v>
      </c>
    </row>
    <row r="2931" spans="1:6" x14ac:dyDescent="0.25">
      <c r="A2931" t="s">
        <v>5166</v>
      </c>
      <c r="B2931" t="s">
        <v>1044</v>
      </c>
      <c r="C2931" t="s">
        <v>146</v>
      </c>
      <c r="D2931" t="s">
        <v>2421</v>
      </c>
      <c r="E2931" t="s">
        <v>1886</v>
      </c>
      <c r="F2931">
        <v>12121</v>
      </c>
    </row>
    <row r="2932" spans="1:6" x14ac:dyDescent="0.25">
      <c r="A2932" t="s">
        <v>5167</v>
      </c>
      <c r="B2932" t="s">
        <v>1044</v>
      </c>
      <c r="C2932" t="s">
        <v>146</v>
      </c>
      <c r="D2932" t="s">
        <v>2291</v>
      </c>
      <c r="E2932" t="s">
        <v>1876</v>
      </c>
      <c r="F2932">
        <v>23378</v>
      </c>
    </row>
    <row r="2933" spans="1:6" x14ac:dyDescent="0.25">
      <c r="A2933" t="s">
        <v>5168</v>
      </c>
      <c r="B2933" t="s">
        <v>1044</v>
      </c>
      <c r="C2933" t="s">
        <v>146</v>
      </c>
      <c r="D2933" t="s">
        <v>2631</v>
      </c>
      <c r="E2933" t="s">
        <v>1871</v>
      </c>
      <c r="F2933">
        <v>1461</v>
      </c>
    </row>
    <row r="2934" spans="1:6" x14ac:dyDescent="0.25">
      <c r="A2934" t="s">
        <v>5169</v>
      </c>
      <c r="B2934" t="s">
        <v>1044</v>
      </c>
      <c r="C2934" t="s">
        <v>146</v>
      </c>
      <c r="D2934" t="s">
        <v>1914</v>
      </c>
      <c r="E2934" t="s">
        <v>1915</v>
      </c>
      <c r="F2934">
        <v>32822</v>
      </c>
    </row>
    <row r="2935" spans="1:6" x14ac:dyDescent="0.25">
      <c r="A2935" t="s">
        <v>5170</v>
      </c>
      <c r="B2935" t="s">
        <v>1044</v>
      </c>
      <c r="C2935" t="s">
        <v>146</v>
      </c>
      <c r="D2935" t="s">
        <v>1951</v>
      </c>
      <c r="E2935" t="s">
        <v>1879</v>
      </c>
      <c r="F2935">
        <v>359</v>
      </c>
    </row>
    <row r="2936" spans="1:6" x14ac:dyDescent="0.25">
      <c r="A2936" t="s">
        <v>5171</v>
      </c>
      <c r="B2936" t="s">
        <v>1044</v>
      </c>
      <c r="C2936" t="s">
        <v>146</v>
      </c>
      <c r="D2936" t="s">
        <v>3233</v>
      </c>
      <c r="E2936" t="s">
        <v>1876</v>
      </c>
      <c r="F2936">
        <v>24848</v>
      </c>
    </row>
    <row r="2937" spans="1:6" x14ac:dyDescent="0.25">
      <c r="A2937" t="s">
        <v>5172</v>
      </c>
      <c r="B2937" t="s">
        <v>1044</v>
      </c>
      <c r="C2937" t="s">
        <v>146</v>
      </c>
      <c r="D2937" t="s">
        <v>2000</v>
      </c>
      <c r="E2937" t="s">
        <v>1871</v>
      </c>
      <c r="F2937">
        <v>18068</v>
      </c>
    </row>
    <row r="2938" spans="1:6" x14ac:dyDescent="0.25">
      <c r="A2938" t="s">
        <v>5173</v>
      </c>
      <c r="B2938" t="s">
        <v>1044</v>
      </c>
      <c r="C2938" t="s">
        <v>146</v>
      </c>
      <c r="D2938" t="s">
        <v>2878</v>
      </c>
      <c r="E2938" t="s">
        <v>1871</v>
      </c>
      <c r="F2938">
        <v>22347</v>
      </c>
    </row>
    <row r="2939" spans="1:6" x14ac:dyDescent="0.25">
      <c r="A2939" t="s">
        <v>5174</v>
      </c>
      <c r="B2939" t="s">
        <v>1044</v>
      </c>
      <c r="C2939" t="s">
        <v>146</v>
      </c>
      <c r="D2939" t="s">
        <v>2416</v>
      </c>
      <c r="E2939" t="s">
        <v>1879</v>
      </c>
      <c r="F2939">
        <v>19523</v>
      </c>
    </row>
    <row r="2940" spans="1:6" x14ac:dyDescent="0.25">
      <c r="A2940" t="s">
        <v>5175</v>
      </c>
      <c r="B2940" t="s">
        <v>1044</v>
      </c>
      <c r="C2940" t="s">
        <v>146</v>
      </c>
      <c r="D2940" t="s">
        <v>2038</v>
      </c>
      <c r="E2940" t="s">
        <v>1915</v>
      </c>
      <c r="F2940">
        <v>44471</v>
      </c>
    </row>
    <row r="2941" spans="1:6" x14ac:dyDescent="0.25">
      <c r="A2941" t="s">
        <v>5176</v>
      </c>
      <c r="B2941" t="s">
        <v>1047</v>
      </c>
      <c r="C2941" t="s">
        <v>146</v>
      </c>
      <c r="D2941" t="s">
        <v>2399</v>
      </c>
      <c r="E2941" t="s">
        <v>1871</v>
      </c>
      <c r="F2941">
        <v>9083</v>
      </c>
    </row>
    <row r="2942" spans="1:6" x14ac:dyDescent="0.25">
      <c r="A2942" t="s">
        <v>5177</v>
      </c>
      <c r="B2942" t="s">
        <v>1047</v>
      </c>
      <c r="C2942" t="s">
        <v>146</v>
      </c>
      <c r="D2942" t="s">
        <v>2114</v>
      </c>
      <c r="E2942" t="s">
        <v>1876</v>
      </c>
      <c r="F2942">
        <v>16343</v>
      </c>
    </row>
    <row r="2943" spans="1:6" x14ac:dyDescent="0.25">
      <c r="A2943" t="s">
        <v>5178</v>
      </c>
      <c r="B2943" t="s">
        <v>1047</v>
      </c>
      <c r="C2943" t="s">
        <v>146</v>
      </c>
      <c r="D2943" t="s">
        <v>2401</v>
      </c>
      <c r="E2943" t="s">
        <v>1886</v>
      </c>
      <c r="F2943">
        <v>21645</v>
      </c>
    </row>
    <row r="2944" spans="1:6" x14ac:dyDescent="0.25">
      <c r="A2944" t="s">
        <v>5179</v>
      </c>
      <c r="B2944" t="s">
        <v>1047</v>
      </c>
      <c r="C2944" t="s">
        <v>146</v>
      </c>
      <c r="D2944" t="s">
        <v>2639</v>
      </c>
      <c r="E2944" t="s">
        <v>1876</v>
      </c>
      <c r="F2944">
        <v>19832</v>
      </c>
    </row>
    <row r="2945" spans="1:6" x14ac:dyDescent="0.25">
      <c r="A2945" t="s">
        <v>5180</v>
      </c>
      <c r="B2945" t="s">
        <v>1047</v>
      </c>
      <c r="C2945" t="s">
        <v>146</v>
      </c>
      <c r="D2945" t="s">
        <v>3026</v>
      </c>
      <c r="E2945" t="s">
        <v>1871</v>
      </c>
      <c r="F2945">
        <v>581</v>
      </c>
    </row>
    <row r="2946" spans="1:6" x14ac:dyDescent="0.25">
      <c r="A2946" t="s">
        <v>5181</v>
      </c>
      <c r="B2946" t="s">
        <v>1047</v>
      </c>
      <c r="C2946" t="s">
        <v>146</v>
      </c>
      <c r="D2946" t="s">
        <v>2498</v>
      </c>
      <c r="E2946" t="s">
        <v>1886</v>
      </c>
      <c r="F2946">
        <v>30537</v>
      </c>
    </row>
    <row r="2947" spans="1:6" x14ac:dyDescent="0.25">
      <c r="A2947" t="s">
        <v>5182</v>
      </c>
      <c r="B2947" t="s">
        <v>1047</v>
      </c>
      <c r="C2947" t="s">
        <v>146</v>
      </c>
      <c r="D2947" t="s">
        <v>2132</v>
      </c>
      <c r="E2947" t="s">
        <v>1871</v>
      </c>
      <c r="F2947">
        <v>5808</v>
      </c>
    </row>
    <row r="2948" spans="1:6" x14ac:dyDescent="0.25">
      <c r="A2948" t="s">
        <v>5183</v>
      </c>
      <c r="B2948" t="s">
        <v>1047</v>
      </c>
      <c r="C2948" t="s">
        <v>146</v>
      </c>
      <c r="D2948" t="s">
        <v>3860</v>
      </c>
      <c r="E2948" t="s">
        <v>1876</v>
      </c>
      <c r="F2948">
        <v>2829</v>
      </c>
    </row>
    <row r="2949" spans="1:6" x14ac:dyDescent="0.25">
      <c r="A2949" t="s">
        <v>5184</v>
      </c>
      <c r="B2949" t="s">
        <v>1050</v>
      </c>
      <c r="C2949" t="s">
        <v>51</v>
      </c>
      <c r="D2949" t="s">
        <v>2498</v>
      </c>
      <c r="E2949" t="s">
        <v>1915</v>
      </c>
      <c r="F2949">
        <v>14771</v>
      </c>
    </row>
    <row r="2950" spans="1:6" x14ac:dyDescent="0.25">
      <c r="A2950" t="s">
        <v>5185</v>
      </c>
      <c r="B2950" t="s">
        <v>1050</v>
      </c>
      <c r="C2950" t="s">
        <v>51</v>
      </c>
      <c r="D2950" t="s">
        <v>3660</v>
      </c>
      <c r="E2950" t="s">
        <v>1876</v>
      </c>
      <c r="F2950">
        <v>10366</v>
      </c>
    </row>
    <row r="2951" spans="1:6" x14ac:dyDescent="0.25">
      <c r="A2951" t="s">
        <v>5186</v>
      </c>
      <c r="B2951" t="s">
        <v>1050</v>
      </c>
      <c r="C2951" t="s">
        <v>51</v>
      </c>
      <c r="D2951" t="s">
        <v>2773</v>
      </c>
      <c r="E2951" t="s">
        <v>1915</v>
      </c>
      <c r="F2951">
        <v>19313</v>
      </c>
    </row>
    <row r="2952" spans="1:6" x14ac:dyDescent="0.25">
      <c r="A2952" t="s">
        <v>5187</v>
      </c>
      <c r="B2952" t="s">
        <v>1050</v>
      </c>
      <c r="C2952" t="s">
        <v>51</v>
      </c>
      <c r="D2952" t="s">
        <v>2030</v>
      </c>
      <c r="E2952" t="s">
        <v>1876</v>
      </c>
      <c r="F2952">
        <v>13198</v>
      </c>
    </row>
    <row r="2953" spans="1:6" x14ac:dyDescent="0.25">
      <c r="A2953" t="s">
        <v>5188</v>
      </c>
      <c r="B2953" t="s">
        <v>1050</v>
      </c>
      <c r="C2953" t="s">
        <v>51</v>
      </c>
      <c r="D2953" t="s">
        <v>2557</v>
      </c>
      <c r="E2953" t="s">
        <v>1915</v>
      </c>
      <c r="F2953">
        <v>5673</v>
      </c>
    </row>
    <row r="2954" spans="1:6" x14ac:dyDescent="0.25">
      <c r="A2954" t="s">
        <v>5189</v>
      </c>
      <c r="B2954" t="s">
        <v>1050</v>
      </c>
      <c r="C2954" t="s">
        <v>51</v>
      </c>
      <c r="D2954" t="s">
        <v>2601</v>
      </c>
      <c r="E2954" t="s">
        <v>1879</v>
      </c>
      <c r="F2954">
        <v>1921</v>
      </c>
    </row>
    <row r="2955" spans="1:6" x14ac:dyDescent="0.25">
      <c r="A2955" t="s">
        <v>5190</v>
      </c>
      <c r="B2955" t="s">
        <v>1050</v>
      </c>
      <c r="C2955" t="s">
        <v>51</v>
      </c>
      <c r="D2955" t="s">
        <v>2111</v>
      </c>
      <c r="E2955" t="s">
        <v>1871</v>
      </c>
      <c r="F2955">
        <v>2722</v>
      </c>
    </row>
    <row r="2956" spans="1:6" x14ac:dyDescent="0.25">
      <c r="A2956" t="s">
        <v>5191</v>
      </c>
      <c r="B2956" t="s">
        <v>1050</v>
      </c>
      <c r="C2956" t="s">
        <v>51</v>
      </c>
      <c r="D2956" t="s">
        <v>2312</v>
      </c>
      <c r="E2956" t="s">
        <v>1879</v>
      </c>
      <c r="F2956">
        <v>13936</v>
      </c>
    </row>
    <row r="2957" spans="1:6" x14ac:dyDescent="0.25">
      <c r="A2957" t="s">
        <v>5192</v>
      </c>
      <c r="B2957" t="s">
        <v>1050</v>
      </c>
      <c r="C2957" t="s">
        <v>51</v>
      </c>
      <c r="D2957" t="s">
        <v>2382</v>
      </c>
      <c r="E2957" t="s">
        <v>1879</v>
      </c>
      <c r="F2957">
        <v>16421</v>
      </c>
    </row>
    <row r="2958" spans="1:6" x14ac:dyDescent="0.25">
      <c r="A2958" t="s">
        <v>5193</v>
      </c>
      <c r="B2958" t="s">
        <v>1050</v>
      </c>
      <c r="C2958" t="s">
        <v>51</v>
      </c>
      <c r="D2958" t="s">
        <v>3188</v>
      </c>
      <c r="E2958" t="s">
        <v>1886</v>
      </c>
      <c r="F2958">
        <v>4847</v>
      </c>
    </row>
    <row r="2959" spans="1:6" x14ac:dyDescent="0.25">
      <c r="A2959" t="s">
        <v>5194</v>
      </c>
      <c r="B2959" t="s">
        <v>1050</v>
      </c>
      <c r="C2959" t="s">
        <v>51</v>
      </c>
      <c r="D2959" t="s">
        <v>3062</v>
      </c>
      <c r="E2959" t="s">
        <v>1876</v>
      </c>
      <c r="F2959">
        <v>16739</v>
      </c>
    </row>
    <row r="2960" spans="1:6" x14ac:dyDescent="0.25">
      <c r="A2960" t="s">
        <v>5195</v>
      </c>
      <c r="B2960" t="s">
        <v>1050</v>
      </c>
      <c r="C2960" t="s">
        <v>51</v>
      </c>
      <c r="D2960" t="s">
        <v>2722</v>
      </c>
      <c r="E2960" t="s">
        <v>1879</v>
      </c>
      <c r="F2960">
        <v>9160</v>
      </c>
    </row>
    <row r="2961" spans="1:6" x14ac:dyDescent="0.25">
      <c r="A2961" t="s">
        <v>5196</v>
      </c>
      <c r="B2961" t="s">
        <v>1053</v>
      </c>
      <c r="C2961" t="s">
        <v>51</v>
      </c>
      <c r="D2961" t="s">
        <v>1885</v>
      </c>
      <c r="E2961" t="s">
        <v>1915</v>
      </c>
      <c r="F2961">
        <v>24382</v>
      </c>
    </row>
    <row r="2962" spans="1:6" x14ac:dyDescent="0.25">
      <c r="A2962" t="s">
        <v>5197</v>
      </c>
      <c r="B2962" t="s">
        <v>1053</v>
      </c>
      <c r="C2962" t="s">
        <v>51</v>
      </c>
      <c r="D2962" t="s">
        <v>2601</v>
      </c>
      <c r="E2962" t="s">
        <v>1915</v>
      </c>
      <c r="F2962">
        <v>38475</v>
      </c>
    </row>
    <row r="2963" spans="1:6" x14ac:dyDescent="0.25">
      <c r="A2963" t="s">
        <v>5198</v>
      </c>
      <c r="B2963" t="s">
        <v>1053</v>
      </c>
      <c r="C2963" t="s">
        <v>51</v>
      </c>
      <c r="D2963" t="s">
        <v>1914</v>
      </c>
      <c r="E2963" t="s">
        <v>1879</v>
      </c>
      <c r="F2963">
        <v>28868</v>
      </c>
    </row>
    <row r="2964" spans="1:6" x14ac:dyDescent="0.25">
      <c r="A2964" t="s">
        <v>5199</v>
      </c>
      <c r="B2964" t="s">
        <v>1053</v>
      </c>
      <c r="C2964" t="s">
        <v>51</v>
      </c>
      <c r="D2964" t="s">
        <v>3233</v>
      </c>
      <c r="E2964" t="s">
        <v>1879</v>
      </c>
      <c r="F2964">
        <v>2959</v>
      </c>
    </row>
    <row r="2965" spans="1:6" x14ac:dyDescent="0.25">
      <c r="A2965" t="s">
        <v>5200</v>
      </c>
      <c r="B2965" t="s">
        <v>1053</v>
      </c>
      <c r="C2965" t="s">
        <v>51</v>
      </c>
      <c r="D2965" t="s">
        <v>2190</v>
      </c>
      <c r="E2965" t="s">
        <v>1915</v>
      </c>
      <c r="F2965">
        <v>31812</v>
      </c>
    </row>
    <row r="2966" spans="1:6" x14ac:dyDescent="0.25">
      <c r="A2966" t="s">
        <v>5201</v>
      </c>
      <c r="B2966" t="s">
        <v>1053</v>
      </c>
      <c r="C2966" t="s">
        <v>51</v>
      </c>
      <c r="D2966" t="s">
        <v>2680</v>
      </c>
      <c r="E2966" t="s">
        <v>1879</v>
      </c>
      <c r="F2966">
        <v>11678</v>
      </c>
    </row>
    <row r="2967" spans="1:6" x14ac:dyDescent="0.25">
      <c r="A2967" t="s">
        <v>5202</v>
      </c>
      <c r="B2967" t="s">
        <v>1053</v>
      </c>
      <c r="C2967" t="s">
        <v>51</v>
      </c>
      <c r="D2967" t="s">
        <v>2042</v>
      </c>
      <c r="E2967" t="s">
        <v>1915</v>
      </c>
      <c r="F2967">
        <v>17869</v>
      </c>
    </row>
    <row r="2968" spans="1:6" x14ac:dyDescent="0.25">
      <c r="A2968" t="s">
        <v>5203</v>
      </c>
      <c r="B2968" t="s">
        <v>1053</v>
      </c>
      <c r="C2968" t="s">
        <v>51</v>
      </c>
      <c r="D2968" t="s">
        <v>2624</v>
      </c>
      <c r="E2968" t="s">
        <v>1876</v>
      </c>
      <c r="F2968">
        <v>4890</v>
      </c>
    </row>
    <row r="2969" spans="1:6" x14ac:dyDescent="0.25">
      <c r="A2969" t="s">
        <v>5204</v>
      </c>
      <c r="B2969" t="s">
        <v>1053</v>
      </c>
      <c r="C2969" t="s">
        <v>51</v>
      </c>
      <c r="D2969" t="s">
        <v>2816</v>
      </c>
      <c r="E2969" t="s">
        <v>1915</v>
      </c>
      <c r="F2969">
        <v>30763</v>
      </c>
    </row>
    <row r="2970" spans="1:6" x14ac:dyDescent="0.25">
      <c r="A2970" t="s">
        <v>5205</v>
      </c>
      <c r="B2970" t="s">
        <v>1053</v>
      </c>
      <c r="C2970" t="s">
        <v>51</v>
      </c>
      <c r="D2970" t="s">
        <v>2863</v>
      </c>
      <c r="E2970" t="s">
        <v>1879</v>
      </c>
      <c r="F2970">
        <v>24224</v>
      </c>
    </row>
    <row r="2971" spans="1:6" x14ac:dyDescent="0.25">
      <c r="A2971" t="s">
        <v>5206</v>
      </c>
      <c r="B2971" t="s">
        <v>1053</v>
      </c>
      <c r="C2971" t="s">
        <v>51</v>
      </c>
      <c r="D2971" t="s">
        <v>2254</v>
      </c>
      <c r="E2971" t="s">
        <v>1886</v>
      </c>
      <c r="F2971">
        <v>9452</v>
      </c>
    </row>
    <row r="2972" spans="1:6" x14ac:dyDescent="0.25">
      <c r="A2972" t="s">
        <v>5207</v>
      </c>
      <c r="B2972" t="s">
        <v>1056</v>
      </c>
      <c r="C2972" t="s">
        <v>146</v>
      </c>
      <c r="D2972" t="s">
        <v>3395</v>
      </c>
      <c r="E2972" t="s">
        <v>1915</v>
      </c>
      <c r="F2972">
        <v>2238</v>
      </c>
    </row>
    <row r="2973" spans="1:6" x14ac:dyDescent="0.25">
      <c r="A2973" t="s">
        <v>5208</v>
      </c>
      <c r="B2973" t="s">
        <v>1056</v>
      </c>
      <c r="C2973" t="s">
        <v>146</v>
      </c>
      <c r="D2973" t="s">
        <v>3174</v>
      </c>
      <c r="E2973" t="s">
        <v>1871</v>
      </c>
      <c r="F2973">
        <v>20481</v>
      </c>
    </row>
    <row r="2974" spans="1:6" x14ac:dyDescent="0.25">
      <c r="A2974" t="s">
        <v>5209</v>
      </c>
      <c r="B2974" t="s">
        <v>1056</v>
      </c>
      <c r="C2974" t="s">
        <v>146</v>
      </c>
      <c r="D2974" t="s">
        <v>1962</v>
      </c>
      <c r="E2974" t="s">
        <v>1871</v>
      </c>
      <c r="F2974">
        <v>15239</v>
      </c>
    </row>
    <row r="2975" spans="1:6" x14ac:dyDescent="0.25">
      <c r="A2975" t="s">
        <v>5210</v>
      </c>
      <c r="B2975" t="s">
        <v>1056</v>
      </c>
      <c r="C2975" t="s">
        <v>146</v>
      </c>
      <c r="D2975" t="s">
        <v>1873</v>
      </c>
      <c r="E2975" t="s">
        <v>1879</v>
      </c>
      <c r="F2975">
        <v>6867</v>
      </c>
    </row>
    <row r="2976" spans="1:6" x14ac:dyDescent="0.25">
      <c r="A2976" t="s">
        <v>5211</v>
      </c>
      <c r="B2976" t="s">
        <v>1056</v>
      </c>
      <c r="C2976" t="s">
        <v>146</v>
      </c>
      <c r="D2976" t="s">
        <v>2218</v>
      </c>
      <c r="E2976" t="s">
        <v>1886</v>
      </c>
      <c r="F2976">
        <v>8339</v>
      </c>
    </row>
    <row r="2977" spans="1:6" x14ac:dyDescent="0.25">
      <c r="A2977" t="s">
        <v>5212</v>
      </c>
      <c r="B2977" t="s">
        <v>1056</v>
      </c>
      <c r="C2977" t="s">
        <v>146</v>
      </c>
      <c r="D2977" t="s">
        <v>1943</v>
      </c>
      <c r="E2977" t="s">
        <v>1879</v>
      </c>
      <c r="F2977">
        <v>25488</v>
      </c>
    </row>
    <row r="2978" spans="1:6" x14ac:dyDescent="0.25">
      <c r="A2978" t="s">
        <v>5213</v>
      </c>
      <c r="B2978" t="s">
        <v>1059</v>
      </c>
      <c r="C2978" t="s">
        <v>73</v>
      </c>
      <c r="D2978" t="s">
        <v>2604</v>
      </c>
      <c r="E2978" t="s">
        <v>1871</v>
      </c>
      <c r="F2978">
        <v>15718</v>
      </c>
    </row>
    <row r="2979" spans="1:6" x14ac:dyDescent="0.25">
      <c r="A2979" t="s">
        <v>5214</v>
      </c>
      <c r="B2979" t="s">
        <v>1059</v>
      </c>
      <c r="C2979" t="s">
        <v>73</v>
      </c>
      <c r="D2979" t="s">
        <v>3119</v>
      </c>
      <c r="E2979" t="s">
        <v>1915</v>
      </c>
      <c r="F2979">
        <v>30873</v>
      </c>
    </row>
    <row r="2980" spans="1:6" x14ac:dyDescent="0.25">
      <c r="A2980" t="s">
        <v>5215</v>
      </c>
      <c r="B2980" t="s">
        <v>1059</v>
      </c>
      <c r="C2980" t="s">
        <v>73</v>
      </c>
      <c r="D2980" t="s">
        <v>1980</v>
      </c>
      <c r="E2980" t="s">
        <v>1879</v>
      </c>
      <c r="F2980">
        <v>3436</v>
      </c>
    </row>
    <row r="2981" spans="1:6" x14ac:dyDescent="0.25">
      <c r="A2981" t="s">
        <v>5216</v>
      </c>
      <c r="B2981" t="s">
        <v>1059</v>
      </c>
      <c r="C2981" t="s">
        <v>73</v>
      </c>
      <c r="D2981" t="s">
        <v>2362</v>
      </c>
      <c r="E2981" t="s">
        <v>1879</v>
      </c>
      <c r="F2981">
        <v>15498</v>
      </c>
    </row>
    <row r="2982" spans="1:6" x14ac:dyDescent="0.25">
      <c r="A2982" t="s">
        <v>5217</v>
      </c>
      <c r="B2982" t="s">
        <v>1059</v>
      </c>
      <c r="C2982" t="s">
        <v>73</v>
      </c>
      <c r="D2982" t="s">
        <v>3956</v>
      </c>
      <c r="E2982" t="s">
        <v>1871</v>
      </c>
      <c r="F2982">
        <v>632</v>
      </c>
    </row>
    <row r="2983" spans="1:6" x14ac:dyDescent="0.25">
      <c r="A2983" t="s">
        <v>5218</v>
      </c>
      <c r="B2983" t="s">
        <v>1059</v>
      </c>
      <c r="C2983" t="s">
        <v>73</v>
      </c>
      <c r="D2983" t="s">
        <v>3248</v>
      </c>
      <c r="E2983" t="s">
        <v>1915</v>
      </c>
      <c r="F2983">
        <v>39121</v>
      </c>
    </row>
    <row r="2984" spans="1:6" x14ac:dyDescent="0.25">
      <c r="A2984" t="s">
        <v>5219</v>
      </c>
      <c r="B2984" t="s">
        <v>1059</v>
      </c>
      <c r="C2984" t="s">
        <v>73</v>
      </c>
      <c r="D2984" t="s">
        <v>2104</v>
      </c>
      <c r="E2984" t="s">
        <v>1886</v>
      </c>
      <c r="F2984">
        <v>8562</v>
      </c>
    </row>
    <row r="2985" spans="1:6" x14ac:dyDescent="0.25">
      <c r="A2985" t="s">
        <v>5220</v>
      </c>
      <c r="B2985" t="s">
        <v>1059</v>
      </c>
      <c r="C2985" t="s">
        <v>73</v>
      </c>
      <c r="D2985" t="s">
        <v>2066</v>
      </c>
      <c r="E2985" t="s">
        <v>1886</v>
      </c>
      <c r="F2985">
        <v>15369</v>
      </c>
    </row>
    <row r="2986" spans="1:6" x14ac:dyDescent="0.25">
      <c r="A2986" t="s">
        <v>5221</v>
      </c>
      <c r="B2986" t="s">
        <v>1059</v>
      </c>
      <c r="C2986" t="s">
        <v>73</v>
      </c>
      <c r="D2986" t="s">
        <v>1968</v>
      </c>
      <c r="E2986" t="s">
        <v>1879</v>
      </c>
      <c r="F2986">
        <v>10641</v>
      </c>
    </row>
    <row r="2987" spans="1:6" x14ac:dyDescent="0.25">
      <c r="A2987" t="s">
        <v>5222</v>
      </c>
      <c r="B2987" t="s">
        <v>1062</v>
      </c>
      <c r="C2987" t="s">
        <v>96</v>
      </c>
      <c r="D2987" t="s">
        <v>2053</v>
      </c>
      <c r="E2987" t="s">
        <v>1915</v>
      </c>
      <c r="F2987">
        <v>28414</v>
      </c>
    </row>
    <row r="2988" spans="1:6" x14ac:dyDescent="0.25">
      <c r="A2988" t="s">
        <v>5223</v>
      </c>
      <c r="B2988" t="s">
        <v>1062</v>
      </c>
      <c r="C2988" t="s">
        <v>96</v>
      </c>
      <c r="D2988" t="s">
        <v>1904</v>
      </c>
      <c r="E2988" t="s">
        <v>1879</v>
      </c>
      <c r="F2988">
        <v>25284</v>
      </c>
    </row>
    <row r="2989" spans="1:6" x14ac:dyDescent="0.25">
      <c r="A2989" t="s">
        <v>5224</v>
      </c>
      <c r="B2989" t="s">
        <v>1062</v>
      </c>
      <c r="C2989" t="s">
        <v>96</v>
      </c>
      <c r="D2989" t="s">
        <v>1951</v>
      </c>
      <c r="E2989" t="s">
        <v>1876</v>
      </c>
      <c r="F2989">
        <v>1023</v>
      </c>
    </row>
    <row r="2990" spans="1:6" x14ac:dyDescent="0.25">
      <c r="A2990" t="s">
        <v>5225</v>
      </c>
      <c r="B2990" t="s">
        <v>1062</v>
      </c>
      <c r="C2990" t="s">
        <v>96</v>
      </c>
      <c r="D2990" t="s">
        <v>1941</v>
      </c>
      <c r="E2990" t="s">
        <v>1886</v>
      </c>
      <c r="F2990">
        <v>18072</v>
      </c>
    </row>
    <row r="2991" spans="1:6" x14ac:dyDescent="0.25">
      <c r="A2991" t="s">
        <v>5226</v>
      </c>
      <c r="B2991" t="s">
        <v>1062</v>
      </c>
      <c r="C2991" t="s">
        <v>96</v>
      </c>
      <c r="D2991" t="s">
        <v>2914</v>
      </c>
      <c r="E2991" t="s">
        <v>1879</v>
      </c>
      <c r="F2991">
        <v>13085</v>
      </c>
    </row>
    <row r="2992" spans="1:6" x14ac:dyDescent="0.25">
      <c r="A2992" t="s">
        <v>5227</v>
      </c>
      <c r="B2992" t="s">
        <v>1062</v>
      </c>
      <c r="C2992" t="s">
        <v>96</v>
      </c>
      <c r="D2992" t="s">
        <v>1973</v>
      </c>
      <c r="E2992" t="s">
        <v>1871</v>
      </c>
      <c r="F2992">
        <v>18283</v>
      </c>
    </row>
    <row r="2993" spans="1:6" x14ac:dyDescent="0.25">
      <c r="A2993" t="s">
        <v>5228</v>
      </c>
      <c r="B2993" t="s">
        <v>1062</v>
      </c>
      <c r="C2993" t="s">
        <v>96</v>
      </c>
      <c r="D2993" t="s">
        <v>2026</v>
      </c>
      <c r="E2993" t="s">
        <v>1876</v>
      </c>
      <c r="F2993">
        <v>26075</v>
      </c>
    </row>
    <row r="2994" spans="1:6" x14ac:dyDescent="0.25">
      <c r="A2994" t="s">
        <v>5229</v>
      </c>
      <c r="B2994" t="s">
        <v>1062</v>
      </c>
      <c r="C2994" t="s">
        <v>96</v>
      </c>
      <c r="D2994" t="s">
        <v>2395</v>
      </c>
      <c r="E2994" t="s">
        <v>1915</v>
      </c>
      <c r="F2994">
        <v>27453</v>
      </c>
    </row>
    <row r="2995" spans="1:6" x14ac:dyDescent="0.25">
      <c r="A2995" t="s">
        <v>5230</v>
      </c>
      <c r="B2995" t="s">
        <v>1065</v>
      </c>
      <c r="C2995" t="s">
        <v>96</v>
      </c>
      <c r="D2995" t="s">
        <v>2101</v>
      </c>
      <c r="E2995" t="s">
        <v>1879</v>
      </c>
      <c r="F2995">
        <v>20095</v>
      </c>
    </row>
    <row r="2996" spans="1:6" x14ac:dyDescent="0.25">
      <c r="A2996" t="s">
        <v>5231</v>
      </c>
      <c r="B2996" t="s">
        <v>1065</v>
      </c>
      <c r="C2996" t="s">
        <v>96</v>
      </c>
      <c r="D2996" t="s">
        <v>2612</v>
      </c>
      <c r="E2996" t="s">
        <v>1876</v>
      </c>
      <c r="F2996">
        <v>6695</v>
      </c>
    </row>
    <row r="2997" spans="1:6" x14ac:dyDescent="0.25">
      <c r="A2997" t="s">
        <v>5232</v>
      </c>
      <c r="B2997" t="s">
        <v>1065</v>
      </c>
      <c r="C2997" t="s">
        <v>96</v>
      </c>
      <c r="D2997" t="s">
        <v>1933</v>
      </c>
      <c r="E2997" t="s">
        <v>1876</v>
      </c>
      <c r="F2997">
        <v>9790</v>
      </c>
    </row>
    <row r="2998" spans="1:6" x14ac:dyDescent="0.25">
      <c r="A2998" t="s">
        <v>5233</v>
      </c>
      <c r="B2998" t="s">
        <v>1065</v>
      </c>
      <c r="C2998" t="s">
        <v>96</v>
      </c>
      <c r="D2998" t="s">
        <v>2779</v>
      </c>
      <c r="E2998" t="s">
        <v>1879</v>
      </c>
      <c r="F2998">
        <v>15045</v>
      </c>
    </row>
    <row r="2999" spans="1:6" x14ac:dyDescent="0.25">
      <c r="A2999" t="s">
        <v>5234</v>
      </c>
      <c r="B2999" t="s">
        <v>1065</v>
      </c>
      <c r="C2999" t="s">
        <v>96</v>
      </c>
      <c r="D2999" t="s">
        <v>2269</v>
      </c>
      <c r="E2999" t="s">
        <v>1879</v>
      </c>
      <c r="F2999">
        <v>15605</v>
      </c>
    </row>
    <row r="3000" spans="1:6" x14ac:dyDescent="0.25">
      <c r="A3000" t="s">
        <v>5235</v>
      </c>
      <c r="B3000" t="s">
        <v>1065</v>
      </c>
      <c r="C3000" t="s">
        <v>96</v>
      </c>
      <c r="D3000" t="s">
        <v>2779</v>
      </c>
      <c r="E3000" t="s">
        <v>1886</v>
      </c>
      <c r="F3000">
        <v>20309</v>
      </c>
    </row>
    <row r="3001" spans="1:6" x14ac:dyDescent="0.25">
      <c r="A3001" t="s">
        <v>5236</v>
      </c>
      <c r="B3001" t="s">
        <v>1065</v>
      </c>
      <c r="C3001" t="s">
        <v>96</v>
      </c>
      <c r="D3001" t="s">
        <v>2151</v>
      </c>
      <c r="E3001" t="s">
        <v>1871</v>
      </c>
      <c r="F3001">
        <v>4807</v>
      </c>
    </row>
    <row r="3002" spans="1:6" x14ac:dyDescent="0.25">
      <c r="A3002" t="s">
        <v>5237</v>
      </c>
      <c r="B3002" t="s">
        <v>1068</v>
      </c>
      <c r="C3002" t="s">
        <v>51</v>
      </c>
      <c r="D3002" t="s">
        <v>3174</v>
      </c>
      <c r="E3002" t="s">
        <v>1879</v>
      </c>
      <c r="F3002">
        <v>1060</v>
      </c>
    </row>
    <row r="3003" spans="1:6" x14ac:dyDescent="0.25">
      <c r="A3003" t="s">
        <v>5238</v>
      </c>
      <c r="B3003" t="s">
        <v>1068</v>
      </c>
      <c r="C3003" t="s">
        <v>51</v>
      </c>
      <c r="D3003" t="s">
        <v>2531</v>
      </c>
      <c r="E3003" t="s">
        <v>1871</v>
      </c>
      <c r="F3003">
        <v>13257</v>
      </c>
    </row>
    <row r="3004" spans="1:6" x14ac:dyDescent="0.25">
      <c r="A3004" t="s">
        <v>5239</v>
      </c>
      <c r="B3004" t="s">
        <v>1068</v>
      </c>
      <c r="C3004" t="s">
        <v>51</v>
      </c>
      <c r="D3004" t="s">
        <v>1931</v>
      </c>
      <c r="E3004" t="s">
        <v>1915</v>
      </c>
      <c r="F3004">
        <v>83644</v>
      </c>
    </row>
    <row r="3005" spans="1:6" x14ac:dyDescent="0.25">
      <c r="A3005" t="s">
        <v>5240</v>
      </c>
      <c r="B3005" t="s">
        <v>1068</v>
      </c>
      <c r="C3005" t="s">
        <v>51</v>
      </c>
      <c r="D3005" t="s">
        <v>2586</v>
      </c>
      <c r="E3005" t="s">
        <v>1879</v>
      </c>
      <c r="F3005">
        <v>28345</v>
      </c>
    </row>
    <row r="3006" spans="1:6" x14ac:dyDescent="0.25">
      <c r="A3006" t="s">
        <v>5241</v>
      </c>
      <c r="B3006" t="s">
        <v>1068</v>
      </c>
      <c r="C3006" t="s">
        <v>51</v>
      </c>
      <c r="D3006" t="s">
        <v>2295</v>
      </c>
      <c r="E3006" t="s">
        <v>1876</v>
      </c>
      <c r="F3006">
        <v>14650</v>
      </c>
    </row>
    <row r="3007" spans="1:6" x14ac:dyDescent="0.25">
      <c r="A3007" t="s">
        <v>5242</v>
      </c>
      <c r="B3007" t="s">
        <v>1068</v>
      </c>
      <c r="C3007" t="s">
        <v>51</v>
      </c>
      <c r="D3007" t="s">
        <v>1927</v>
      </c>
      <c r="E3007" t="s">
        <v>1915</v>
      </c>
      <c r="F3007">
        <v>77815</v>
      </c>
    </row>
    <row r="3008" spans="1:6" x14ac:dyDescent="0.25">
      <c r="A3008" t="s">
        <v>5243</v>
      </c>
      <c r="B3008" t="s">
        <v>1068</v>
      </c>
      <c r="C3008" t="s">
        <v>51</v>
      </c>
      <c r="D3008" t="s">
        <v>2708</v>
      </c>
      <c r="E3008" t="s">
        <v>1879</v>
      </c>
      <c r="F3008">
        <v>35675</v>
      </c>
    </row>
    <row r="3009" spans="1:6" x14ac:dyDescent="0.25">
      <c r="A3009" t="s">
        <v>5244</v>
      </c>
      <c r="B3009" t="s">
        <v>1071</v>
      </c>
      <c r="C3009" t="s">
        <v>146</v>
      </c>
      <c r="D3009" t="s">
        <v>2307</v>
      </c>
      <c r="E3009" t="s">
        <v>1915</v>
      </c>
      <c r="F3009">
        <v>24805</v>
      </c>
    </row>
    <row r="3010" spans="1:6" x14ac:dyDescent="0.25">
      <c r="A3010" t="s">
        <v>5245</v>
      </c>
      <c r="B3010" t="s">
        <v>1071</v>
      </c>
      <c r="C3010" t="s">
        <v>146</v>
      </c>
      <c r="D3010" t="s">
        <v>2002</v>
      </c>
      <c r="E3010" t="s">
        <v>1871</v>
      </c>
      <c r="F3010">
        <v>2531</v>
      </c>
    </row>
    <row r="3011" spans="1:6" x14ac:dyDescent="0.25">
      <c r="A3011" t="s">
        <v>5246</v>
      </c>
      <c r="B3011" t="s">
        <v>1071</v>
      </c>
      <c r="C3011" t="s">
        <v>146</v>
      </c>
      <c r="D3011" t="s">
        <v>2812</v>
      </c>
      <c r="E3011" t="s">
        <v>1879</v>
      </c>
      <c r="F3011">
        <v>12014</v>
      </c>
    </row>
    <row r="3012" spans="1:6" x14ac:dyDescent="0.25">
      <c r="A3012" t="s">
        <v>5247</v>
      </c>
      <c r="B3012" t="s">
        <v>1071</v>
      </c>
      <c r="C3012" t="s">
        <v>146</v>
      </c>
      <c r="D3012" t="s">
        <v>2238</v>
      </c>
      <c r="E3012" t="s">
        <v>1886</v>
      </c>
      <c r="F3012">
        <v>4680</v>
      </c>
    </row>
    <row r="3013" spans="1:6" x14ac:dyDescent="0.25">
      <c r="A3013" t="s">
        <v>5248</v>
      </c>
      <c r="B3013" t="s">
        <v>1071</v>
      </c>
      <c r="C3013" t="s">
        <v>146</v>
      </c>
      <c r="D3013" t="s">
        <v>3956</v>
      </c>
      <c r="E3013" t="s">
        <v>1915</v>
      </c>
      <c r="F3013">
        <v>26266</v>
      </c>
    </row>
    <row r="3014" spans="1:6" x14ac:dyDescent="0.25">
      <c r="A3014" t="s">
        <v>5249</v>
      </c>
      <c r="B3014" t="s">
        <v>1071</v>
      </c>
      <c r="C3014" t="s">
        <v>146</v>
      </c>
      <c r="D3014" t="s">
        <v>2070</v>
      </c>
      <c r="E3014" t="s">
        <v>1871</v>
      </c>
      <c r="F3014">
        <v>30102</v>
      </c>
    </row>
    <row r="3015" spans="1:6" x14ac:dyDescent="0.25">
      <c r="A3015" t="s">
        <v>5250</v>
      </c>
      <c r="B3015" t="s">
        <v>1071</v>
      </c>
      <c r="C3015" t="s">
        <v>146</v>
      </c>
      <c r="D3015" t="s">
        <v>2680</v>
      </c>
      <c r="E3015" t="s">
        <v>1886</v>
      </c>
      <c r="F3015">
        <v>19728</v>
      </c>
    </row>
    <row r="3016" spans="1:6" x14ac:dyDescent="0.25">
      <c r="A3016" t="s">
        <v>5251</v>
      </c>
      <c r="B3016" t="s">
        <v>1074</v>
      </c>
      <c r="C3016" t="s">
        <v>96</v>
      </c>
      <c r="D3016" t="s">
        <v>2533</v>
      </c>
      <c r="E3016" t="s">
        <v>1879</v>
      </c>
      <c r="F3016">
        <v>17758</v>
      </c>
    </row>
    <row r="3017" spans="1:6" x14ac:dyDescent="0.25">
      <c r="A3017" t="s">
        <v>5252</v>
      </c>
      <c r="B3017" t="s">
        <v>1074</v>
      </c>
      <c r="C3017" t="s">
        <v>96</v>
      </c>
      <c r="D3017" t="s">
        <v>1912</v>
      </c>
      <c r="E3017" t="s">
        <v>1886</v>
      </c>
      <c r="F3017">
        <v>26108</v>
      </c>
    </row>
    <row r="3018" spans="1:6" x14ac:dyDescent="0.25">
      <c r="A3018" t="s">
        <v>5253</v>
      </c>
      <c r="B3018" t="s">
        <v>1074</v>
      </c>
      <c r="C3018" t="s">
        <v>96</v>
      </c>
      <c r="D3018" t="s">
        <v>2132</v>
      </c>
      <c r="E3018" t="s">
        <v>1879</v>
      </c>
      <c r="F3018">
        <v>25787</v>
      </c>
    </row>
    <row r="3019" spans="1:6" x14ac:dyDescent="0.25">
      <c r="A3019" t="s">
        <v>5254</v>
      </c>
      <c r="B3019" t="s">
        <v>1074</v>
      </c>
      <c r="C3019" t="s">
        <v>96</v>
      </c>
      <c r="D3019" t="s">
        <v>2519</v>
      </c>
      <c r="E3019" t="s">
        <v>1886</v>
      </c>
      <c r="F3019">
        <v>30172</v>
      </c>
    </row>
    <row r="3020" spans="1:6" x14ac:dyDescent="0.25">
      <c r="A3020" t="s">
        <v>5255</v>
      </c>
      <c r="B3020" t="s">
        <v>1074</v>
      </c>
      <c r="C3020" t="s">
        <v>96</v>
      </c>
      <c r="D3020" t="s">
        <v>2816</v>
      </c>
      <c r="E3020" t="s">
        <v>1879</v>
      </c>
      <c r="F3020">
        <v>3863</v>
      </c>
    </row>
    <row r="3021" spans="1:6" x14ac:dyDescent="0.25">
      <c r="A3021" t="s">
        <v>5256</v>
      </c>
      <c r="B3021" t="s">
        <v>1074</v>
      </c>
      <c r="C3021" t="s">
        <v>96</v>
      </c>
      <c r="D3021" t="s">
        <v>2314</v>
      </c>
      <c r="E3021" t="s">
        <v>1879</v>
      </c>
      <c r="F3021">
        <v>6923</v>
      </c>
    </row>
    <row r="3022" spans="1:6" x14ac:dyDescent="0.25">
      <c r="A3022" t="s">
        <v>5257</v>
      </c>
      <c r="B3022" t="s">
        <v>1077</v>
      </c>
      <c r="C3022" t="s">
        <v>73</v>
      </c>
      <c r="D3022" t="s">
        <v>2704</v>
      </c>
      <c r="E3022" t="s">
        <v>1876</v>
      </c>
      <c r="F3022">
        <v>18484</v>
      </c>
    </row>
    <row r="3023" spans="1:6" x14ac:dyDescent="0.25">
      <c r="A3023" t="s">
        <v>5258</v>
      </c>
      <c r="B3023" t="s">
        <v>1077</v>
      </c>
      <c r="C3023" t="s">
        <v>73</v>
      </c>
      <c r="D3023" t="s">
        <v>2441</v>
      </c>
      <c r="E3023" t="s">
        <v>1915</v>
      </c>
      <c r="F3023">
        <v>11602</v>
      </c>
    </row>
    <row r="3024" spans="1:6" x14ac:dyDescent="0.25">
      <c r="A3024" t="s">
        <v>5259</v>
      </c>
      <c r="B3024" t="s">
        <v>1077</v>
      </c>
      <c r="C3024" t="s">
        <v>73</v>
      </c>
      <c r="D3024" t="s">
        <v>2173</v>
      </c>
      <c r="E3024" t="s">
        <v>1915</v>
      </c>
      <c r="F3024">
        <v>4995</v>
      </c>
    </row>
    <row r="3025" spans="1:6" x14ac:dyDescent="0.25">
      <c r="A3025" t="s">
        <v>5260</v>
      </c>
      <c r="B3025" t="s">
        <v>1077</v>
      </c>
      <c r="C3025" t="s">
        <v>73</v>
      </c>
      <c r="D3025" t="s">
        <v>2404</v>
      </c>
      <c r="E3025" t="s">
        <v>1886</v>
      </c>
      <c r="F3025">
        <v>7564</v>
      </c>
    </row>
    <row r="3026" spans="1:6" x14ac:dyDescent="0.25">
      <c r="A3026" t="s">
        <v>5261</v>
      </c>
      <c r="B3026" t="s">
        <v>1077</v>
      </c>
      <c r="C3026" t="s">
        <v>73</v>
      </c>
      <c r="D3026" t="s">
        <v>2515</v>
      </c>
      <c r="E3026" t="s">
        <v>1876</v>
      </c>
      <c r="F3026">
        <v>23966</v>
      </c>
    </row>
    <row r="3027" spans="1:6" x14ac:dyDescent="0.25">
      <c r="A3027" t="s">
        <v>5262</v>
      </c>
      <c r="B3027" t="s">
        <v>1077</v>
      </c>
      <c r="C3027" t="s">
        <v>73</v>
      </c>
      <c r="D3027" t="s">
        <v>2119</v>
      </c>
      <c r="E3027" t="s">
        <v>1879</v>
      </c>
      <c r="F3027">
        <v>32606</v>
      </c>
    </row>
    <row r="3028" spans="1:6" x14ac:dyDescent="0.25">
      <c r="A3028" t="s">
        <v>5263</v>
      </c>
      <c r="B3028" t="s">
        <v>1077</v>
      </c>
      <c r="C3028" t="s">
        <v>73</v>
      </c>
      <c r="D3028" t="s">
        <v>2457</v>
      </c>
      <c r="E3028" t="s">
        <v>1871</v>
      </c>
      <c r="F3028">
        <v>23388</v>
      </c>
    </row>
    <row r="3029" spans="1:6" x14ac:dyDescent="0.25">
      <c r="A3029" t="s">
        <v>5264</v>
      </c>
      <c r="B3029" t="s">
        <v>1077</v>
      </c>
      <c r="C3029" t="s">
        <v>73</v>
      </c>
      <c r="D3029" t="s">
        <v>3047</v>
      </c>
      <c r="E3029" t="s">
        <v>1871</v>
      </c>
      <c r="F3029">
        <v>25521</v>
      </c>
    </row>
    <row r="3030" spans="1:6" x14ac:dyDescent="0.25">
      <c r="A3030" t="s">
        <v>5265</v>
      </c>
      <c r="B3030" t="s">
        <v>1077</v>
      </c>
      <c r="C3030" t="s">
        <v>73</v>
      </c>
      <c r="D3030" t="s">
        <v>2507</v>
      </c>
      <c r="E3030" t="s">
        <v>1886</v>
      </c>
      <c r="F3030">
        <v>4070</v>
      </c>
    </row>
    <row r="3031" spans="1:6" x14ac:dyDescent="0.25">
      <c r="A3031" t="s">
        <v>5266</v>
      </c>
      <c r="B3031" t="s">
        <v>1077</v>
      </c>
      <c r="C3031" t="s">
        <v>73</v>
      </c>
      <c r="D3031" t="s">
        <v>2169</v>
      </c>
      <c r="E3031" t="s">
        <v>1876</v>
      </c>
      <c r="F3031">
        <v>12647</v>
      </c>
    </row>
    <row r="3032" spans="1:6" x14ac:dyDescent="0.25">
      <c r="A3032" t="s">
        <v>5267</v>
      </c>
      <c r="B3032" t="s">
        <v>1077</v>
      </c>
      <c r="C3032" t="s">
        <v>73</v>
      </c>
      <c r="D3032" t="s">
        <v>3142</v>
      </c>
      <c r="E3032" t="s">
        <v>1886</v>
      </c>
      <c r="F3032">
        <v>22586</v>
      </c>
    </row>
    <row r="3033" spans="1:6" x14ac:dyDescent="0.25">
      <c r="A3033" t="s">
        <v>5268</v>
      </c>
      <c r="B3033" t="s">
        <v>1077</v>
      </c>
      <c r="C3033" t="s">
        <v>73</v>
      </c>
      <c r="D3033" t="s">
        <v>1980</v>
      </c>
      <c r="E3033" t="s">
        <v>1915</v>
      </c>
      <c r="F3033">
        <v>28849</v>
      </c>
    </row>
    <row r="3034" spans="1:6" x14ac:dyDescent="0.25">
      <c r="A3034" t="s">
        <v>5269</v>
      </c>
      <c r="B3034" t="s">
        <v>1080</v>
      </c>
      <c r="C3034" t="s">
        <v>87</v>
      </c>
      <c r="D3034" t="s">
        <v>2412</v>
      </c>
      <c r="E3034" t="s">
        <v>1876</v>
      </c>
      <c r="F3034">
        <v>6854</v>
      </c>
    </row>
    <row r="3035" spans="1:6" x14ac:dyDescent="0.25">
      <c r="A3035" t="s">
        <v>5270</v>
      </c>
      <c r="B3035" t="s">
        <v>1080</v>
      </c>
      <c r="C3035" t="s">
        <v>87</v>
      </c>
      <c r="D3035" t="s">
        <v>2042</v>
      </c>
      <c r="E3035" t="s">
        <v>1871</v>
      </c>
      <c r="F3035">
        <v>19150</v>
      </c>
    </row>
    <row r="3036" spans="1:6" x14ac:dyDescent="0.25">
      <c r="A3036" t="s">
        <v>5271</v>
      </c>
      <c r="B3036" t="s">
        <v>1080</v>
      </c>
      <c r="C3036" t="s">
        <v>87</v>
      </c>
      <c r="D3036" t="s">
        <v>2770</v>
      </c>
      <c r="E3036" t="s">
        <v>1886</v>
      </c>
      <c r="F3036">
        <v>12074</v>
      </c>
    </row>
    <row r="3037" spans="1:6" x14ac:dyDescent="0.25">
      <c r="A3037" t="s">
        <v>5272</v>
      </c>
      <c r="B3037" t="s">
        <v>1080</v>
      </c>
      <c r="C3037" t="s">
        <v>87</v>
      </c>
      <c r="D3037" t="s">
        <v>1892</v>
      </c>
      <c r="E3037" t="s">
        <v>1915</v>
      </c>
      <c r="F3037">
        <v>28199</v>
      </c>
    </row>
    <row r="3038" spans="1:6" x14ac:dyDescent="0.25">
      <c r="A3038" t="s">
        <v>5273</v>
      </c>
      <c r="B3038" t="s">
        <v>1080</v>
      </c>
      <c r="C3038" t="s">
        <v>87</v>
      </c>
      <c r="D3038" t="s">
        <v>2236</v>
      </c>
      <c r="E3038" t="s">
        <v>1879</v>
      </c>
      <c r="F3038">
        <v>17576</v>
      </c>
    </row>
    <row r="3039" spans="1:6" x14ac:dyDescent="0.25">
      <c r="A3039" t="s">
        <v>5274</v>
      </c>
      <c r="B3039" t="s">
        <v>1080</v>
      </c>
      <c r="C3039" t="s">
        <v>87</v>
      </c>
      <c r="D3039" t="s">
        <v>2527</v>
      </c>
      <c r="E3039" t="s">
        <v>1879</v>
      </c>
      <c r="F3039">
        <v>22179</v>
      </c>
    </row>
    <row r="3040" spans="1:6" x14ac:dyDescent="0.25">
      <c r="A3040" t="s">
        <v>5275</v>
      </c>
      <c r="B3040" t="s">
        <v>1083</v>
      </c>
      <c r="C3040" t="s">
        <v>146</v>
      </c>
      <c r="D3040" t="s">
        <v>2519</v>
      </c>
      <c r="E3040" t="s">
        <v>1876</v>
      </c>
      <c r="F3040">
        <v>9728</v>
      </c>
    </row>
    <row r="3041" spans="1:6" x14ac:dyDescent="0.25">
      <c r="A3041" t="s">
        <v>5276</v>
      </c>
      <c r="B3041" t="s">
        <v>1083</v>
      </c>
      <c r="C3041" t="s">
        <v>146</v>
      </c>
      <c r="D3041" t="s">
        <v>2366</v>
      </c>
      <c r="E3041" t="s">
        <v>1886</v>
      </c>
      <c r="F3041">
        <v>18211</v>
      </c>
    </row>
    <row r="3042" spans="1:6" x14ac:dyDescent="0.25">
      <c r="A3042" t="s">
        <v>5277</v>
      </c>
      <c r="B3042" t="s">
        <v>1083</v>
      </c>
      <c r="C3042" t="s">
        <v>146</v>
      </c>
      <c r="D3042" t="s">
        <v>1890</v>
      </c>
      <c r="E3042" t="s">
        <v>1915</v>
      </c>
      <c r="F3042">
        <v>5923</v>
      </c>
    </row>
    <row r="3043" spans="1:6" x14ac:dyDescent="0.25">
      <c r="A3043" t="s">
        <v>5278</v>
      </c>
      <c r="B3043" t="s">
        <v>1083</v>
      </c>
      <c r="C3043" t="s">
        <v>146</v>
      </c>
      <c r="D3043" t="s">
        <v>2038</v>
      </c>
      <c r="E3043" t="s">
        <v>1915</v>
      </c>
      <c r="F3043">
        <v>22938</v>
      </c>
    </row>
    <row r="3044" spans="1:6" x14ac:dyDescent="0.25">
      <c r="A3044" t="s">
        <v>5279</v>
      </c>
      <c r="B3044" t="s">
        <v>1083</v>
      </c>
      <c r="C3044" t="s">
        <v>146</v>
      </c>
      <c r="D3044" t="s">
        <v>2208</v>
      </c>
      <c r="E3044" t="s">
        <v>1915</v>
      </c>
      <c r="F3044">
        <v>12422</v>
      </c>
    </row>
    <row r="3045" spans="1:6" x14ac:dyDescent="0.25">
      <c r="A3045" t="s">
        <v>5280</v>
      </c>
      <c r="B3045" t="s">
        <v>1083</v>
      </c>
      <c r="C3045" t="s">
        <v>146</v>
      </c>
      <c r="D3045" t="s">
        <v>2533</v>
      </c>
      <c r="E3045" t="s">
        <v>1876</v>
      </c>
      <c r="F3045">
        <v>8577</v>
      </c>
    </row>
    <row r="3046" spans="1:6" x14ac:dyDescent="0.25">
      <c r="A3046" t="s">
        <v>5281</v>
      </c>
      <c r="B3046" t="s">
        <v>1083</v>
      </c>
      <c r="C3046" t="s">
        <v>146</v>
      </c>
      <c r="D3046" t="s">
        <v>2122</v>
      </c>
      <c r="E3046" t="s">
        <v>1886</v>
      </c>
      <c r="F3046">
        <v>27098</v>
      </c>
    </row>
    <row r="3047" spans="1:6" x14ac:dyDescent="0.25">
      <c r="A3047" t="s">
        <v>5282</v>
      </c>
      <c r="B3047" t="s">
        <v>1086</v>
      </c>
      <c r="C3047" t="s">
        <v>146</v>
      </c>
      <c r="D3047" t="s">
        <v>1968</v>
      </c>
      <c r="E3047" t="s">
        <v>1871</v>
      </c>
      <c r="F3047">
        <v>1945</v>
      </c>
    </row>
    <row r="3048" spans="1:6" x14ac:dyDescent="0.25">
      <c r="A3048" t="s">
        <v>5283</v>
      </c>
      <c r="B3048" t="s">
        <v>1086</v>
      </c>
      <c r="C3048" t="s">
        <v>146</v>
      </c>
      <c r="D3048" t="s">
        <v>1947</v>
      </c>
      <c r="E3048" t="s">
        <v>1871</v>
      </c>
      <c r="F3048">
        <v>23595</v>
      </c>
    </row>
    <row r="3049" spans="1:6" x14ac:dyDescent="0.25">
      <c r="A3049" t="s">
        <v>5284</v>
      </c>
      <c r="B3049" t="s">
        <v>1086</v>
      </c>
      <c r="C3049" t="s">
        <v>146</v>
      </c>
      <c r="D3049" t="s">
        <v>2210</v>
      </c>
      <c r="E3049" t="s">
        <v>1871</v>
      </c>
      <c r="F3049">
        <v>38000</v>
      </c>
    </row>
    <row r="3050" spans="1:6" x14ac:dyDescent="0.25">
      <c r="A3050" t="s">
        <v>5285</v>
      </c>
      <c r="B3050" t="s">
        <v>1086</v>
      </c>
      <c r="C3050" t="s">
        <v>146</v>
      </c>
      <c r="D3050" t="s">
        <v>2855</v>
      </c>
      <c r="E3050" t="s">
        <v>1879</v>
      </c>
      <c r="F3050">
        <v>20747</v>
      </c>
    </row>
    <row r="3051" spans="1:6" x14ac:dyDescent="0.25">
      <c r="A3051" t="s">
        <v>5286</v>
      </c>
      <c r="B3051" t="s">
        <v>1086</v>
      </c>
      <c r="C3051" t="s">
        <v>146</v>
      </c>
      <c r="D3051" t="s">
        <v>2604</v>
      </c>
      <c r="E3051" t="s">
        <v>1915</v>
      </c>
      <c r="F3051">
        <v>19542</v>
      </c>
    </row>
    <row r="3052" spans="1:6" x14ac:dyDescent="0.25">
      <c r="A3052" t="s">
        <v>5287</v>
      </c>
      <c r="B3052" t="s">
        <v>1086</v>
      </c>
      <c r="C3052" t="s">
        <v>146</v>
      </c>
      <c r="D3052" t="s">
        <v>1947</v>
      </c>
      <c r="E3052" t="s">
        <v>1879</v>
      </c>
      <c r="F3052">
        <v>6798</v>
      </c>
    </row>
    <row r="3053" spans="1:6" x14ac:dyDescent="0.25">
      <c r="A3053" t="s">
        <v>5288</v>
      </c>
      <c r="B3053" t="s">
        <v>1086</v>
      </c>
      <c r="C3053" t="s">
        <v>146</v>
      </c>
      <c r="D3053" t="s">
        <v>2018</v>
      </c>
      <c r="E3053" t="s">
        <v>1879</v>
      </c>
      <c r="F3053">
        <v>37634</v>
      </c>
    </row>
    <row r="3054" spans="1:6" x14ac:dyDescent="0.25">
      <c r="A3054" t="s">
        <v>5289</v>
      </c>
      <c r="B3054" t="s">
        <v>1086</v>
      </c>
      <c r="C3054" t="s">
        <v>146</v>
      </c>
      <c r="D3054" t="s">
        <v>2593</v>
      </c>
      <c r="E3054" t="s">
        <v>1879</v>
      </c>
      <c r="F3054">
        <v>35466</v>
      </c>
    </row>
    <row r="3055" spans="1:6" x14ac:dyDescent="0.25">
      <c r="A3055" t="s">
        <v>5290</v>
      </c>
      <c r="B3055" t="s">
        <v>1086</v>
      </c>
      <c r="C3055" t="s">
        <v>146</v>
      </c>
      <c r="D3055" t="s">
        <v>2443</v>
      </c>
      <c r="E3055" t="s">
        <v>1915</v>
      </c>
      <c r="F3055">
        <v>6490</v>
      </c>
    </row>
    <row r="3056" spans="1:6" x14ac:dyDescent="0.25">
      <c r="A3056" t="s">
        <v>5291</v>
      </c>
      <c r="B3056" t="s">
        <v>1086</v>
      </c>
      <c r="C3056" t="s">
        <v>146</v>
      </c>
      <c r="D3056" t="s">
        <v>2077</v>
      </c>
      <c r="E3056" t="s">
        <v>1871</v>
      </c>
      <c r="F3056">
        <v>32833</v>
      </c>
    </row>
    <row r="3057" spans="1:6" x14ac:dyDescent="0.25">
      <c r="A3057" t="s">
        <v>5292</v>
      </c>
      <c r="B3057" t="s">
        <v>1089</v>
      </c>
      <c r="C3057" t="s">
        <v>73</v>
      </c>
      <c r="D3057" t="s">
        <v>1970</v>
      </c>
      <c r="E3057" t="s">
        <v>1915</v>
      </c>
      <c r="F3057">
        <v>48345</v>
      </c>
    </row>
    <row r="3058" spans="1:6" x14ac:dyDescent="0.25">
      <c r="A3058" t="s">
        <v>5293</v>
      </c>
      <c r="B3058" t="s">
        <v>1089</v>
      </c>
      <c r="C3058" t="s">
        <v>73</v>
      </c>
      <c r="D3058" t="s">
        <v>2450</v>
      </c>
      <c r="E3058" t="s">
        <v>1915</v>
      </c>
      <c r="F3058">
        <v>57599</v>
      </c>
    </row>
    <row r="3059" spans="1:6" x14ac:dyDescent="0.25">
      <c r="A3059" t="s">
        <v>5294</v>
      </c>
      <c r="B3059" t="s">
        <v>1089</v>
      </c>
      <c r="C3059" t="s">
        <v>73</v>
      </c>
      <c r="D3059" t="s">
        <v>2338</v>
      </c>
      <c r="E3059" t="s">
        <v>1886</v>
      </c>
      <c r="F3059">
        <v>22258</v>
      </c>
    </row>
    <row r="3060" spans="1:6" x14ac:dyDescent="0.25">
      <c r="A3060" t="s">
        <v>5295</v>
      </c>
      <c r="B3060" t="s">
        <v>1089</v>
      </c>
      <c r="C3060" t="s">
        <v>73</v>
      </c>
      <c r="D3060" t="s">
        <v>2437</v>
      </c>
      <c r="E3060" t="s">
        <v>1879</v>
      </c>
      <c r="F3060">
        <v>4703</v>
      </c>
    </row>
    <row r="3061" spans="1:6" x14ac:dyDescent="0.25">
      <c r="A3061" t="s">
        <v>5296</v>
      </c>
      <c r="B3061" t="s">
        <v>1089</v>
      </c>
      <c r="C3061" t="s">
        <v>73</v>
      </c>
      <c r="D3061" t="s">
        <v>3860</v>
      </c>
      <c r="E3061" t="s">
        <v>1915</v>
      </c>
      <c r="F3061">
        <v>60594</v>
      </c>
    </row>
    <row r="3062" spans="1:6" x14ac:dyDescent="0.25">
      <c r="A3062" t="s">
        <v>5297</v>
      </c>
      <c r="B3062" t="s">
        <v>1089</v>
      </c>
      <c r="C3062" t="s">
        <v>73</v>
      </c>
      <c r="D3062" t="s">
        <v>2978</v>
      </c>
      <c r="E3062" t="s">
        <v>1879</v>
      </c>
      <c r="F3062">
        <v>36559</v>
      </c>
    </row>
    <row r="3063" spans="1:6" x14ac:dyDescent="0.25">
      <c r="A3063" t="s">
        <v>5298</v>
      </c>
      <c r="B3063" t="s">
        <v>1092</v>
      </c>
      <c r="C3063" t="s">
        <v>51</v>
      </c>
      <c r="D3063" t="s">
        <v>2378</v>
      </c>
      <c r="E3063" t="s">
        <v>1876</v>
      </c>
      <c r="F3063">
        <v>5591</v>
      </c>
    </row>
    <row r="3064" spans="1:6" x14ac:dyDescent="0.25">
      <c r="A3064" t="s">
        <v>5299</v>
      </c>
      <c r="B3064" t="s">
        <v>1092</v>
      </c>
      <c r="C3064" t="s">
        <v>51</v>
      </c>
      <c r="D3064" t="s">
        <v>3486</v>
      </c>
      <c r="E3064" t="s">
        <v>1871</v>
      </c>
      <c r="F3064">
        <v>2300</v>
      </c>
    </row>
    <row r="3065" spans="1:6" x14ac:dyDescent="0.25">
      <c r="A3065" t="s">
        <v>5300</v>
      </c>
      <c r="B3065" t="s">
        <v>1092</v>
      </c>
      <c r="C3065" t="s">
        <v>51</v>
      </c>
      <c r="D3065" t="s">
        <v>2181</v>
      </c>
      <c r="E3065" t="s">
        <v>1879</v>
      </c>
      <c r="F3065">
        <v>15292</v>
      </c>
    </row>
    <row r="3066" spans="1:6" x14ac:dyDescent="0.25">
      <c r="A3066" t="s">
        <v>5301</v>
      </c>
      <c r="B3066" t="s">
        <v>1092</v>
      </c>
      <c r="C3066" t="s">
        <v>51</v>
      </c>
      <c r="D3066" t="s">
        <v>2628</v>
      </c>
      <c r="E3066" t="s">
        <v>1886</v>
      </c>
      <c r="F3066">
        <v>11739</v>
      </c>
    </row>
    <row r="3067" spans="1:6" x14ac:dyDescent="0.25">
      <c r="A3067" t="s">
        <v>5302</v>
      </c>
      <c r="B3067" t="s">
        <v>1092</v>
      </c>
      <c r="C3067" t="s">
        <v>51</v>
      </c>
      <c r="D3067" t="s">
        <v>2404</v>
      </c>
      <c r="E3067" t="s">
        <v>1915</v>
      </c>
      <c r="F3067">
        <v>6801</v>
      </c>
    </row>
    <row r="3068" spans="1:6" x14ac:dyDescent="0.25">
      <c r="A3068" t="s">
        <v>5303</v>
      </c>
      <c r="B3068" t="s">
        <v>1092</v>
      </c>
      <c r="C3068" t="s">
        <v>51</v>
      </c>
      <c r="D3068" t="s">
        <v>2432</v>
      </c>
      <c r="E3068" t="s">
        <v>1871</v>
      </c>
      <c r="F3068">
        <v>14339</v>
      </c>
    </row>
    <row r="3069" spans="1:6" x14ac:dyDescent="0.25">
      <c r="A3069" t="s">
        <v>5304</v>
      </c>
      <c r="B3069" t="s">
        <v>1095</v>
      </c>
      <c r="C3069" t="s">
        <v>73</v>
      </c>
      <c r="D3069" t="s">
        <v>2914</v>
      </c>
      <c r="E3069" t="s">
        <v>1886</v>
      </c>
      <c r="F3069">
        <v>29605</v>
      </c>
    </row>
    <row r="3070" spans="1:6" x14ac:dyDescent="0.25">
      <c r="A3070" t="s">
        <v>5305</v>
      </c>
      <c r="B3070" t="s">
        <v>1095</v>
      </c>
      <c r="C3070" t="s">
        <v>73</v>
      </c>
      <c r="D3070" t="s">
        <v>2012</v>
      </c>
      <c r="E3070" t="s">
        <v>1915</v>
      </c>
      <c r="F3070">
        <v>131086</v>
      </c>
    </row>
    <row r="3071" spans="1:6" x14ac:dyDescent="0.25">
      <c r="A3071" t="s">
        <v>5306</v>
      </c>
      <c r="B3071" t="s">
        <v>1095</v>
      </c>
      <c r="C3071" t="s">
        <v>73</v>
      </c>
      <c r="D3071" t="s">
        <v>2221</v>
      </c>
      <c r="E3071" t="s">
        <v>1879</v>
      </c>
      <c r="F3071">
        <v>13406</v>
      </c>
    </row>
    <row r="3072" spans="1:6" x14ac:dyDescent="0.25">
      <c r="A3072" t="s">
        <v>5307</v>
      </c>
      <c r="B3072" t="s">
        <v>1095</v>
      </c>
      <c r="C3072" t="s">
        <v>73</v>
      </c>
      <c r="D3072" t="s">
        <v>2305</v>
      </c>
      <c r="E3072" t="s">
        <v>1915</v>
      </c>
      <c r="F3072">
        <v>95765</v>
      </c>
    </row>
    <row r="3073" spans="1:6" x14ac:dyDescent="0.25">
      <c r="A3073" t="s">
        <v>5308</v>
      </c>
      <c r="B3073" t="s">
        <v>1095</v>
      </c>
      <c r="C3073" t="s">
        <v>73</v>
      </c>
      <c r="D3073" t="s">
        <v>2590</v>
      </c>
      <c r="E3073" t="s">
        <v>1879</v>
      </c>
      <c r="F3073">
        <v>31111</v>
      </c>
    </row>
    <row r="3074" spans="1:6" x14ac:dyDescent="0.25">
      <c r="A3074" t="s">
        <v>5309</v>
      </c>
      <c r="B3074" t="s">
        <v>1095</v>
      </c>
      <c r="C3074" t="s">
        <v>73</v>
      </c>
      <c r="D3074" t="s">
        <v>2284</v>
      </c>
      <c r="E3074" t="s">
        <v>1871</v>
      </c>
      <c r="F3074">
        <v>31841</v>
      </c>
    </row>
    <row r="3075" spans="1:6" x14ac:dyDescent="0.25">
      <c r="A3075" t="s">
        <v>5310</v>
      </c>
      <c r="B3075" t="s">
        <v>1098</v>
      </c>
      <c r="C3075" t="s">
        <v>96</v>
      </c>
      <c r="D3075" t="s">
        <v>2326</v>
      </c>
      <c r="E3075" t="s">
        <v>1915</v>
      </c>
      <c r="F3075">
        <v>34382</v>
      </c>
    </row>
    <row r="3076" spans="1:6" x14ac:dyDescent="0.25">
      <c r="A3076" t="s">
        <v>5311</v>
      </c>
      <c r="B3076" t="s">
        <v>1098</v>
      </c>
      <c r="C3076" t="s">
        <v>96</v>
      </c>
      <c r="D3076" t="s">
        <v>1984</v>
      </c>
      <c r="E3076" t="s">
        <v>1879</v>
      </c>
      <c r="F3076">
        <v>838</v>
      </c>
    </row>
    <row r="3077" spans="1:6" x14ac:dyDescent="0.25">
      <c r="A3077" t="s">
        <v>5312</v>
      </c>
      <c r="B3077" t="s">
        <v>1098</v>
      </c>
      <c r="C3077" t="s">
        <v>96</v>
      </c>
      <c r="D3077" t="s">
        <v>3174</v>
      </c>
      <c r="E3077" t="s">
        <v>1879</v>
      </c>
      <c r="F3077">
        <v>377</v>
      </c>
    </row>
    <row r="3078" spans="1:6" x14ac:dyDescent="0.25">
      <c r="A3078" t="s">
        <v>5313</v>
      </c>
      <c r="B3078" t="s">
        <v>1098</v>
      </c>
      <c r="C3078" t="s">
        <v>96</v>
      </c>
      <c r="D3078" t="s">
        <v>2522</v>
      </c>
      <c r="E3078" t="s">
        <v>1879</v>
      </c>
      <c r="F3078">
        <v>29007</v>
      </c>
    </row>
    <row r="3079" spans="1:6" x14ac:dyDescent="0.25">
      <c r="A3079" t="s">
        <v>5314</v>
      </c>
      <c r="B3079" t="s">
        <v>1098</v>
      </c>
      <c r="C3079" t="s">
        <v>96</v>
      </c>
      <c r="D3079" t="s">
        <v>2005</v>
      </c>
      <c r="E3079" t="s">
        <v>1879</v>
      </c>
      <c r="F3079">
        <v>23948</v>
      </c>
    </row>
    <row r="3080" spans="1:6" x14ac:dyDescent="0.25">
      <c r="A3080" t="s">
        <v>5315</v>
      </c>
      <c r="B3080" t="s">
        <v>1098</v>
      </c>
      <c r="C3080" t="s">
        <v>96</v>
      </c>
      <c r="D3080" t="s">
        <v>3119</v>
      </c>
      <c r="E3080" t="s">
        <v>1915</v>
      </c>
      <c r="F3080">
        <v>23000</v>
      </c>
    </row>
    <row r="3081" spans="1:6" x14ac:dyDescent="0.25">
      <c r="A3081" t="s">
        <v>5316</v>
      </c>
      <c r="B3081" t="s">
        <v>1098</v>
      </c>
      <c r="C3081" t="s">
        <v>96</v>
      </c>
      <c r="D3081" t="s">
        <v>2359</v>
      </c>
      <c r="E3081" t="s">
        <v>1879</v>
      </c>
      <c r="F3081">
        <v>6316</v>
      </c>
    </row>
    <row r="3082" spans="1:6" x14ac:dyDescent="0.25">
      <c r="A3082" t="s">
        <v>5317</v>
      </c>
      <c r="B3082" t="s">
        <v>1098</v>
      </c>
      <c r="C3082" t="s">
        <v>96</v>
      </c>
      <c r="D3082" t="s">
        <v>2779</v>
      </c>
      <c r="E3082" t="s">
        <v>1886</v>
      </c>
      <c r="F3082">
        <v>24743</v>
      </c>
    </row>
    <row r="3083" spans="1:6" x14ac:dyDescent="0.25">
      <c r="A3083" t="s">
        <v>5318</v>
      </c>
      <c r="B3083" t="s">
        <v>1098</v>
      </c>
      <c r="C3083" t="s">
        <v>96</v>
      </c>
      <c r="D3083" t="s">
        <v>2878</v>
      </c>
      <c r="E3083" t="s">
        <v>1915</v>
      </c>
      <c r="F3083">
        <v>37852</v>
      </c>
    </row>
    <row r="3084" spans="1:6" x14ac:dyDescent="0.25">
      <c r="A3084" t="s">
        <v>5319</v>
      </c>
      <c r="B3084" t="s">
        <v>1098</v>
      </c>
      <c r="C3084" t="s">
        <v>96</v>
      </c>
      <c r="D3084" t="s">
        <v>2706</v>
      </c>
      <c r="E3084" t="s">
        <v>1879</v>
      </c>
      <c r="F3084">
        <v>7845</v>
      </c>
    </row>
    <row r="3085" spans="1:6" x14ac:dyDescent="0.25">
      <c r="A3085" t="s">
        <v>5320</v>
      </c>
      <c r="B3085" t="s">
        <v>1098</v>
      </c>
      <c r="C3085" t="s">
        <v>96</v>
      </c>
      <c r="D3085" t="s">
        <v>2341</v>
      </c>
      <c r="E3085" t="s">
        <v>1886</v>
      </c>
      <c r="F3085">
        <v>30255</v>
      </c>
    </row>
    <row r="3086" spans="1:6" x14ac:dyDescent="0.25">
      <c r="A3086" t="s">
        <v>5321</v>
      </c>
      <c r="B3086" t="s">
        <v>1101</v>
      </c>
      <c r="C3086" t="s">
        <v>96</v>
      </c>
      <c r="D3086" t="s">
        <v>2165</v>
      </c>
      <c r="E3086" t="s">
        <v>1871</v>
      </c>
      <c r="F3086">
        <v>21155</v>
      </c>
    </row>
    <row r="3087" spans="1:6" x14ac:dyDescent="0.25">
      <c r="A3087" t="s">
        <v>5322</v>
      </c>
      <c r="B3087" t="s">
        <v>1101</v>
      </c>
      <c r="C3087" t="s">
        <v>96</v>
      </c>
      <c r="D3087" t="s">
        <v>2122</v>
      </c>
      <c r="E3087" t="s">
        <v>1879</v>
      </c>
      <c r="F3087">
        <v>514</v>
      </c>
    </row>
    <row r="3088" spans="1:6" x14ac:dyDescent="0.25">
      <c r="A3088" t="s">
        <v>5323</v>
      </c>
      <c r="B3088" t="s">
        <v>1101</v>
      </c>
      <c r="C3088" t="s">
        <v>96</v>
      </c>
      <c r="D3088" t="s">
        <v>1917</v>
      </c>
      <c r="E3088" t="s">
        <v>1886</v>
      </c>
      <c r="F3088">
        <v>20030</v>
      </c>
    </row>
    <row r="3089" spans="1:6" x14ac:dyDescent="0.25">
      <c r="A3089" t="s">
        <v>5324</v>
      </c>
      <c r="B3089" t="s">
        <v>1101</v>
      </c>
      <c r="C3089" t="s">
        <v>96</v>
      </c>
      <c r="D3089" t="s">
        <v>2059</v>
      </c>
      <c r="E3089" t="s">
        <v>1915</v>
      </c>
      <c r="F3089">
        <v>21021</v>
      </c>
    </row>
    <row r="3090" spans="1:6" x14ac:dyDescent="0.25">
      <c r="A3090" t="s">
        <v>5325</v>
      </c>
      <c r="B3090" t="s">
        <v>1101</v>
      </c>
      <c r="C3090" t="s">
        <v>96</v>
      </c>
      <c r="D3090" t="s">
        <v>1949</v>
      </c>
      <c r="E3090" t="s">
        <v>1871</v>
      </c>
      <c r="F3090">
        <v>18566</v>
      </c>
    </row>
    <row r="3091" spans="1:6" x14ac:dyDescent="0.25">
      <c r="A3091" t="s">
        <v>5326</v>
      </c>
      <c r="B3091" t="s">
        <v>1101</v>
      </c>
      <c r="C3091" t="s">
        <v>96</v>
      </c>
      <c r="D3091" t="s">
        <v>2322</v>
      </c>
      <c r="E3091" t="s">
        <v>1879</v>
      </c>
      <c r="F3091">
        <v>5596</v>
      </c>
    </row>
    <row r="3092" spans="1:6" x14ac:dyDescent="0.25">
      <c r="A3092" t="s">
        <v>5327</v>
      </c>
      <c r="B3092" t="s">
        <v>1101</v>
      </c>
      <c r="C3092" t="s">
        <v>96</v>
      </c>
      <c r="D3092" t="s">
        <v>1904</v>
      </c>
      <c r="E3092" t="s">
        <v>1871</v>
      </c>
      <c r="F3092">
        <v>32594</v>
      </c>
    </row>
    <row r="3093" spans="1:6" x14ac:dyDescent="0.25">
      <c r="A3093" t="s">
        <v>5328</v>
      </c>
      <c r="B3093" t="s">
        <v>1101</v>
      </c>
      <c r="C3093" t="s">
        <v>96</v>
      </c>
      <c r="D3093" t="s">
        <v>2278</v>
      </c>
      <c r="E3093" t="s">
        <v>1886</v>
      </c>
      <c r="F3093">
        <v>2885</v>
      </c>
    </row>
    <row r="3094" spans="1:6" x14ac:dyDescent="0.25">
      <c r="A3094" t="s">
        <v>5329</v>
      </c>
      <c r="B3094" t="s">
        <v>1101</v>
      </c>
      <c r="C3094" t="s">
        <v>96</v>
      </c>
      <c r="D3094" t="s">
        <v>2148</v>
      </c>
      <c r="E3094" t="s">
        <v>1871</v>
      </c>
      <c r="F3094">
        <v>2678</v>
      </c>
    </row>
    <row r="3095" spans="1:6" x14ac:dyDescent="0.25">
      <c r="A3095" t="s">
        <v>5330</v>
      </c>
      <c r="B3095" t="s">
        <v>1101</v>
      </c>
      <c r="C3095" t="s">
        <v>96</v>
      </c>
      <c r="D3095" t="s">
        <v>3142</v>
      </c>
      <c r="E3095" t="s">
        <v>1886</v>
      </c>
      <c r="F3095">
        <v>30736</v>
      </c>
    </row>
    <row r="3096" spans="1:6" x14ac:dyDescent="0.25">
      <c r="A3096" t="s">
        <v>5331</v>
      </c>
      <c r="B3096" t="s">
        <v>1101</v>
      </c>
      <c r="C3096" t="s">
        <v>96</v>
      </c>
      <c r="D3096" t="s">
        <v>3076</v>
      </c>
      <c r="E3096" t="s">
        <v>1871</v>
      </c>
      <c r="F3096">
        <v>29465</v>
      </c>
    </row>
    <row r="3097" spans="1:6" x14ac:dyDescent="0.25">
      <c r="A3097" t="s">
        <v>5332</v>
      </c>
      <c r="B3097" t="s">
        <v>1104</v>
      </c>
      <c r="C3097" t="s">
        <v>73</v>
      </c>
      <c r="D3097" t="s">
        <v>2812</v>
      </c>
      <c r="E3097" t="s">
        <v>1871</v>
      </c>
      <c r="F3097">
        <v>24467</v>
      </c>
    </row>
    <row r="3098" spans="1:6" x14ac:dyDescent="0.25">
      <c r="A3098" t="s">
        <v>5333</v>
      </c>
      <c r="B3098" t="s">
        <v>1104</v>
      </c>
      <c r="C3098" t="s">
        <v>73</v>
      </c>
      <c r="D3098" t="s">
        <v>3860</v>
      </c>
      <c r="E3098" t="s">
        <v>1915</v>
      </c>
      <c r="F3098">
        <v>72375</v>
      </c>
    </row>
    <row r="3099" spans="1:6" x14ac:dyDescent="0.25">
      <c r="A3099" t="s">
        <v>5334</v>
      </c>
      <c r="B3099" t="s">
        <v>1104</v>
      </c>
      <c r="C3099" t="s">
        <v>73</v>
      </c>
      <c r="D3099" t="s">
        <v>1998</v>
      </c>
      <c r="E3099" t="s">
        <v>1876</v>
      </c>
      <c r="F3099">
        <v>23575</v>
      </c>
    </row>
    <row r="3100" spans="1:6" x14ac:dyDescent="0.25">
      <c r="A3100" t="s">
        <v>5335</v>
      </c>
      <c r="B3100" t="s">
        <v>1104</v>
      </c>
      <c r="C3100" t="s">
        <v>73</v>
      </c>
      <c r="D3100" t="s">
        <v>2048</v>
      </c>
      <c r="E3100" t="s">
        <v>1915</v>
      </c>
      <c r="F3100">
        <v>30078</v>
      </c>
    </row>
    <row r="3101" spans="1:6" x14ac:dyDescent="0.25">
      <c r="A3101" t="s">
        <v>5336</v>
      </c>
      <c r="B3101" t="s">
        <v>1104</v>
      </c>
      <c r="C3101" t="s">
        <v>73</v>
      </c>
      <c r="D3101" t="s">
        <v>2661</v>
      </c>
      <c r="E3101" t="s">
        <v>1879</v>
      </c>
      <c r="F3101">
        <v>35721</v>
      </c>
    </row>
    <row r="3102" spans="1:6" x14ac:dyDescent="0.25">
      <c r="A3102" t="s">
        <v>5337</v>
      </c>
      <c r="B3102" t="s">
        <v>1104</v>
      </c>
      <c r="C3102" t="s">
        <v>73</v>
      </c>
      <c r="D3102" t="s">
        <v>2380</v>
      </c>
      <c r="E3102" t="s">
        <v>1879</v>
      </c>
      <c r="F3102">
        <v>33020</v>
      </c>
    </row>
    <row r="3103" spans="1:6" x14ac:dyDescent="0.25">
      <c r="A3103" t="s">
        <v>5338</v>
      </c>
      <c r="B3103" t="s">
        <v>1107</v>
      </c>
      <c r="C3103" t="s">
        <v>51</v>
      </c>
      <c r="D3103" t="s">
        <v>2601</v>
      </c>
      <c r="E3103" t="s">
        <v>1886</v>
      </c>
      <c r="F3103">
        <v>5422</v>
      </c>
    </row>
    <row r="3104" spans="1:6" x14ac:dyDescent="0.25">
      <c r="A3104" t="s">
        <v>5339</v>
      </c>
      <c r="B3104" t="s">
        <v>1107</v>
      </c>
      <c r="C3104" t="s">
        <v>51</v>
      </c>
      <c r="D3104" t="s">
        <v>2657</v>
      </c>
      <c r="E3104" t="s">
        <v>1871</v>
      </c>
      <c r="F3104">
        <v>1785</v>
      </c>
    </row>
    <row r="3105" spans="1:6" x14ac:dyDescent="0.25">
      <c r="A3105" t="s">
        <v>5340</v>
      </c>
      <c r="B3105" t="s">
        <v>1107</v>
      </c>
      <c r="C3105" t="s">
        <v>51</v>
      </c>
      <c r="D3105" t="s">
        <v>2012</v>
      </c>
      <c r="E3105" t="s">
        <v>1886</v>
      </c>
      <c r="F3105">
        <v>30079</v>
      </c>
    </row>
    <row r="3106" spans="1:6" x14ac:dyDescent="0.25">
      <c r="A3106" t="s">
        <v>5341</v>
      </c>
      <c r="B3106" t="s">
        <v>1107</v>
      </c>
      <c r="C3106" t="s">
        <v>51</v>
      </c>
      <c r="D3106" t="s">
        <v>2661</v>
      </c>
      <c r="E3106" t="s">
        <v>1879</v>
      </c>
      <c r="F3106">
        <v>14884</v>
      </c>
    </row>
    <row r="3107" spans="1:6" x14ac:dyDescent="0.25">
      <c r="A3107" t="s">
        <v>5342</v>
      </c>
      <c r="B3107" t="s">
        <v>1107</v>
      </c>
      <c r="C3107" t="s">
        <v>51</v>
      </c>
      <c r="D3107" t="s">
        <v>2066</v>
      </c>
      <c r="E3107" t="s">
        <v>1879</v>
      </c>
      <c r="F3107">
        <v>3984</v>
      </c>
    </row>
    <row r="3108" spans="1:6" x14ac:dyDescent="0.25">
      <c r="A3108" t="s">
        <v>5343</v>
      </c>
      <c r="B3108" t="s">
        <v>1107</v>
      </c>
      <c r="C3108" t="s">
        <v>51</v>
      </c>
      <c r="D3108" t="s">
        <v>1697</v>
      </c>
      <c r="E3108" t="s">
        <v>1915</v>
      </c>
      <c r="F3108">
        <v>12321</v>
      </c>
    </row>
    <row r="3109" spans="1:6" x14ac:dyDescent="0.25">
      <c r="A3109" t="s">
        <v>5344</v>
      </c>
      <c r="B3109" t="s">
        <v>1110</v>
      </c>
      <c r="C3109" t="s">
        <v>51</v>
      </c>
      <c r="D3109" t="s">
        <v>2224</v>
      </c>
      <c r="E3109" t="s">
        <v>1876</v>
      </c>
      <c r="F3109">
        <v>13144</v>
      </c>
    </row>
    <row r="3110" spans="1:6" x14ac:dyDescent="0.25">
      <c r="A3110" t="s">
        <v>5345</v>
      </c>
      <c r="B3110" t="s">
        <v>1110</v>
      </c>
      <c r="C3110" t="s">
        <v>51</v>
      </c>
      <c r="D3110" t="s">
        <v>1980</v>
      </c>
      <c r="E3110" t="s">
        <v>1915</v>
      </c>
      <c r="F3110">
        <v>30765</v>
      </c>
    </row>
    <row r="3111" spans="1:6" x14ac:dyDescent="0.25">
      <c r="A3111" t="s">
        <v>5346</v>
      </c>
      <c r="B3111" t="s">
        <v>1110</v>
      </c>
      <c r="C3111" t="s">
        <v>51</v>
      </c>
      <c r="D3111" t="s">
        <v>1984</v>
      </c>
      <c r="E3111" t="s">
        <v>1915</v>
      </c>
      <c r="F3111">
        <v>10527</v>
      </c>
    </row>
    <row r="3112" spans="1:6" x14ac:dyDescent="0.25">
      <c r="A3112" t="s">
        <v>5347</v>
      </c>
      <c r="B3112" t="s">
        <v>1110</v>
      </c>
      <c r="C3112" t="s">
        <v>51</v>
      </c>
      <c r="D3112" t="s">
        <v>2101</v>
      </c>
      <c r="E3112" t="s">
        <v>1871</v>
      </c>
      <c r="F3112">
        <v>3999</v>
      </c>
    </row>
    <row r="3113" spans="1:6" x14ac:dyDescent="0.25">
      <c r="A3113" t="s">
        <v>5348</v>
      </c>
      <c r="B3113" t="s">
        <v>1110</v>
      </c>
      <c r="C3113" t="s">
        <v>51</v>
      </c>
      <c r="D3113" t="s">
        <v>1890</v>
      </c>
      <c r="E3113" t="s">
        <v>1879</v>
      </c>
      <c r="F3113">
        <v>18363</v>
      </c>
    </row>
    <row r="3114" spans="1:6" x14ac:dyDescent="0.25">
      <c r="A3114" t="s">
        <v>5349</v>
      </c>
      <c r="B3114" t="s">
        <v>1110</v>
      </c>
      <c r="C3114" t="s">
        <v>51</v>
      </c>
      <c r="D3114" t="s">
        <v>2956</v>
      </c>
      <c r="E3114" t="s">
        <v>1879</v>
      </c>
      <c r="F3114">
        <v>3311</v>
      </c>
    </row>
    <row r="3115" spans="1:6" x14ac:dyDescent="0.25">
      <c r="A3115" t="s">
        <v>5350</v>
      </c>
      <c r="B3115" t="s">
        <v>1110</v>
      </c>
      <c r="C3115" t="s">
        <v>51</v>
      </c>
      <c r="D3115" t="s">
        <v>2846</v>
      </c>
      <c r="E3115" t="s">
        <v>1871</v>
      </c>
      <c r="F3115">
        <v>17991</v>
      </c>
    </row>
    <row r="3116" spans="1:6" x14ac:dyDescent="0.25">
      <c r="A3116" t="s">
        <v>5351</v>
      </c>
      <c r="B3116" t="s">
        <v>1110</v>
      </c>
      <c r="C3116" t="s">
        <v>51</v>
      </c>
      <c r="D3116" t="s">
        <v>2350</v>
      </c>
      <c r="E3116" t="s">
        <v>1915</v>
      </c>
      <c r="F3116">
        <v>5363</v>
      </c>
    </row>
    <row r="3117" spans="1:6" x14ac:dyDescent="0.25">
      <c r="A3117" t="s">
        <v>5352</v>
      </c>
      <c r="B3117" t="s">
        <v>1112</v>
      </c>
      <c r="C3117" t="s">
        <v>51</v>
      </c>
      <c r="D3117" t="s">
        <v>2088</v>
      </c>
      <c r="E3117" t="s">
        <v>1915</v>
      </c>
      <c r="F3117">
        <v>41942</v>
      </c>
    </row>
    <row r="3118" spans="1:6" x14ac:dyDescent="0.25">
      <c r="A3118" t="s">
        <v>5353</v>
      </c>
      <c r="B3118" t="s">
        <v>1112</v>
      </c>
      <c r="C3118" t="s">
        <v>51</v>
      </c>
      <c r="D3118" t="s">
        <v>2399</v>
      </c>
      <c r="E3118" t="s">
        <v>1879</v>
      </c>
      <c r="F3118">
        <v>23628</v>
      </c>
    </row>
    <row r="3119" spans="1:6" x14ac:dyDescent="0.25">
      <c r="A3119" t="s">
        <v>5354</v>
      </c>
      <c r="B3119" t="s">
        <v>1112</v>
      </c>
      <c r="C3119" t="s">
        <v>51</v>
      </c>
      <c r="D3119" t="s">
        <v>2409</v>
      </c>
      <c r="E3119" t="s">
        <v>1915</v>
      </c>
      <c r="F3119">
        <v>46580</v>
      </c>
    </row>
    <row r="3120" spans="1:6" x14ac:dyDescent="0.25">
      <c r="A3120" t="s">
        <v>5355</v>
      </c>
      <c r="B3120" t="s">
        <v>1112</v>
      </c>
      <c r="C3120" t="s">
        <v>51</v>
      </c>
      <c r="D3120" t="s">
        <v>2382</v>
      </c>
      <c r="E3120" t="s">
        <v>1886</v>
      </c>
      <c r="F3120">
        <v>13736</v>
      </c>
    </row>
    <row r="3121" spans="1:6" x14ac:dyDescent="0.25">
      <c r="A3121" t="s">
        <v>5356</v>
      </c>
      <c r="B3121" t="s">
        <v>1112</v>
      </c>
      <c r="C3121" t="s">
        <v>51</v>
      </c>
      <c r="D3121" t="s">
        <v>2169</v>
      </c>
      <c r="E3121" t="s">
        <v>1871</v>
      </c>
      <c r="F3121">
        <v>2764</v>
      </c>
    </row>
    <row r="3122" spans="1:6" x14ac:dyDescent="0.25">
      <c r="A3122" t="s">
        <v>5357</v>
      </c>
      <c r="B3122" t="s">
        <v>1112</v>
      </c>
      <c r="C3122" t="s">
        <v>51</v>
      </c>
      <c r="D3122" t="s">
        <v>1908</v>
      </c>
      <c r="E3122" t="s">
        <v>1879</v>
      </c>
      <c r="F3122">
        <v>26157</v>
      </c>
    </row>
    <row r="3123" spans="1:6" x14ac:dyDescent="0.25">
      <c r="A3123" t="s">
        <v>5358</v>
      </c>
      <c r="B3123" t="s">
        <v>1112</v>
      </c>
      <c r="C3123" t="s">
        <v>51</v>
      </c>
      <c r="D3123" t="s">
        <v>2357</v>
      </c>
      <c r="E3123" t="s">
        <v>1915</v>
      </c>
      <c r="F3123">
        <v>40929</v>
      </c>
    </row>
    <row r="3124" spans="1:6" x14ac:dyDescent="0.25">
      <c r="A3124" t="s">
        <v>5359</v>
      </c>
      <c r="B3124" t="s">
        <v>1112</v>
      </c>
      <c r="C3124" t="s">
        <v>51</v>
      </c>
      <c r="D3124" t="s">
        <v>2333</v>
      </c>
      <c r="E3124" t="s">
        <v>1915</v>
      </c>
      <c r="F3124">
        <v>15600</v>
      </c>
    </row>
    <row r="3125" spans="1:6" x14ac:dyDescent="0.25">
      <c r="A3125" t="s">
        <v>5360</v>
      </c>
      <c r="B3125" t="s">
        <v>1112</v>
      </c>
      <c r="C3125" t="s">
        <v>51</v>
      </c>
      <c r="D3125" t="s">
        <v>2053</v>
      </c>
      <c r="E3125" t="s">
        <v>1915</v>
      </c>
      <c r="F3125">
        <v>12960</v>
      </c>
    </row>
    <row r="3126" spans="1:6" x14ac:dyDescent="0.25">
      <c r="A3126" t="s">
        <v>5361</v>
      </c>
      <c r="B3126" t="s">
        <v>1112</v>
      </c>
      <c r="C3126" t="s">
        <v>51</v>
      </c>
      <c r="D3126" t="s">
        <v>2846</v>
      </c>
      <c r="E3126" t="s">
        <v>1915</v>
      </c>
      <c r="F3126">
        <v>42529</v>
      </c>
    </row>
    <row r="3127" spans="1:6" x14ac:dyDescent="0.25">
      <c r="A3127" t="s">
        <v>5362</v>
      </c>
      <c r="B3127" t="s">
        <v>1112</v>
      </c>
      <c r="C3127" t="s">
        <v>51</v>
      </c>
      <c r="D3127" t="s">
        <v>2507</v>
      </c>
      <c r="E3127" t="s">
        <v>1915</v>
      </c>
      <c r="F3127">
        <v>16803</v>
      </c>
    </row>
    <row r="3128" spans="1:6" x14ac:dyDescent="0.25">
      <c r="A3128" t="s">
        <v>5363</v>
      </c>
      <c r="B3128" t="s">
        <v>1115</v>
      </c>
      <c r="C3128" t="s">
        <v>96</v>
      </c>
      <c r="D3128" t="s">
        <v>2738</v>
      </c>
      <c r="E3128" t="s">
        <v>1915</v>
      </c>
      <c r="F3128">
        <v>7167</v>
      </c>
    </row>
    <row r="3129" spans="1:6" x14ac:dyDescent="0.25">
      <c r="A3129" t="s">
        <v>5364</v>
      </c>
      <c r="B3129" t="s">
        <v>1115</v>
      </c>
      <c r="C3129" t="s">
        <v>96</v>
      </c>
      <c r="D3129" t="s">
        <v>2590</v>
      </c>
      <c r="E3129" t="s">
        <v>1879</v>
      </c>
      <c r="F3129">
        <v>10428</v>
      </c>
    </row>
    <row r="3130" spans="1:6" x14ac:dyDescent="0.25">
      <c r="A3130" t="s">
        <v>5365</v>
      </c>
      <c r="B3130" t="s">
        <v>1115</v>
      </c>
      <c r="C3130" t="s">
        <v>96</v>
      </c>
      <c r="D3130" t="s">
        <v>2032</v>
      </c>
      <c r="E3130" t="s">
        <v>1876</v>
      </c>
      <c r="F3130">
        <v>9626</v>
      </c>
    </row>
    <row r="3131" spans="1:6" x14ac:dyDescent="0.25">
      <c r="A3131" t="s">
        <v>5366</v>
      </c>
      <c r="B3131" t="s">
        <v>1115</v>
      </c>
      <c r="C3131" t="s">
        <v>96</v>
      </c>
      <c r="D3131" t="s">
        <v>2713</v>
      </c>
      <c r="E3131" t="s">
        <v>1879</v>
      </c>
      <c r="F3131">
        <v>2964</v>
      </c>
    </row>
    <row r="3132" spans="1:6" x14ac:dyDescent="0.25">
      <c r="A3132" t="s">
        <v>5367</v>
      </c>
      <c r="B3132" t="s">
        <v>1115</v>
      </c>
      <c r="C3132" t="s">
        <v>96</v>
      </c>
      <c r="D3132" t="s">
        <v>2425</v>
      </c>
      <c r="E3132" t="s">
        <v>1915</v>
      </c>
      <c r="F3132">
        <v>4529</v>
      </c>
    </row>
    <row r="3133" spans="1:6" x14ac:dyDescent="0.25">
      <c r="A3133" t="s">
        <v>5368</v>
      </c>
      <c r="B3133" t="s">
        <v>1115</v>
      </c>
      <c r="C3133" t="s">
        <v>96</v>
      </c>
      <c r="D3133" t="s">
        <v>2059</v>
      </c>
      <c r="E3133" t="s">
        <v>1915</v>
      </c>
      <c r="F3133">
        <v>10945</v>
      </c>
    </row>
    <row r="3134" spans="1:6" x14ac:dyDescent="0.25">
      <c r="A3134" t="s">
        <v>5369</v>
      </c>
      <c r="B3134" t="s">
        <v>1115</v>
      </c>
      <c r="C3134" t="s">
        <v>96</v>
      </c>
      <c r="D3134" t="s">
        <v>2645</v>
      </c>
      <c r="E3134" t="s">
        <v>1876</v>
      </c>
      <c r="F3134">
        <v>6256</v>
      </c>
    </row>
    <row r="3135" spans="1:6" x14ac:dyDescent="0.25">
      <c r="A3135" t="s">
        <v>5370</v>
      </c>
      <c r="B3135" t="s">
        <v>1115</v>
      </c>
      <c r="C3135" t="s">
        <v>96</v>
      </c>
      <c r="D3135" t="s">
        <v>2024</v>
      </c>
      <c r="E3135" t="s">
        <v>1876</v>
      </c>
      <c r="F3135">
        <v>903</v>
      </c>
    </row>
    <row r="3136" spans="1:6" x14ac:dyDescent="0.25">
      <c r="A3136" t="s">
        <v>5371</v>
      </c>
      <c r="B3136" t="s">
        <v>1115</v>
      </c>
      <c r="C3136" t="s">
        <v>96</v>
      </c>
      <c r="D3136" t="s">
        <v>2624</v>
      </c>
      <c r="E3136" t="s">
        <v>1871</v>
      </c>
      <c r="F3136">
        <v>1612</v>
      </c>
    </row>
    <row r="3137" spans="1:6" x14ac:dyDescent="0.25">
      <c r="A3137" t="s">
        <v>5372</v>
      </c>
      <c r="B3137" t="s">
        <v>1118</v>
      </c>
      <c r="C3137" t="s">
        <v>146</v>
      </c>
      <c r="D3137" t="s">
        <v>3119</v>
      </c>
      <c r="E3137" t="s">
        <v>1879</v>
      </c>
      <c r="F3137">
        <v>9555</v>
      </c>
    </row>
    <row r="3138" spans="1:6" x14ac:dyDescent="0.25">
      <c r="A3138" t="s">
        <v>5373</v>
      </c>
      <c r="B3138" t="s">
        <v>1118</v>
      </c>
      <c r="C3138" t="s">
        <v>146</v>
      </c>
      <c r="D3138" t="s">
        <v>2525</v>
      </c>
      <c r="E3138" t="s">
        <v>1886</v>
      </c>
      <c r="F3138">
        <v>8109</v>
      </c>
    </row>
    <row r="3139" spans="1:6" x14ac:dyDescent="0.25">
      <c r="A3139" t="s">
        <v>5374</v>
      </c>
      <c r="B3139" t="s">
        <v>1118</v>
      </c>
      <c r="C3139" t="s">
        <v>146</v>
      </c>
      <c r="D3139" t="s">
        <v>2779</v>
      </c>
      <c r="E3139" t="s">
        <v>1915</v>
      </c>
      <c r="F3139">
        <v>12251</v>
      </c>
    </row>
    <row r="3140" spans="1:6" x14ac:dyDescent="0.25">
      <c r="A3140" t="s">
        <v>5375</v>
      </c>
      <c r="B3140" t="s">
        <v>1118</v>
      </c>
      <c r="C3140" t="s">
        <v>146</v>
      </c>
      <c r="D3140" t="s">
        <v>3026</v>
      </c>
      <c r="E3140" t="s">
        <v>1879</v>
      </c>
      <c r="F3140">
        <v>2448</v>
      </c>
    </row>
    <row r="3141" spans="1:6" x14ac:dyDescent="0.25">
      <c r="A3141" t="s">
        <v>5376</v>
      </c>
      <c r="B3141" t="s">
        <v>1118</v>
      </c>
      <c r="C3141" t="s">
        <v>146</v>
      </c>
      <c r="D3141" t="s">
        <v>1951</v>
      </c>
      <c r="E3141" t="s">
        <v>1915</v>
      </c>
      <c r="F3141">
        <v>12575</v>
      </c>
    </row>
    <row r="3142" spans="1:6" x14ac:dyDescent="0.25">
      <c r="A3142" t="s">
        <v>5377</v>
      </c>
      <c r="B3142" t="s">
        <v>1118</v>
      </c>
      <c r="C3142" t="s">
        <v>146</v>
      </c>
      <c r="D3142" t="s">
        <v>2747</v>
      </c>
      <c r="E3142" t="s">
        <v>1879</v>
      </c>
      <c r="F3142">
        <v>11096</v>
      </c>
    </row>
    <row r="3143" spans="1:6" x14ac:dyDescent="0.25">
      <c r="A3143" t="s">
        <v>5378</v>
      </c>
      <c r="B3143" t="s">
        <v>1118</v>
      </c>
      <c r="C3143" t="s">
        <v>146</v>
      </c>
      <c r="D3143" t="s">
        <v>1931</v>
      </c>
      <c r="E3143" t="s">
        <v>1871</v>
      </c>
      <c r="F3143">
        <v>14235</v>
      </c>
    </row>
    <row r="3144" spans="1:6" x14ac:dyDescent="0.25">
      <c r="A3144" t="s">
        <v>5379</v>
      </c>
      <c r="B3144" t="s">
        <v>1118</v>
      </c>
      <c r="C3144" t="s">
        <v>146</v>
      </c>
      <c r="D3144" t="s">
        <v>2034</v>
      </c>
      <c r="E3144" t="s">
        <v>1915</v>
      </c>
      <c r="F3144">
        <v>1309</v>
      </c>
    </row>
    <row r="3145" spans="1:6" x14ac:dyDescent="0.25">
      <c r="A3145" t="s">
        <v>5380</v>
      </c>
      <c r="B3145" t="s">
        <v>1118</v>
      </c>
      <c r="C3145" t="s">
        <v>146</v>
      </c>
      <c r="D3145" t="s">
        <v>2137</v>
      </c>
      <c r="E3145" t="s">
        <v>1886</v>
      </c>
      <c r="F3145">
        <v>27045</v>
      </c>
    </row>
    <row r="3146" spans="1:6" x14ac:dyDescent="0.25">
      <c r="A3146" t="s">
        <v>5381</v>
      </c>
      <c r="B3146" t="s">
        <v>1118</v>
      </c>
      <c r="C3146" t="s">
        <v>146</v>
      </c>
      <c r="D3146" t="s">
        <v>1964</v>
      </c>
      <c r="E3146" t="s">
        <v>1915</v>
      </c>
      <c r="F3146">
        <v>29207</v>
      </c>
    </row>
    <row r="3147" spans="1:6" x14ac:dyDescent="0.25">
      <c r="A3147" t="s">
        <v>5382</v>
      </c>
      <c r="B3147" t="s">
        <v>1118</v>
      </c>
      <c r="C3147" t="s">
        <v>146</v>
      </c>
      <c r="D3147" t="s">
        <v>2139</v>
      </c>
      <c r="E3147" t="s">
        <v>1879</v>
      </c>
      <c r="F3147">
        <v>6418</v>
      </c>
    </row>
    <row r="3148" spans="1:6" x14ac:dyDescent="0.25">
      <c r="A3148" t="s">
        <v>5383</v>
      </c>
      <c r="B3148" t="s">
        <v>1121</v>
      </c>
      <c r="C3148" t="s">
        <v>73</v>
      </c>
      <c r="D3148" t="s">
        <v>1982</v>
      </c>
      <c r="E3148" t="s">
        <v>1876</v>
      </c>
      <c r="F3148">
        <v>28363</v>
      </c>
    </row>
    <row r="3149" spans="1:6" x14ac:dyDescent="0.25">
      <c r="A3149" t="s">
        <v>5384</v>
      </c>
      <c r="B3149" t="s">
        <v>1121</v>
      </c>
      <c r="C3149" t="s">
        <v>73</v>
      </c>
      <c r="D3149" t="s">
        <v>2666</v>
      </c>
      <c r="E3149" t="s">
        <v>1915</v>
      </c>
      <c r="F3149">
        <v>44153</v>
      </c>
    </row>
    <row r="3150" spans="1:6" x14ac:dyDescent="0.25">
      <c r="A3150" t="s">
        <v>5385</v>
      </c>
      <c r="B3150" t="s">
        <v>1121</v>
      </c>
      <c r="C3150" t="s">
        <v>73</v>
      </c>
      <c r="D3150" t="s">
        <v>1973</v>
      </c>
      <c r="E3150" t="s">
        <v>1886</v>
      </c>
      <c r="F3150">
        <v>21334</v>
      </c>
    </row>
    <row r="3151" spans="1:6" x14ac:dyDescent="0.25">
      <c r="A3151" t="s">
        <v>5386</v>
      </c>
      <c r="B3151" t="s">
        <v>1121</v>
      </c>
      <c r="C3151" t="s">
        <v>73</v>
      </c>
      <c r="D3151" t="s">
        <v>2502</v>
      </c>
      <c r="E3151" t="s">
        <v>1879</v>
      </c>
      <c r="F3151">
        <v>17879</v>
      </c>
    </row>
    <row r="3152" spans="1:6" x14ac:dyDescent="0.25">
      <c r="A3152" t="s">
        <v>5387</v>
      </c>
      <c r="B3152" t="s">
        <v>1121</v>
      </c>
      <c r="C3152" t="s">
        <v>73</v>
      </c>
      <c r="D3152" t="s">
        <v>2699</v>
      </c>
      <c r="E3152" t="s">
        <v>1879</v>
      </c>
      <c r="F3152">
        <v>30319</v>
      </c>
    </row>
    <row r="3153" spans="1:6" x14ac:dyDescent="0.25">
      <c r="A3153" t="s">
        <v>5388</v>
      </c>
      <c r="B3153" t="s">
        <v>1121</v>
      </c>
      <c r="C3153" t="s">
        <v>73</v>
      </c>
      <c r="D3153" t="s">
        <v>2546</v>
      </c>
      <c r="E3153" t="s">
        <v>1915</v>
      </c>
      <c r="F3153">
        <v>36073</v>
      </c>
    </row>
    <row r="3154" spans="1:6" x14ac:dyDescent="0.25">
      <c r="A3154" t="s">
        <v>5389</v>
      </c>
      <c r="B3154" t="s">
        <v>1121</v>
      </c>
      <c r="C3154" t="s">
        <v>73</v>
      </c>
      <c r="D3154" t="s">
        <v>1906</v>
      </c>
      <c r="E3154" t="s">
        <v>1886</v>
      </c>
      <c r="F3154">
        <v>15594</v>
      </c>
    </row>
    <row r="3155" spans="1:6" x14ac:dyDescent="0.25">
      <c r="A3155" t="s">
        <v>5390</v>
      </c>
      <c r="B3155" t="s">
        <v>1121</v>
      </c>
      <c r="C3155" t="s">
        <v>73</v>
      </c>
      <c r="D3155" t="s">
        <v>1955</v>
      </c>
      <c r="E3155" t="s">
        <v>1871</v>
      </c>
      <c r="F3155">
        <v>10205</v>
      </c>
    </row>
    <row r="3156" spans="1:6" x14ac:dyDescent="0.25">
      <c r="A3156" t="s">
        <v>5391</v>
      </c>
      <c r="B3156" t="s">
        <v>1121</v>
      </c>
      <c r="C3156" t="s">
        <v>73</v>
      </c>
      <c r="D3156" t="s">
        <v>2857</v>
      </c>
      <c r="E3156" t="s">
        <v>1876</v>
      </c>
      <c r="F3156">
        <v>20312</v>
      </c>
    </row>
    <row r="3157" spans="1:6" x14ac:dyDescent="0.25">
      <c r="A3157" t="s">
        <v>5392</v>
      </c>
      <c r="B3157" t="s">
        <v>1121</v>
      </c>
      <c r="C3157" t="s">
        <v>73</v>
      </c>
      <c r="D3157" t="s">
        <v>2030</v>
      </c>
      <c r="E3157" t="s">
        <v>1915</v>
      </c>
      <c r="F3157">
        <v>36421</v>
      </c>
    </row>
    <row r="3158" spans="1:6" x14ac:dyDescent="0.25">
      <c r="A3158" t="s">
        <v>5393</v>
      </c>
      <c r="B3158" t="s">
        <v>1121</v>
      </c>
      <c r="C3158" t="s">
        <v>73</v>
      </c>
      <c r="D3158" t="s">
        <v>2169</v>
      </c>
      <c r="E3158" t="s">
        <v>1871</v>
      </c>
      <c r="F3158">
        <v>26155</v>
      </c>
    </row>
    <row r="3159" spans="1:6" x14ac:dyDescent="0.25">
      <c r="A3159" t="s">
        <v>5394</v>
      </c>
      <c r="B3159" t="s">
        <v>1124</v>
      </c>
      <c r="C3159" t="s">
        <v>96</v>
      </c>
      <c r="D3159" t="s">
        <v>2610</v>
      </c>
      <c r="E3159" t="s">
        <v>1879</v>
      </c>
      <c r="F3159">
        <v>14933</v>
      </c>
    </row>
    <row r="3160" spans="1:6" x14ac:dyDescent="0.25">
      <c r="A3160" t="s">
        <v>5395</v>
      </c>
      <c r="B3160" t="s">
        <v>1124</v>
      </c>
      <c r="C3160" t="s">
        <v>96</v>
      </c>
      <c r="D3160" t="s">
        <v>1937</v>
      </c>
      <c r="E3160" t="s">
        <v>1879</v>
      </c>
      <c r="F3160">
        <v>20259</v>
      </c>
    </row>
    <row r="3161" spans="1:6" x14ac:dyDescent="0.25">
      <c r="A3161" t="s">
        <v>5396</v>
      </c>
      <c r="B3161" t="s">
        <v>1124</v>
      </c>
      <c r="C3161" t="s">
        <v>96</v>
      </c>
      <c r="D3161" t="s">
        <v>2143</v>
      </c>
      <c r="E3161" t="s">
        <v>1876</v>
      </c>
      <c r="F3161">
        <v>23567</v>
      </c>
    </row>
    <row r="3162" spans="1:6" x14ac:dyDescent="0.25">
      <c r="A3162" t="s">
        <v>5397</v>
      </c>
      <c r="B3162" t="s">
        <v>1124</v>
      </c>
      <c r="C3162" t="s">
        <v>96</v>
      </c>
      <c r="D3162" t="s">
        <v>1990</v>
      </c>
      <c r="E3162" t="s">
        <v>1876</v>
      </c>
      <c r="F3162">
        <v>1750</v>
      </c>
    </row>
    <row r="3163" spans="1:6" x14ac:dyDescent="0.25">
      <c r="A3163" t="s">
        <v>5398</v>
      </c>
      <c r="B3163" t="s">
        <v>1124</v>
      </c>
      <c r="C3163" t="s">
        <v>96</v>
      </c>
      <c r="D3163" t="s">
        <v>2111</v>
      </c>
      <c r="E3163" t="s">
        <v>1886</v>
      </c>
      <c r="F3163">
        <v>7226</v>
      </c>
    </row>
    <row r="3164" spans="1:6" x14ac:dyDescent="0.25">
      <c r="A3164" t="s">
        <v>5399</v>
      </c>
      <c r="B3164" t="s">
        <v>1124</v>
      </c>
      <c r="C3164" t="s">
        <v>96</v>
      </c>
      <c r="D3164" t="s">
        <v>1978</v>
      </c>
      <c r="E3164" t="s">
        <v>1886</v>
      </c>
      <c r="F3164">
        <v>21969</v>
      </c>
    </row>
    <row r="3165" spans="1:6" x14ac:dyDescent="0.25">
      <c r="A3165" t="s">
        <v>5400</v>
      </c>
      <c r="B3165" t="s">
        <v>1124</v>
      </c>
      <c r="C3165" t="s">
        <v>96</v>
      </c>
      <c r="D3165" t="s">
        <v>2333</v>
      </c>
      <c r="E3165" t="s">
        <v>1915</v>
      </c>
      <c r="F3165">
        <v>12065</v>
      </c>
    </row>
    <row r="3166" spans="1:6" x14ac:dyDescent="0.25">
      <c r="A3166" t="s">
        <v>5401</v>
      </c>
      <c r="B3166" t="s">
        <v>1124</v>
      </c>
      <c r="C3166" t="s">
        <v>96</v>
      </c>
      <c r="D3166" t="s">
        <v>2126</v>
      </c>
      <c r="E3166" t="s">
        <v>1915</v>
      </c>
      <c r="F3166">
        <v>35368</v>
      </c>
    </row>
    <row r="3167" spans="1:6" x14ac:dyDescent="0.25">
      <c r="A3167" t="s">
        <v>5402</v>
      </c>
      <c r="B3167" t="s">
        <v>1127</v>
      </c>
      <c r="C3167" t="s">
        <v>51</v>
      </c>
      <c r="D3167" t="s">
        <v>1875</v>
      </c>
      <c r="E3167" t="s">
        <v>1886</v>
      </c>
      <c r="F3167">
        <v>20854</v>
      </c>
    </row>
    <row r="3168" spans="1:6" x14ac:dyDescent="0.25">
      <c r="A3168" t="s">
        <v>5403</v>
      </c>
      <c r="B3168" t="s">
        <v>1127</v>
      </c>
      <c r="C3168" t="s">
        <v>51</v>
      </c>
      <c r="D3168" t="s">
        <v>2612</v>
      </c>
      <c r="E3168" t="s">
        <v>1871</v>
      </c>
      <c r="F3168">
        <v>14904</v>
      </c>
    </row>
    <row r="3169" spans="1:6" x14ac:dyDescent="0.25">
      <c r="A3169" t="s">
        <v>5404</v>
      </c>
      <c r="B3169" t="s">
        <v>1127</v>
      </c>
      <c r="C3169" t="s">
        <v>51</v>
      </c>
      <c r="D3169" t="s">
        <v>3164</v>
      </c>
      <c r="E3169" t="s">
        <v>1886</v>
      </c>
      <c r="F3169">
        <v>22718</v>
      </c>
    </row>
    <row r="3170" spans="1:6" x14ac:dyDescent="0.25">
      <c r="A3170" t="s">
        <v>5405</v>
      </c>
      <c r="B3170" t="s">
        <v>1127</v>
      </c>
      <c r="C3170" t="s">
        <v>51</v>
      </c>
      <c r="D3170" t="s">
        <v>2074</v>
      </c>
      <c r="E3170" t="s">
        <v>1886</v>
      </c>
      <c r="F3170">
        <v>6115</v>
      </c>
    </row>
    <row r="3171" spans="1:6" x14ac:dyDescent="0.25">
      <c r="A3171" t="s">
        <v>5406</v>
      </c>
      <c r="B3171" t="s">
        <v>1127</v>
      </c>
      <c r="C3171" t="s">
        <v>51</v>
      </c>
      <c r="D3171" t="s">
        <v>2466</v>
      </c>
      <c r="E3171" t="s">
        <v>1871</v>
      </c>
      <c r="F3171">
        <v>23298</v>
      </c>
    </row>
    <row r="3172" spans="1:6" x14ac:dyDescent="0.25">
      <c r="A3172" t="s">
        <v>5407</v>
      </c>
      <c r="B3172" t="s">
        <v>1127</v>
      </c>
      <c r="C3172" t="s">
        <v>51</v>
      </c>
      <c r="D3172" t="s">
        <v>2331</v>
      </c>
      <c r="E3172" t="s">
        <v>1879</v>
      </c>
      <c r="F3172">
        <v>12404</v>
      </c>
    </row>
    <row r="3173" spans="1:6" x14ac:dyDescent="0.25">
      <c r="A3173" t="s">
        <v>5408</v>
      </c>
      <c r="B3173" t="s">
        <v>1127</v>
      </c>
      <c r="C3173" t="s">
        <v>51</v>
      </c>
      <c r="D3173" t="s">
        <v>1892</v>
      </c>
      <c r="E3173" t="s">
        <v>1915</v>
      </c>
      <c r="F3173">
        <v>38998</v>
      </c>
    </row>
    <row r="3174" spans="1:6" x14ac:dyDescent="0.25">
      <c r="A3174" t="s">
        <v>5409</v>
      </c>
      <c r="B3174" t="s">
        <v>1127</v>
      </c>
      <c r="C3174" t="s">
        <v>51</v>
      </c>
      <c r="D3174" t="s">
        <v>2119</v>
      </c>
      <c r="E3174" t="s">
        <v>1876</v>
      </c>
      <c r="F3174">
        <v>28648</v>
      </c>
    </row>
    <row r="3175" spans="1:6" x14ac:dyDescent="0.25">
      <c r="A3175" t="s">
        <v>5410</v>
      </c>
      <c r="B3175" t="s">
        <v>1127</v>
      </c>
      <c r="C3175" t="s">
        <v>51</v>
      </c>
      <c r="D3175" t="s">
        <v>2659</v>
      </c>
      <c r="E3175" t="s">
        <v>1871</v>
      </c>
      <c r="F3175">
        <v>4551</v>
      </c>
    </row>
    <row r="3176" spans="1:6" x14ac:dyDescent="0.25">
      <c r="A3176" t="s">
        <v>5411</v>
      </c>
      <c r="B3176" t="s">
        <v>1127</v>
      </c>
      <c r="C3176" t="s">
        <v>51</v>
      </c>
      <c r="D3176" t="s">
        <v>2457</v>
      </c>
      <c r="E3176" t="s">
        <v>1915</v>
      </c>
      <c r="F3176">
        <v>11199</v>
      </c>
    </row>
    <row r="3177" spans="1:6" x14ac:dyDescent="0.25">
      <c r="A3177" t="s">
        <v>5412</v>
      </c>
      <c r="B3177" t="s">
        <v>1127</v>
      </c>
      <c r="C3177" t="s">
        <v>51</v>
      </c>
      <c r="D3177" t="s">
        <v>2416</v>
      </c>
      <c r="E3177" t="s">
        <v>1915</v>
      </c>
      <c r="F3177">
        <v>43471</v>
      </c>
    </row>
    <row r="3178" spans="1:6" x14ac:dyDescent="0.25">
      <c r="A3178" t="s">
        <v>5413</v>
      </c>
      <c r="B3178" t="s">
        <v>1130</v>
      </c>
      <c r="C3178" t="s">
        <v>96</v>
      </c>
      <c r="D3178" t="s">
        <v>3785</v>
      </c>
      <c r="E3178" t="s">
        <v>1879</v>
      </c>
      <c r="F3178">
        <v>6581</v>
      </c>
    </row>
    <row r="3179" spans="1:6" x14ac:dyDescent="0.25">
      <c r="A3179" t="s">
        <v>5414</v>
      </c>
      <c r="B3179" t="s">
        <v>1130</v>
      </c>
      <c r="C3179" t="s">
        <v>96</v>
      </c>
      <c r="D3179" t="s">
        <v>2179</v>
      </c>
      <c r="E3179" t="s">
        <v>1915</v>
      </c>
      <c r="F3179">
        <v>7293</v>
      </c>
    </row>
    <row r="3180" spans="1:6" x14ac:dyDescent="0.25">
      <c r="A3180" t="s">
        <v>5415</v>
      </c>
      <c r="B3180" t="s">
        <v>1130</v>
      </c>
      <c r="C3180" t="s">
        <v>96</v>
      </c>
      <c r="D3180" t="s">
        <v>2326</v>
      </c>
      <c r="E3180" t="s">
        <v>1879</v>
      </c>
      <c r="F3180">
        <v>1496</v>
      </c>
    </row>
    <row r="3181" spans="1:6" x14ac:dyDescent="0.25">
      <c r="A3181" t="s">
        <v>5416</v>
      </c>
      <c r="B3181" t="s">
        <v>1130</v>
      </c>
      <c r="C3181" t="s">
        <v>96</v>
      </c>
      <c r="D3181" t="s">
        <v>3174</v>
      </c>
      <c r="E3181" t="s">
        <v>1879</v>
      </c>
      <c r="F3181">
        <v>8842</v>
      </c>
    </row>
    <row r="3182" spans="1:6" x14ac:dyDescent="0.25">
      <c r="A3182" t="s">
        <v>5417</v>
      </c>
      <c r="B3182" t="s">
        <v>1130</v>
      </c>
      <c r="C3182" t="s">
        <v>96</v>
      </c>
      <c r="D3182" t="s">
        <v>2111</v>
      </c>
      <c r="E3182" t="s">
        <v>1886</v>
      </c>
      <c r="F3182">
        <v>32600</v>
      </c>
    </row>
    <row r="3183" spans="1:6" x14ac:dyDescent="0.25">
      <c r="A3183" t="s">
        <v>5418</v>
      </c>
      <c r="B3183" t="s">
        <v>1130</v>
      </c>
      <c r="C3183" t="s">
        <v>96</v>
      </c>
      <c r="D3183" t="s">
        <v>2509</v>
      </c>
      <c r="E3183" t="s">
        <v>1886</v>
      </c>
      <c r="F3183">
        <v>1740</v>
      </c>
    </row>
    <row r="3184" spans="1:6" x14ac:dyDescent="0.25">
      <c r="A3184" t="s">
        <v>5419</v>
      </c>
      <c r="B3184" t="s">
        <v>1130</v>
      </c>
      <c r="C3184" t="s">
        <v>96</v>
      </c>
      <c r="D3184" t="s">
        <v>3860</v>
      </c>
      <c r="E3184" t="s">
        <v>1871</v>
      </c>
      <c r="F3184">
        <v>3198</v>
      </c>
    </row>
    <row r="3185" spans="1:6" x14ac:dyDescent="0.25">
      <c r="A3185" t="s">
        <v>5420</v>
      </c>
      <c r="B3185" t="s">
        <v>1130</v>
      </c>
      <c r="C3185" t="s">
        <v>96</v>
      </c>
      <c r="D3185" t="s">
        <v>1960</v>
      </c>
      <c r="E3185" t="s">
        <v>1871</v>
      </c>
      <c r="F3185">
        <v>6534</v>
      </c>
    </row>
    <row r="3186" spans="1:6" x14ac:dyDescent="0.25">
      <c r="A3186" t="s">
        <v>5421</v>
      </c>
      <c r="B3186" t="s">
        <v>1133</v>
      </c>
      <c r="C3186" t="s">
        <v>96</v>
      </c>
      <c r="D3186" t="s">
        <v>2450</v>
      </c>
      <c r="E3186" t="s">
        <v>1871</v>
      </c>
      <c r="F3186">
        <v>34943</v>
      </c>
    </row>
    <row r="3187" spans="1:6" x14ac:dyDescent="0.25">
      <c r="A3187" t="s">
        <v>5422</v>
      </c>
      <c r="B3187" t="s">
        <v>1133</v>
      </c>
      <c r="C3187" t="s">
        <v>96</v>
      </c>
      <c r="D3187" t="s">
        <v>2557</v>
      </c>
      <c r="E3187" t="s">
        <v>1871</v>
      </c>
      <c r="F3187">
        <v>25528</v>
      </c>
    </row>
    <row r="3188" spans="1:6" x14ac:dyDescent="0.25">
      <c r="A3188" t="s">
        <v>5423</v>
      </c>
      <c r="B3188" t="s">
        <v>1133</v>
      </c>
      <c r="C3188" t="s">
        <v>96</v>
      </c>
      <c r="D3188" t="s">
        <v>3252</v>
      </c>
      <c r="E3188" t="s">
        <v>1879</v>
      </c>
      <c r="F3188">
        <v>12208</v>
      </c>
    </row>
    <row r="3189" spans="1:6" x14ac:dyDescent="0.25">
      <c r="A3189" t="s">
        <v>5424</v>
      </c>
      <c r="B3189" t="s">
        <v>1133</v>
      </c>
      <c r="C3189" t="s">
        <v>96</v>
      </c>
      <c r="D3189" t="s">
        <v>3062</v>
      </c>
      <c r="E3189" t="s">
        <v>1879</v>
      </c>
      <c r="F3189">
        <v>20092</v>
      </c>
    </row>
    <row r="3190" spans="1:6" x14ac:dyDescent="0.25">
      <c r="A3190" t="s">
        <v>5425</v>
      </c>
      <c r="B3190" t="s">
        <v>1133</v>
      </c>
      <c r="C3190" t="s">
        <v>96</v>
      </c>
      <c r="D3190" t="s">
        <v>2040</v>
      </c>
      <c r="E3190" t="s">
        <v>1915</v>
      </c>
      <c r="F3190">
        <v>62014</v>
      </c>
    </row>
    <row r="3191" spans="1:6" x14ac:dyDescent="0.25">
      <c r="A3191" t="s">
        <v>5426</v>
      </c>
      <c r="B3191" t="s">
        <v>1133</v>
      </c>
      <c r="C3191" t="s">
        <v>96</v>
      </c>
      <c r="D3191" t="s">
        <v>2242</v>
      </c>
      <c r="E3191" t="s">
        <v>1915</v>
      </c>
      <c r="F3191">
        <v>3464</v>
      </c>
    </row>
    <row r="3192" spans="1:6" x14ac:dyDescent="0.25">
      <c r="A3192" t="s">
        <v>5427</v>
      </c>
      <c r="B3192" t="s">
        <v>1133</v>
      </c>
      <c r="C3192" t="s">
        <v>96</v>
      </c>
      <c r="D3192" t="s">
        <v>3248</v>
      </c>
      <c r="E3192" t="s">
        <v>1871</v>
      </c>
      <c r="F3192">
        <v>9862</v>
      </c>
    </row>
    <row r="3193" spans="1:6" x14ac:dyDescent="0.25">
      <c r="A3193" t="s">
        <v>5428</v>
      </c>
      <c r="B3193" t="s">
        <v>1136</v>
      </c>
      <c r="C3193" t="s">
        <v>73</v>
      </c>
      <c r="D3193" t="s">
        <v>2278</v>
      </c>
      <c r="E3193" t="s">
        <v>1915</v>
      </c>
      <c r="F3193">
        <v>7568</v>
      </c>
    </row>
    <row r="3194" spans="1:6" x14ac:dyDescent="0.25">
      <c r="A3194" t="s">
        <v>5429</v>
      </c>
      <c r="B3194" t="s">
        <v>1136</v>
      </c>
      <c r="C3194" t="s">
        <v>73</v>
      </c>
      <c r="D3194" t="s">
        <v>2221</v>
      </c>
      <c r="E3194" t="s">
        <v>1915</v>
      </c>
      <c r="F3194">
        <v>12250</v>
      </c>
    </row>
    <row r="3195" spans="1:6" x14ac:dyDescent="0.25">
      <c r="A3195" t="s">
        <v>5430</v>
      </c>
      <c r="B3195" t="s">
        <v>1136</v>
      </c>
      <c r="C3195" t="s">
        <v>73</v>
      </c>
      <c r="D3195" t="s">
        <v>2359</v>
      </c>
      <c r="E3195" t="s">
        <v>1886</v>
      </c>
      <c r="F3195">
        <v>14304</v>
      </c>
    </row>
    <row r="3196" spans="1:6" x14ac:dyDescent="0.25">
      <c r="A3196" t="s">
        <v>5431</v>
      </c>
      <c r="B3196" t="s">
        <v>1136</v>
      </c>
      <c r="C3196" t="s">
        <v>73</v>
      </c>
      <c r="D3196" t="s">
        <v>1937</v>
      </c>
      <c r="E3196" t="s">
        <v>1871</v>
      </c>
      <c r="F3196">
        <v>22293</v>
      </c>
    </row>
    <row r="3197" spans="1:6" x14ac:dyDescent="0.25">
      <c r="A3197" t="s">
        <v>5432</v>
      </c>
      <c r="B3197" t="s">
        <v>1136</v>
      </c>
      <c r="C3197" t="s">
        <v>73</v>
      </c>
      <c r="D3197" t="s">
        <v>2441</v>
      </c>
      <c r="E3197" t="s">
        <v>1915</v>
      </c>
      <c r="F3197">
        <v>12293</v>
      </c>
    </row>
    <row r="3198" spans="1:6" x14ac:dyDescent="0.25">
      <c r="A3198" t="s">
        <v>5433</v>
      </c>
      <c r="B3198" t="s">
        <v>1136</v>
      </c>
      <c r="C3198" t="s">
        <v>73</v>
      </c>
      <c r="D3198" t="s">
        <v>3115</v>
      </c>
      <c r="E3198" t="s">
        <v>1915</v>
      </c>
      <c r="F3198">
        <v>28532</v>
      </c>
    </row>
    <row r="3199" spans="1:6" x14ac:dyDescent="0.25">
      <c r="A3199" t="s">
        <v>5434</v>
      </c>
      <c r="B3199" t="s">
        <v>1136</v>
      </c>
      <c r="C3199" t="s">
        <v>73</v>
      </c>
      <c r="D3199" t="s">
        <v>1947</v>
      </c>
      <c r="E3199" t="s">
        <v>1915</v>
      </c>
      <c r="F3199">
        <v>24876</v>
      </c>
    </row>
    <row r="3200" spans="1:6" x14ac:dyDescent="0.25">
      <c r="A3200" t="s">
        <v>5435</v>
      </c>
      <c r="B3200" t="s">
        <v>1136</v>
      </c>
      <c r="C3200" t="s">
        <v>73</v>
      </c>
      <c r="D3200" t="s">
        <v>1941</v>
      </c>
      <c r="E3200" t="s">
        <v>1915</v>
      </c>
      <c r="F3200">
        <v>15156</v>
      </c>
    </row>
    <row r="3201" spans="1:6" x14ac:dyDescent="0.25">
      <c r="A3201" t="s">
        <v>5436</v>
      </c>
      <c r="B3201" t="s">
        <v>1139</v>
      </c>
      <c r="C3201" t="s">
        <v>87</v>
      </c>
      <c r="D3201" t="s">
        <v>2088</v>
      </c>
      <c r="E3201" t="s">
        <v>1871</v>
      </c>
      <c r="F3201">
        <v>19272</v>
      </c>
    </row>
    <row r="3202" spans="1:6" x14ac:dyDescent="0.25">
      <c r="A3202" t="s">
        <v>5437</v>
      </c>
      <c r="B3202" t="s">
        <v>1139</v>
      </c>
      <c r="C3202" t="s">
        <v>87</v>
      </c>
      <c r="D3202" t="s">
        <v>1939</v>
      </c>
      <c r="E3202" t="s">
        <v>1876</v>
      </c>
      <c r="F3202">
        <v>16764</v>
      </c>
    </row>
    <row r="3203" spans="1:6" x14ac:dyDescent="0.25">
      <c r="A3203" t="s">
        <v>5438</v>
      </c>
      <c r="B3203" t="s">
        <v>1139</v>
      </c>
      <c r="C3203" t="s">
        <v>87</v>
      </c>
      <c r="D3203" t="s">
        <v>2425</v>
      </c>
      <c r="E3203" t="s">
        <v>1915</v>
      </c>
      <c r="F3203">
        <v>15707</v>
      </c>
    </row>
    <row r="3204" spans="1:6" x14ac:dyDescent="0.25">
      <c r="A3204" t="s">
        <v>5439</v>
      </c>
      <c r="B3204" t="s">
        <v>1139</v>
      </c>
      <c r="C3204" t="s">
        <v>87</v>
      </c>
      <c r="D3204" t="s">
        <v>2234</v>
      </c>
      <c r="E3204" t="s">
        <v>1886</v>
      </c>
      <c r="F3204">
        <v>4345</v>
      </c>
    </row>
    <row r="3205" spans="1:6" x14ac:dyDescent="0.25">
      <c r="A3205" t="s">
        <v>5440</v>
      </c>
      <c r="B3205" t="s">
        <v>1139</v>
      </c>
      <c r="C3205" t="s">
        <v>87</v>
      </c>
      <c r="D3205" t="s">
        <v>1955</v>
      </c>
      <c r="E3205" t="s">
        <v>1879</v>
      </c>
      <c r="F3205">
        <v>2421</v>
      </c>
    </row>
    <row r="3206" spans="1:6" x14ac:dyDescent="0.25">
      <c r="A3206" t="s">
        <v>5441</v>
      </c>
      <c r="B3206" t="s">
        <v>1139</v>
      </c>
      <c r="C3206" t="s">
        <v>87</v>
      </c>
      <c r="D3206" t="s">
        <v>2099</v>
      </c>
      <c r="E3206" t="s">
        <v>1879</v>
      </c>
      <c r="F3206">
        <v>22689</v>
      </c>
    </row>
    <row r="3207" spans="1:6" x14ac:dyDescent="0.25">
      <c r="A3207" t="s">
        <v>5442</v>
      </c>
      <c r="B3207" t="s">
        <v>1139</v>
      </c>
      <c r="C3207" t="s">
        <v>87</v>
      </c>
      <c r="D3207" t="s">
        <v>2175</v>
      </c>
      <c r="E3207" t="s">
        <v>1915</v>
      </c>
      <c r="F3207">
        <v>51577</v>
      </c>
    </row>
    <row r="3208" spans="1:6" x14ac:dyDescent="0.25">
      <c r="A3208" t="s">
        <v>5443</v>
      </c>
      <c r="B3208" t="s">
        <v>1139</v>
      </c>
      <c r="C3208" t="s">
        <v>87</v>
      </c>
      <c r="D3208" t="s">
        <v>2107</v>
      </c>
      <c r="E3208" t="s">
        <v>1879</v>
      </c>
      <c r="F3208">
        <v>30676</v>
      </c>
    </row>
    <row r="3209" spans="1:6" x14ac:dyDescent="0.25">
      <c r="A3209" t="s">
        <v>5444</v>
      </c>
      <c r="B3209" t="s">
        <v>1139</v>
      </c>
      <c r="C3209" t="s">
        <v>87</v>
      </c>
      <c r="D3209" t="s">
        <v>2773</v>
      </c>
      <c r="E3209" t="s">
        <v>1886</v>
      </c>
      <c r="F3209">
        <v>21442</v>
      </c>
    </row>
    <row r="3210" spans="1:6" x14ac:dyDescent="0.25">
      <c r="A3210" t="s">
        <v>5445</v>
      </c>
      <c r="B3210" t="s">
        <v>1139</v>
      </c>
      <c r="C3210" t="s">
        <v>87</v>
      </c>
      <c r="D3210" t="s">
        <v>1931</v>
      </c>
      <c r="E3210" t="s">
        <v>1871</v>
      </c>
      <c r="F3210">
        <v>34167</v>
      </c>
    </row>
    <row r="3211" spans="1:6" x14ac:dyDescent="0.25">
      <c r="A3211" t="s">
        <v>5446</v>
      </c>
      <c r="B3211" t="s">
        <v>1142</v>
      </c>
      <c r="C3211" t="s">
        <v>51</v>
      </c>
      <c r="D3211" t="s">
        <v>1896</v>
      </c>
      <c r="E3211" t="s">
        <v>1871</v>
      </c>
      <c r="F3211">
        <v>16676</v>
      </c>
    </row>
    <row r="3212" spans="1:6" x14ac:dyDescent="0.25">
      <c r="A3212" t="s">
        <v>5447</v>
      </c>
      <c r="B3212" t="s">
        <v>1142</v>
      </c>
      <c r="C3212" t="s">
        <v>51</v>
      </c>
      <c r="D3212" t="s">
        <v>1962</v>
      </c>
      <c r="E3212" t="s">
        <v>1879</v>
      </c>
      <c r="F3212">
        <v>36647</v>
      </c>
    </row>
    <row r="3213" spans="1:6" x14ac:dyDescent="0.25">
      <c r="A3213" t="s">
        <v>5448</v>
      </c>
      <c r="B3213" t="s">
        <v>1142</v>
      </c>
      <c r="C3213" t="s">
        <v>51</v>
      </c>
      <c r="D3213" t="s">
        <v>2593</v>
      </c>
      <c r="E3213" t="s">
        <v>1879</v>
      </c>
      <c r="F3213">
        <v>9252</v>
      </c>
    </row>
    <row r="3214" spans="1:6" x14ac:dyDescent="0.25">
      <c r="A3214" t="s">
        <v>5449</v>
      </c>
      <c r="B3214" t="s">
        <v>1142</v>
      </c>
      <c r="C3214" t="s">
        <v>51</v>
      </c>
      <c r="D3214" t="s">
        <v>2829</v>
      </c>
      <c r="E3214" t="s">
        <v>1886</v>
      </c>
      <c r="F3214">
        <v>29180</v>
      </c>
    </row>
    <row r="3215" spans="1:6" x14ac:dyDescent="0.25">
      <c r="A3215" t="s">
        <v>5450</v>
      </c>
      <c r="B3215" t="s">
        <v>1142</v>
      </c>
      <c r="C3215" t="s">
        <v>51</v>
      </c>
      <c r="D3215" t="s">
        <v>2978</v>
      </c>
      <c r="E3215" t="s">
        <v>1886</v>
      </c>
      <c r="F3215">
        <v>33073</v>
      </c>
    </row>
    <row r="3216" spans="1:6" x14ac:dyDescent="0.25">
      <c r="A3216" t="s">
        <v>5451</v>
      </c>
      <c r="B3216" t="s">
        <v>1142</v>
      </c>
      <c r="C3216" t="s">
        <v>51</v>
      </c>
      <c r="D3216" t="s">
        <v>2515</v>
      </c>
      <c r="E3216" t="s">
        <v>1915</v>
      </c>
      <c r="F3216">
        <v>7701</v>
      </c>
    </row>
    <row r="3217" spans="1:6" x14ac:dyDescent="0.25">
      <c r="A3217" t="s">
        <v>5452</v>
      </c>
      <c r="B3217" t="s">
        <v>1142</v>
      </c>
      <c r="C3217" t="s">
        <v>51</v>
      </c>
      <c r="D3217" t="s">
        <v>2040</v>
      </c>
      <c r="E3217" t="s">
        <v>1871</v>
      </c>
      <c r="F3217">
        <v>12424</v>
      </c>
    </row>
    <row r="3218" spans="1:6" x14ac:dyDescent="0.25">
      <c r="A3218" t="s">
        <v>5453</v>
      </c>
      <c r="B3218" t="s">
        <v>1142</v>
      </c>
      <c r="C3218" t="s">
        <v>51</v>
      </c>
      <c r="D3218" t="s">
        <v>2322</v>
      </c>
      <c r="E3218" t="s">
        <v>1879</v>
      </c>
      <c r="F3218">
        <v>10053</v>
      </c>
    </row>
    <row r="3219" spans="1:6" x14ac:dyDescent="0.25">
      <c r="A3219" t="s">
        <v>5454</v>
      </c>
      <c r="B3219" t="s">
        <v>1142</v>
      </c>
      <c r="C3219" t="s">
        <v>51</v>
      </c>
      <c r="D3219" t="s">
        <v>2366</v>
      </c>
      <c r="E3219" t="s">
        <v>1876</v>
      </c>
      <c r="F3219">
        <v>25805</v>
      </c>
    </row>
    <row r="3220" spans="1:6" x14ac:dyDescent="0.25">
      <c r="A3220" t="s">
        <v>5455</v>
      </c>
      <c r="B3220" t="s">
        <v>1145</v>
      </c>
      <c r="C3220" t="s">
        <v>146</v>
      </c>
      <c r="D3220" t="s">
        <v>3710</v>
      </c>
      <c r="E3220" t="s">
        <v>1886</v>
      </c>
      <c r="F3220">
        <v>25811</v>
      </c>
    </row>
    <row r="3221" spans="1:6" x14ac:dyDescent="0.25">
      <c r="A3221" t="s">
        <v>5456</v>
      </c>
      <c r="B3221" t="s">
        <v>1145</v>
      </c>
      <c r="C3221" t="s">
        <v>146</v>
      </c>
      <c r="D3221" t="s">
        <v>1962</v>
      </c>
      <c r="E3221" t="s">
        <v>1886</v>
      </c>
      <c r="F3221">
        <v>22922</v>
      </c>
    </row>
    <row r="3222" spans="1:6" x14ac:dyDescent="0.25">
      <c r="A3222" t="s">
        <v>5457</v>
      </c>
      <c r="B3222" t="s">
        <v>1145</v>
      </c>
      <c r="C3222" t="s">
        <v>146</v>
      </c>
      <c r="D3222" t="s">
        <v>2498</v>
      </c>
      <c r="E3222" t="s">
        <v>1886</v>
      </c>
      <c r="F3222">
        <v>6359</v>
      </c>
    </row>
    <row r="3223" spans="1:6" x14ac:dyDescent="0.25">
      <c r="A3223" t="s">
        <v>5458</v>
      </c>
      <c r="B3223" t="s">
        <v>1145</v>
      </c>
      <c r="C3223" t="s">
        <v>146</v>
      </c>
      <c r="D3223" t="s">
        <v>2601</v>
      </c>
      <c r="E3223" t="s">
        <v>1915</v>
      </c>
      <c r="F3223">
        <v>51695</v>
      </c>
    </row>
    <row r="3224" spans="1:6" x14ac:dyDescent="0.25">
      <c r="A3224" t="s">
        <v>5459</v>
      </c>
      <c r="B3224" t="s">
        <v>1145</v>
      </c>
      <c r="C3224" t="s">
        <v>146</v>
      </c>
      <c r="D3224" t="s">
        <v>2794</v>
      </c>
      <c r="E3224" t="s">
        <v>1871</v>
      </c>
      <c r="F3224">
        <v>6042</v>
      </c>
    </row>
    <row r="3225" spans="1:6" x14ac:dyDescent="0.25">
      <c r="A3225" t="s">
        <v>5460</v>
      </c>
      <c r="B3225" t="s">
        <v>1145</v>
      </c>
      <c r="C3225" t="s">
        <v>146</v>
      </c>
      <c r="D3225" t="s">
        <v>2561</v>
      </c>
      <c r="E3225" t="s">
        <v>1915</v>
      </c>
      <c r="F3225">
        <v>41953</v>
      </c>
    </row>
    <row r="3226" spans="1:6" x14ac:dyDescent="0.25">
      <c r="A3226" t="s">
        <v>5461</v>
      </c>
      <c r="B3226" t="s">
        <v>1145</v>
      </c>
      <c r="C3226" t="s">
        <v>146</v>
      </c>
      <c r="D3226" t="s">
        <v>2273</v>
      </c>
      <c r="E3226" t="s">
        <v>1915</v>
      </c>
      <c r="F3226">
        <v>45160</v>
      </c>
    </row>
    <row r="3227" spans="1:6" x14ac:dyDescent="0.25">
      <c r="A3227" t="s">
        <v>5462</v>
      </c>
      <c r="B3227" t="s">
        <v>1145</v>
      </c>
      <c r="C3227" t="s">
        <v>146</v>
      </c>
      <c r="D3227" t="s">
        <v>2829</v>
      </c>
      <c r="E3227" t="s">
        <v>1915</v>
      </c>
      <c r="F3227">
        <v>12519</v>
      </c>
    </row>
    <row r="3228" spans="1:6" x14ac:dyDescent="0.25">
      <c r="A3228" t="s">
        <v>5463</v>
      </c>
      <c r="B3228" t="s">
        <v>1145</v>
      </c>
      <c r="C3228" t="s">
        <v>146</v>
      </c>
      <c r="D3228" t="s">
        <v>2341</v>
      </c>
      <c r="E3228" t="s">
        <v>1879</v>
      </c>
      <c r="F3228">
        <v>2720</v>
      </c>
    </row>
    <row r="3229" spans="1:6" x14ac:dyDescent="0.25">
      <c r="A3229" t="s">
        <v>5464</v>
      </c>
      <c r="B3229" t="s">
        <v>1145</v>
      </c>
      <c r="C3229" t="s">
        <v>146</v>
      </c>
      <c r="D3229" t="s">
        <v>2722</v>
      </c>
      <c r="E3229" t="s">
        <v>1886</v>
      </c>
      <c r="F3229">
        <v>3945</v>
      </c>
    </row>
    <row r="3230" spans="1:6" x14ac:dyDescent="0.25">
      <c r="A3230" t="s">
        <v>5465</v>
      </c>
      <c r="B3230" t="s">
        <v>1145</v>
      </c>
      <c r="C3230" t="s">
        <v>146</v>
      </c>
      <c r="D3230" t="s">
        <v>2175</v>
      </c>
      <c r="E3230" t="s">
        <v>1871</v>
      </c>
      <c r="F3230">
        <v>6364</v>
      </c>
    </row>
    <row r="3231" spans="1:6" x14ac:dyDescent="0.25">
      <c r="A3231" t="s">
        <v>5466</v>
      </c>
      <c r="B3231" t="s">
        <v>1148</v>
      </c>
      <c r="C3231" t="s">
        <v>146</v>
      </c>
      <c r="D3231" t="s">
        <v>1927</v>
      </c>
      <c r="E3231" t="s">
        <v>1879</v>
      </c>
      <c r="F3231">
        <v>27641</v>
      </c>
    </row>
    <row r="3232" spans="1:6" x14ac:dyDescent="0.25">
      <c r="A3232" t="s">
        <v>5467</v>
      </c>
      <c r="B3232" t="s">
        <v>1148</v>
      </c>
      <c r="C3232" t="s">
        <v>146</v>
      </c>
      <c r="D3232" t="s">
        <v>2693</v>
      </c>
      <c r="E3232" t="s">
        <v>1915</v>
      </c>
      <c r="F3232">
        <v>22538</v>
      </c>
    </row>
    <row r="3233" spans="1:6" x14ac:dyDescent="0.25">
      <c r="A3233" t="s">
        <v>5468</v>
      </c>
      <c r="B3233" t="s">
        <v>1148</v>
      </c>
      <c r="C3233" t="s">
        <v>146</v>
      </c>
      <c r="D3233" t="s">
        <v>2141</v>
      </c>
      <c r="E3233" t="s">
        <v>1915</v>
      </c>
      <c r="F3233">
        <v>25065</v>
      </c>
    </row>
    <row r="3234" spans="1:6" x14ac:dyDescent="0.25">
      <c r="A3234" t="s">
        <v>5469</v>
      </c>
      <c r="B3234" t="s">
        <v>1148</v>
      </c>
      <c r="C3234" t="s">
        <v>146</v>
      </c>
      <c r="D3234" t="s">
        <v>3956</v>
      </c>
      <c r="E3234" t="s">
        <v>1915</v>
      </c>
      <c r="F3234">
        <v>8753</v>
      </c>
    </row>
    <row r="3235" spans="1:6" x14ac:dyDescent="0.25">
      <c r="A3235" t="s">
        <v>5470</v>
      </c>
      <c r="B3235" t="s">
        <v>1148</v>
      </c>
      <c r="C3235" t="s">
        <v>146</v>
      </c>
      <c r="D3235" t="s">
        <v>2053</v>
      </c>
      <c r="E3235" t="s">
        <v>1886</v>
      </c>
      <c r="F3235">
        <v>21744</v>
      </c>
    </row>
    <row r="3236" spans="1:6" x14ac:dyDescent="0.25">
      <c r="A3236" t="s">
        <v>5471</v>
      </c>
      <c r="B3236" t="s">
        <v>1148</v>
      </c>
      <c r="C3236" t="s">
        <v>146</v>
      </c>
      <c r="D3236" t="s">
        <v>2155</v>
      </c>
      <c r="E3236" t="s">
        <v>1886</v>
      </c>
      <c r="F3236">
        <v>29590</v>
      </c>
    </row>
    <row r="3237" spans="1:6" x14ac:dyDescent="0.25">
      <c r="A3237" t="s">
        <v>5472</v>
      </c>
      <c r="B3237" t="s">
        <v>1148</v>
      </c>
      <c r="C3237" t="s">
        <v>146</v>
      </c>
      <c r="D3237" t="s">
        <v>2432</v>
      </c>
      <c r="E3237" t="s">
        <v>1915</v>
      </c>
      <c r="F3237">
        <v>28532</v>
      </c>
    </row>
    <row r="3238" spans="1:6" x14ac:dyDescent="0.25">
      <c r="A3238" t="s">
        <v>5473</v>
      </c>
      <c r="B3238" t="s">
        <v>1148</v>
      </c>
      <c r="C3238" t="s">
        <v>146</v>
      </c>
      <c r="D3238" t="s">
        <v>2134</v>
      </c>
      <c r="E3238" t="s">
        <v>1886</v>
      </c>
      <c r="F3238">
        <v>31084</v>
      </c>
    </row>
    <row r="3239" spans="1:6" x14ac:dyDescent="0.25">
      <c r="A3239" t="s">
        <v>5474</v>
      </c>
      <c r="B3239" t="s">
        <v>1148</v>
      </c>
      <c r="C3239" t="s">
        <v>146</v>
      </c>
      <c r="D3239" t="s">
        <v>1945</v>
      </c>
      <c r="E3239" t="s">
        <v>1876</v>
      </c>
      <c r="F3239">
        <v>30222</v>
      </c>
    </row>
    <row r="3240" spans="1:6" x14ac:dyDescent="0.25">
      <c r="A3240" t="s">
        <v>5475</v>
      </c>
      <c r="B3240" t="s">
        <v>1151</v>
      </c>
      <c r="C3240" t="s">
        <v>96</v>
      </c>
      <c r="D3240" t="s">
        <v>2849</v>
      </c>
      <c r="E3240" t="s">
        <v>1915</v>
      </c>
      <c r="F3240">
        <v>34097</v>
      </c>
    </row>
    <row r="3241" spans="1:6" x14ac:dyDescent="0.25">
      <c r="A3241" t="s">
        <v>5476</v>
      </c>
      <c r="B3241" t="s">
        <v>1151</v>
      </c>
      <c r="C3241" t="s">
        <v>96</v>
      </c>
      <c r="D3241" t="s">
        <v>2305</v>
      </c>
      <c r="E3241" t="s">
        <v>1879</v>
      </c>
      <c r="F3241">
        <v>19173</v>
      </c>
    </row>
    <row r="3242" spans="1:6" x14ac:dyDescent="0.25">
      <c r="A3242" t="s">
        <v>5477</v>
      </c>
      <c r="B3242" t="s">
        <v>1151</v>
      </c>
      <c r="C3242" t="s">
        <v>96</v>
      </c>
      <c r="D3242" t="s">
        <v>2179</v>
      </c>
      <c r="E3242" t="s">
        <v>1915</v>
      </c>
      <c r="F3242">
        <v>85639</v>
      </c>
    </row>
    <row r="3243" spans="1:6" x14ac:dyDescent="0.25">
      <c r="A3243" t="s">
        <v>5478</v>
      </c>
      <c r="B3243" t="s">
        <v>1151</v>
      </c>
      <c r="C3243" t="s">
        <v>96</v>
      </c>
      <c r="D3243" t="s">
        <v>3248</v>
      </c>
      <c r="E3243" t="s">
        <v>1879</v>
      </c>
      <c r="F3243">
        <v>39929</v>
      </c>
    </row>
    <row r="3244" spans="1:6" x14ac:dyDescent="0.25">
      <c r="A3244" t="s">
        <v>5479</v>
      </c>
      <c r="B3244" t="s">
        <v>1151</v>
      </c>
      <c r="C3244" t="s">
        <v>96</v>
      </c>
      <c r="D3244" t="s">
        <v>2517</v>
      </c>
      <c r="E3244" t="s">
        <v>1879</v>
      </c>
      <c r="F3244">
        <v>56857</v>
      </c>
    </row>
    <row r="3245" spans="1:6" x14ac:dyDescent="0.25">
      <c r="A3245" t="s">
        <v>5480</v>
      </c>
      <c r="B3245" t="s">
        <v>1151</v>
      </c>
      <c r="C3245" t="s">
        <v>96</v>
      </c>
      <c r="D3245" t="s">
        <v>2224</v>
      </c>
      <c r="E3245" t="s">
        <v>1871</v>
      </c>
      <c r="F3245">
        <v>307</v>
      </c>
    </row>
    <row r="3246" spans="1:6" x14ac:dyDescent="0.25">
      <c r="A3246" t="s">
        <v>5481</v>
      </c>
      <c r="B3246" t="s">
        <v>1151</v>
      </c>
      <c r="C3246" t="s">
        <v>96</v>
      </c>
      <c r="D3246" t="s">
        <v>2269</v>
      </c>
      <c r="E3246" t="s">
        <v>1876</v>
      </c>
      <c r="F3246">
        <v>3277</v>
      </c>
    </row>
    <row r="3247" spans="1:6" x14ac:dyDescent="0.25">
      <c r="A3247" t="s">
        <v>5482</v>
      </c>
      <c r="B3247" t="s">
        <v>1151</v>
      </c>
      <c r="C3247" t="s">
        <v>96</v>
      </c>
      <c r="D3247" t="s">
        <v>1992</v>
      </c>
      <c r="E3247" t="s">
        <v>1871</v>
      </c>
      <c r="F3247">
        <v>3627</v>
      </c>
    </row>
    <row r="3248" spans="1:6" x14ac:dyDescent="0.25">
      <c r="A3248" t="s">
        <v>5483</v>
      </c>
      <c r="B3248" t="s">
        <v>1151</v>
      </c>
      <c r="C3248" t="s">
        <v>96</v>
      </c>
      <c r="D3248" t="s">
        <v>2430</v>
      </c>
      <c r="E3248" t="s">
        <v>1915</v>
      </c>
      <c r="F3248">
        <v>91056</v>
      </c>
    </row>
    <row r="3249" spans="1:6" x14ac:dyDescent="0.25">
      <c r="A3249" t="s">
        <v>5484</v>
      </c>
      <c r="B3249" t="s">
        <v>1151</v>
      </c>
      <c r="C3249" t="s">
        <v>96</v>
      </c>
      <c r="D3249" t="s">
        <v>2101</v>
      </c>
      <c r="E3249" t="s">
        <v>1871</v>
      </c>
      <c r="F3249">
        <v>42019</v>
      </c>
    </row>
    <row r="3250" spans="1:6" x14ac:dyDescent="0.25">
      <c r="A3250" t="s">
        <v>5485</v>
      </c>
      <c r="B3250" t="s">
        <v>1151</v>
      </c>
      <c r="C3250" t="s">
        <v>96</v>
      </c>
      <c r="D3250" t="s">
        <v>2331</v>
      </c>
      <c r="E3250" t="s">
        <v>1879</v>
      </c>
      <c r="F3250">
        <v>19931</v>
      </c>
    </row>
    <row r="3251" spans="1:6" x14ac:dyDescent="0.25">
      <c r="A3251" t="s">
        <v>5486</v>
      </c>
      <c r="B3251" t="s">
        <v>1154</v>
      </c>
      <c r="C3251" t="s">
        <v>146</v>
      </c>
      <c r="D3251" t="s">
        <v>2088</v>
      </c>
      <c r="E3251" t="s">
        <v>1876</v>
      </c>
      <c r="F3251">
        <v>14362</v>
      </c>
    </row>
    <row r="3252" spans="1:6" x14ac:dyDescent="0.25">
      <c r="A3252" t="s">
        <v>5487</v>
      </c>
      <c r="B3252" t="s">
        <v>1154</v>
      </c>
      <c r="C3252" t="s">
        <v>146</v>
      </c>
      <c r="D3252" t="s">
        <v>2267</v>
      </c>
      <c r="E3252" t="s">
        <v>1879</v>
      </c>
      <c r="F3252">
        <v>14139</v>
      </c>
    </row>
    <row r="3253" spans="1:6" x14ac:dyDescent="0.25">
      <c r="A3253" t="s">
        <v>5488</v>
      </c>
      <c r="B3253" t="s">
        <v>1154</v>
      </c>
      <c r="C3253" t="s">
        <v>146</v>
      </c>
      <c r="D3253" t="s">
        <v>2132</v>
      </c>
      <c r="E3253" t="s">
        <v>1915</v>
      </c>
      <c r="F3253">
        <v>7165</v>
      </c>
    </row>
    <row r="3254" spans="1:6" x14ac:dyDescent="0.25">
      <c r="A3254" t="s">
        <v>5489</v>
      </c>
      <c r="B3254" t="s">
        <v>1154</v>
      </c>
      <c r="C3254" t="s">
        <v>146</v>
      </c>
      <c r="D3254" t="s">
        <v>3008</v>
      </c>
      <c r="E3254" t="s">
        <v>1879</v>
      </c>
      <c r="F3254">
        <v>5040</v>
      </c>
    </row>
    <row r="3255" spans="1:6" x14ac:dyDescent="0.25">
      <c r="A3255" t="s">
        <v>5490</v>
      </c>
      <c r="B3255" t="s">
        <v>1154</v>
      </c>
      <c r="C3255" t="s">
        <v>146</v>
      </c>
      <c r="D3255" t="s">
        <v>2527</v>
      </c>
      <c r="E3255" t="s">
        <v>1876</v>
      </c>
      <c r="F3255">
        <v>7418</v>
      </c>
    </row>
    <row r="3256" spans="1:6" x14ac:dyDescent="0.25">
      <c r="A3256" t="s">
        <v>5491</v>
      </c>
      <c r="B3256" t="s">
        <v>1154</v>
      </c>
      <c r="C3256" t="s">
        <v>146</v>
      </c>
      <c r="D3256" t="s">
        <v>2336</v>
      </c>
      <c r="E3256" t="s">
        <v>1871</v>
      </c>
      <c r="F3256">
        <v>14277</v>
      </c>
    </row>
    <row r="3257" spans="1:6" x14ac:dyDescent="0.25">
      <c r="A3257" t="s">
        <v>5492</v>
      </c>
      <c r="B3257" t="s">
        <v>1154</v>
      </c>
      <c r="C3257" t="s">
        <v>146</v>
      </c>
      <c r="D3257" t="s">
        <v>2148</v>
      </c>
      <c r="E3257" t="s">
        <v>1915</v>
      </c>
      <c r="F3257">
        <v>17601</v>
      </c>
    </row>
    <row r="3258" spans="1:6" x14ac:dyDescent="0.25">
      <c r="A3258" t="s">
        <v>5493</v>
      </c>
      <c r="B3258" t="s">
        <v>1154</v>
      </c>
      <c r="C3258" t="s">
        <v>146</v>
      </c>
      <c r="D3258" t="s">
        <v>2252</v>
      </c>
      <c r="E3258" t="s">
        <v>1876</v>
      </c>
      <c r="F3258">
        <v>9094</v>
      </c>
    </row>
    <row r="3259" spans="1:6" x14ac:dyDescent="0.25">
      <c r="A3259" t="s">
        <v>5494</v>
      </c>
      <c r="B3259" t="s">
        <v>1154</v>
      </c>
      <c r="C3259" t="s">
        <v>146</v>
      </c>
      <c r="D3259" t="s">
        <v>4317</v>
      </c>
      <c r="E3259" t="s">
        <v>1876</v>
      </c>
      <c r="F3259">
        <v>11483</v>
      </c>
    </row>
    <row r="3260" spans="1:6" x14ac:dyDescent="0.25">
      <c r="A3260" t="s">
        <v>5495</v>
      </c>
      <c r="B3260" t="s">
        <v>1154</v>
      </c>
      <c r="C3260" t="s">
        <v>146</v>
      </c>
      <c r="D3260" t="s">
        <v>2326</v>
      </c>
      <c r="E3260" t="s">
        <v>1915</v>
      </c>
      <c r="F3260">
        <v>21693</v>
      </c>
    </row>
    <row r="3261" spans="1:6" x14ac:dyDescent="0.25">
      <c r="A3261" t="s">
        <v>5496</v>
      </c>
      <c r="B3261" t="s">
        <v>1156</v>
      </c>
      <c r="C3261" t="s">
        <v>146</v>
      </c>
      <c r="D3261" t="s">
        <v>3047</v>
      </c>
      <c r="E3261" t="s">
        <v>1915</v>
      </c>
      <c r="F3261">
        <v>42863</v>
      </c>
    </row>
    <row r="3262" spans="1:6" x14ac:dyDescent="0.25">
      <c r="A3262" t="s">
        <v>5497</v>
      </c>
      <c r="B3262" t="s">
        <v>1156</v>
      </c>
      <c r="C3262" t="s">
        <v>146</v>
      </c>
      <c r="D3262" t="s">
        <v>2185</v>
      </c>
      <c r="E3262" t="s">
        <v>1879</v>
      </c>
      <c r="F3262">
        <v>14259</v>
      </c>
    </row>
    <row r="3263" spans="1:6" x14ac:dyDescent="0.25">
      <c r="A3263" t="s">
        <v>5498</v>
      </c>
      <c r="B3263" t="s">
        <v>1156</v>
      </c>
      <c r="C3263" t="s">
        <v>146</v>
      </c>
      <c r="D3263" t="s">
        <v>2747</v>
      </c>
      <c r="E3263" t="s">
        <v>1876</v>
      </c>
      <c r="F3263">
        <v>17063</v>
      </c>
    </row>
    <row r="3264" spans="1:6" x14ac:dyDescent="0.25">
      <c r="A3264" t="s">
        <v>5499</v>
      </c>
      <c r="B3264" t="s">
        <v>1156</v>
      </c>
      <c r="C3264" t="s">
        <v>146</v>
      </c>
      <c r="D3264" t="s">
        <v>2101</v>
      </c>
      <c r="E3264" t="s">
        <v>1876</v>
      </c>
      <c r="F3264">
        <v>1821</v>
      </c>
    </row>
    <row r="3265" spans="1:6" x14ac:dyDescent="0.25">
      <c r="A3265" t="s">
        <v>5500</v>
      </c>
      <c r="B3265" t="s">
        <v>1156</v>
      </c>
      <c r="C3265" t="s">
        <v>146</v>
      </c>
      <c r="D3265" t="s">
        <v>2380</v>
      </c>
      <c r="E3265" t="s">
        <v>1879</v>
      </c>
      <c r="F3265">
        <v>24589</v>
      </c>
    </row>
    <row r="3266" spans="1:6" x14ac:dyDescent="0.25">
      <c r="A3266" t="s">
        <v>5501</v>
      </c>
      <c r="B3266" t="s">
        <v>1156</v>
      </c>
      <c r="C3266" t="s">
        <v>146</v>
      </c>
      <c r="D3266" t="s">
        <v>2502</v>
      </c>
      <c r="E3266" t="s">
        <v>1871</v>
      </c>
      <c r="F3266">
        <v>19094</v>
      </c>
    </row>
    <row r="3267" spans="1:6" x14ac:dyDescent="0.25">
      <c r="A3267" t="s">
        <v>5502</v>
      </c>
      <c r="B3267" t="s">
        <v>1156</v>
      </c>
      <c r="C3267" t="s">
        <v>146</v>
      </c>
      <c r="D3267" t="s">
        <v>1885</v>
      </c>
      <c r="E3267" t="s">
        <v>1876</v>
      </c>
      <c r="F3267">
        <v>21462</v>
      </c>
    </row>
    <row r="3268" spans="1:6" x14ac:dyDescent="0.25">
      <c r="A3268" t="s">
        <v>5503</v>
      </c>
      <c r="B3268" t="s">
        <v>1156</v>
      </c>
      <c r="C3268" t="s">
        <v>146</v>
      </c>
      <c r="D3268" t="s">
        <v>2048</v>
      </c>
      <c r="E3268" t="s">
        <v>1871</v>
      </c>
      <c r="F3268">
        <v>2590</v>
      </c>
    </row>
    <row r="3269" spans="1:6" x14ac:dyDescent="0.25">
      <c r="A3269" t="s">
        <v>5504</v>
      </c>
      <c r="B3269" t="s">
        <v>1159</v>
      </c>
      <c r="C3269" t="s">
        <v>73</v>
      </c>
      <c r="D3269" t="s">
        <v>2109</v>
      </c>
      <c r="E3269" t="s">
        <v>1879</v>
      </c>
      <c r="F3269">
        <v>20097</v>
      </c>
    </row>
    <row r="3270" spans="1:6" x14ac:dyDescent="0.25">
      <c r="A3270" t="s">
        <v>5505</v>
      </c>
      <c r="B3270" t="s">
        <v>1159</v>
      </c>
      <c r="C3270" t="s">
        <v>73</v>
      </c>
      <c r="D3270" t="s">
        <v>2840</v>
      </c>
      <c r="E3270" t="s">
        <v>1879</v>
      </c>
      <c r="F3270">
        <v>14404</v>
      </c>
    </row>
    <row r="3271" spans="1:6" x14ac:dyDescent="0.25">
      <c r="A3271" t="s">
        <v>5506</v>
      </c>
      <c r="B3271" t="s">
        <v>1159</v>
      </c>
      <c r="C3271" t="s">
        <v>73</v>
      </c>
      <c r="D3271" t="s">
        <v>2350</v>
      </c>
      <c r="E3271" t="s">
        <v>1886</v>
      </c>
      <c r="F3271">
        <v>16033</v>
      </c>
    </row>
    <row r="3272" spans="1:6" x14ac:dyDescent="0.25">
      <c r="A3272" t="s">
        <v>5507</v>
      </c>
      <c r="B3272" t="s">
        <v>1159</v>
      </c>
      <c r="C3272" t="s">
        <v>73</v>
      </c>
      <c r="D3272" t="s">
        <v>2044</v>
      </c>
      <c r="E3272" t="s">
        <v>1886</v>
      </c>
      <c r="F3272">
        <v>10258</v>
      </c>
    </row>
    <row r="3273" spans="1:6" x14ac:dyDescent="0.25">
      <c r="A3273" t="s">
        <v>5508</v>
      </c>
      <c r="B3273" t="s">
        <v>1159</v>
      </c>
      <c r="C3273" t="s">
        <v>73</v>
      </c>
      <c r="D3273" t="s">
        <v>3956</v>
      </c>
      <c r="E3273" t="s">
        <v>1886</v>
      </c>
      <c r="F3273">
        <v>33206</v>
      </c>
    </row>
    <row r="3274" spans="1:6" x14ac:dyDescent="0.25">
      <c r="A3274" t="s">
        <v>5509</v>
      </c>
      <c r="B3274" t="s">
        <v>1159</v>
      </c>
      <c r="C3274" t="s">
        <v>73</v>
      </c>
      <c r="D3274" t="s">
        <v>2775</v>
      </c>
      <c r="E3274" t="s">
        <v>1871</v>
      </c>
      <c r="F3274">
        <v>15022</v>
      </c>
    </row>
    <row r="3275" spans="1:6" x14ac:dyDescent="0.25">
      <c r="A3275" t="s">
        <v>5510</v>
      </c>
      <c r="B3275" t="s">
        <v>1159</v>
      </c>
      <c r="C3275" t="s">
        <v>73</v>
      </c>
      <c r="D3275" t="s">
        <v>2590</v>
      </c>
      <c r="E3275" t="s">
        <v>1915</v>
      </c>
      <c r="F3275">
        <v>23417</v>
      </c>
    </row>
    <row r="3276" spans="1:6" x14ac:dyDescent="0.25">
      <c r="A3276" t="s">
        <v>5511</v>
      </c>
      <c r="B3276" t="s">
        <v>1159</v>
      </c>
      <c r="C3276" t="s">
        <v>73</v>
      </c>
      <c r="D3276" t="s">
        <v>2151</v>
      </c>
      <c r="E3276" t="s">
        <v>1886</v>
      </c>
      <c r="F3276">
        <v>18724</v>
      </c>
    </row>
    <row r="3277" spans="1:6" x14ac:dyDescent="0.25">
      <c r="A3277" t="s">
        <v>5512</v>
      </c>
      <c r="B3277" t="s">
        <v>1159</v>
      </c>
      <c r="C3277" t="s">
        <v>73</v>
      </c>
      <c r="D3277" t="s">
        <v>1978</v>
      </c>
      <c r="E3277" t="s">
        <v>1879</v>
      </c>
      <c r="F3277">
        <v>3799</v>
      </c>
    </row>
    <row r="3278" spans="1:6" x14ac:dyDescent="0.25">
      <c r="A3278" t="s">
        <v>5513</v>
      </c>
      <c r="B3278" t="s">
        <v>1159</v>
      </c>
      <c r="C3278" t="s">
        <v>73</v>
      </c>
      <c r="D3278" t="s">
        <v>1933</v>
      </c>
      <c r="E3278" t="s">
        <v>1879</v>
      </c>
      <c r="F3278">
        <v>11367</v>
      </c>
    </row>
    <row r="3279" spans="1:6" x14ac:dyDescent="0.25">
      <c r="A3279" t="s">
        <v>5514</v>
      </c>
      <c r="B3279" t="s">
        <v>1159</v>
      </c>
      <c r="C3279" t="s">
        <v>73</v>
      </c>
      <c r="D3279" t="s">
        <v>2445</v>
      </c>
      <c r="E3279" t="s">
        <v>1871</v>
      </c>
      <c r="F3279">
        <v>7099</v>
      </c>
    </row>
    <row r="3280" spans="1:6" x14ac:dyDescent="0.25">
      <c r="A3280" t="s">
        <v>5515</v>
      </c>
      <c r="B3280" t="s">
        <v>1162</v>
      </c>
      <c r="C3280" t="s">
        <v>87</v>
      </c>
      <c r="D3280" t="s">
        <v>2210</v>
      </c>
      <c r="E3280" t="s">
        <v>1879</v>
      </c>
      <c r="F3280">
        <v>16528</v>
      </c>
    </row>
    <row r="3281" spans="1:6" x14ac:dyDescent="0.25">
      <c r="A3281" t="s">
        <v>5516</v>
      </c>
      <c r="B3281" t="s">
        <v>1162</v>
      </c>
      <c r="C3281" t="s">
        <v>87</v>
      </c>
      <c r="D3281" t="s">
        <v>2016</v>
      </c>
      <c r="E3281" t="s">
        <v>1915</v>
      </c>
      <c r="F3281">
        <v>10499</v>
      </c>
    </row>
    <row r="3282" spans="1:6" x14ac:dyDescent="0.25">
      <c r="A3282" t="s">
        <v>5517</v>
      </c>
      <c r="B3282" t="s">
        <v>1162</v>
      </c>
      <c r="C3282" t="s">
        <v>87</v>
      </c>
      <c r="D3282" t="s">
        <v>2074</v>
      </c>
      <c r="E3282" t="s">
        <v>1871</v>
      </c>
      <c r="F3282">
        <v>6424</v>
      </c>
    </row>
    <row r="3283" spans="1:6" x14ac:dyDescent="0.25">
      <c r="A3283" t="s">
        <v>5518</v>
      </c>
      <c r="B3283" t="s">
        <v>1162</v>
      </c>
      <c r="C3283" t="s">
        <v>87</v>
      </c>
      <c r="D3283" t="s">
        <v>2849</v>
      </c>
      <c r="E3283" t="s">
        <v>1876</v>
      </c>
      <c r="F3283">
        <v>9575</v>
      </c>
    </row>
    <row r="3284" spans="1:6" x14ac:dyDescent="0.25">
      <c r="A3284" t="s">
        <v>5519</v>
      </c>
      <c r="B3284" t="s">
        <v>1162</v>
      </c>
      <c r="C3284" t="s">
        <v>87</v>
      </c>
      <c r="D3284" t="s">
        <v>2706</v>
      </c>
      <c r="E3284" t="s">
        <v>1886</v>
      </c>
      <c r="F3284">
        <v>17074</v>
      </c>
    </row>
    <row r="3285" spans="1:6" x14ac:dyDescent="0.25">
      <c r="A3285" t="s">
        <v>5520</v>
      </c>
      <c r="B3285" t="s">
        <v>1162</v>
      </c>
      <c r="C3285" t="s">
        <v>87</v>
      </c>
      <c r="D3285" t="s">
        <v>2588</v>
      </c>
      <c r="E3285" t="s">
        <v>1886</v>
      </c>
      <c r="F3285">
        <v>24312</v>
      </c>
    </row>
    <row r="3286" spans="1:6" x14ac:dyDescent="0.25">
      <c r="A3286" t="s">
        <v>5521</v>
      </c>
      <c r="B3286" t="s">
        <v>1162</v>
      </c>
      <c r="C3286" t="s">
        <v>87</v>
      </c>
      <c r="D3286" t="s">
        <v>1697</v>
      </c>
      <c r="E3286" t="s">
        <v>1915</v>
      </c>
      <c r="F3286">
        <v>21904</v>
      </c>
    </row>
    <row r="3287" spans="1:6" x14ac:dyDescent="0.25">
      <c r="A3287" t="s">
        <v>5522</v>
      </c>
      <c r="B3287" t="s">
        <v>1162</v>
      </c>
      <c r="C3287" t="s">
        <v>87</v>
      </c>
      <c r="D3287" t="s">
        <v>3860</v>
      </c>
      <c r="E3287" t="s">
        <v>1876</v>
      </c>
      <c r="F3287">
        <v>37643</v>
      </c>
    </row>
    <row r="3288" spans="1:6" x14ac:dyDescent="0.25">
      <c r="A3288" t="s">
        <v>5523</v>
      </c>
      <c r="B3288" t="s">
        <v>1162</v>
      </c>
      <c r="C3288" t="s">
        <v>87</v>
      </c>
      <c r="D3288" t="s">
        <v>1908</v>
      </c>
      <c r="E3288" t="s">
        <v>1879</v>
      </c>
      <c r="F3288">
        <v>29798</v>
      </c>
    </row>
    <row r="3289" spans="1:6" x14ac:dyDescent="0.25">
      <c r="A3289" t="s">
        <v>5524</v>
      </c>
      <c r="B3289" t="s">
        <v>1165</v>
      </c>
      <c r="C3289" t="s">
        <v>87</v>
      </c>
      <c r="D3289" t="s">
        <v>2163</v>
      </c>
      <c r="E3289" t="s">
        <v>1871</v>
      </c>
      <c r="F3289">
        <v>30997</v>
      </c>
    </row>
    <row r="3290" spans="1:6" x14ac:dyDescent="0.25">
      <c r="A3290" t="s">
        <v>5525</v>
      </c>
      <c r="B3290" t="s">
        <v>1165</v>
      </c>
      <c r="C3290" t="s">
        <v>87</v>
      </c>
      <c r="D3290" t="s">
        <v>2387</v>
      </c>
      <c r="E3290" t="s">
        <v>1879</v>
      </c>
      <c r="F3290">
        <v>18389</v>
      </c>
    </row>
    <row r="3291" spans="1:6" x14ac:dyDescent="0.25">
      <c r="A3291" t="s">
        <v>5526</v>
      </c>
      <c r="B3291" t="s">
        <v>1165</v>
      </c>
      <c r="C3291" t="s">
        <v>87</v>
      </c>
      <c r="D3291" t="s">
        <v>3129</v>
      </c>
      <c r="E3291" t="s">
        <v>1871</v>
      </c>
      <c r="F3291">
        <v>6118</v>
      </c>
    </row>
    <row r="3292" spans="1:6" x14ac:dyDescent="0.25">
      <c r="A3292" t="s">
        <v>5527</v>
      </c>
      <c r="B3292" t="s">
        <v>1165</v>
      </c>
      <c r="C3292" t="s">
        <v>87</v>
      </c>
      <c r="D3292" t="s">
        <v>2720</v>
      </c>
      <c r="E3292" t="s">
        <v>1915</v>
      </c>
      <c r="F3292">
        <v>55820</v>
      </c>
    </row>
    <row r="3293" spans="1:6" x14ac:dyDescent="0.25">
      <c r="A3293" t="s">
        <v>5528</v>
      </c>
      <c r="B3293" t="s">
        <v>1165</v>
      </c>
      <c r="C3293" t="s">
        <v>87</v>
      </c>
      <c r="D3293" t="s">
        <v>1994</v>
      </c>
      <c r="E3293" t="s">
        <v>1886</v>
      </c>
      <c r="F3293">
        <v>11183</v>
      </c>
    </row>
    <row r="3294" spans="1:6" x14ac:dyDescent="0.25">
      <c r="A3294" t="s">
        <v>5529</v>
      </c>
      <c r="B3294" t="s">
        <v>1165</v>
      </c>
      <c r="C3294" t="s">
        <v>87</v>
      </c>
      <c r="D3294" t="s">
        <v>2042</v>
      </c>
      <c r="E3294" t="s">
        <v>1879</v>
      </c>
      <c r="F3294">
        <v>27180</v>
      </c>
    </row>
    <row r="3295" spans="1:6" x14ac:dyDescent="0.25">
      <c r="A3295" t="s">
        <v>5530</v>
      </c>
      <c r="B3295" t="s">
        <v>1165</v>
      </c>
      <c r="C3295" t="s">
        <v>87</v>
      </c>
      <c r="D3295" t="s">
        <v>2457</v>
      </c>
      <c r="E3295" t="s">
        <v>1886</v>
      </c>
      <c r="F3295">
        <v>28492</v>
      </c>
    </row>
    <row r="3296" spans="1:6" x14ac:dyDescent="0.25">
      <c r="A3296" t="s">
        <v>5531</v>
      </c>
      <c r="B3296" t="s">
        <v>1168</v>
      </c>
      <c r="C3296" t="s">
        <v>146</v>
      </c>
      <c r="D3296" t="s">
        <v>2034</v>
      </c>
      <c r="E3296" t="s">
        <v>1886</v>
      </c>
      <c r="F3296">
        <v>13538</v>
      </c>
    </row>
    <row r="3297" spans="1:6" x14ac:dyDescent="0.25">
      <c r="A3297" t="s">
        <v>5532</v>
      </c>
      <c r="B3297" t="s">
        <v>1168</v>
      </c>
      <c r="C3297" t="s">
        <v>146</v>
      </c>
      <c r="D3297" t="s">
        <v>2887</v>
      </c>
      <c r="E3297" t="s">
        <v>1915</v>
      </c>
      <c r="F3297">
        <v>42691</v>
      </c>
    </row>
    <row r="3298" spans="1:6" x14ac:dyDescent="0.25">
      <c r="A3298" t="s">
        <v>5533</v>
      </c>
      <c r="B3298" t="s">
        <v>1168</v>
      </c>
      <c r="C3298" t="s">
        <v>146</v>
      </c>
      <c r="D3298" t="s">
        <v>1902</v>
      </c>
      <c r="E3298" t="s">
        <v>1876</v>
      </c>
      <c r="F3298">
        <v>35746</v>
      </c>
    </row>
    <row r="3299" spans="1:6" x14ac:dyDescent="0.25">
      <c r="A3299" t="s">
        <v>5534</v>
      </c>
      <c r="B3299" t="s">
        <v>1168</v>
      </c>
      <c r="C3299" t="s">
        <v>146</v>
      </c>
      <c r="D3299" t="s">
        <v>2878</v>
      </c>
      <c r="E3299" t="s">
        <v>1876</v>
      </c>
      <c r="F3299">
        <v>18334</v>
      </c>
    </row>
    <row r="3300" spans="1:6" x14ac:dyDescent="0.25">
      <c r="A3300" t="s">
        <v>5535</v>
      </c>
      <c r="B3300" t="s">
        <v>1168</v>
      </c>
      <c r="C3300" t="s">
        <v>146</v>
      </c>
      <c r="D3300" t="s">
        <v>2095</v>
      </c>
      <c r="E3300" t="s">
        <v>1879</v>
      </c>
      <c r="F3300">
        <v>22285</v>
      </c>
    </row>
    <row r="3301" spans="1:6" x14ac:dyDescent="0.25">
      <c r="A3301" t="s">
        <v>5536</v>
      </c>
      <c r="B3301" t="s">
        <v>1168</v>
      </c>
      <c r="C3301" t="s">
        <v>146</v>
      </c>
      <c r="D3301" t="s">
        <v>2364</v>
      </c>
      <c r="E3301" t="s">
        <v>1871</v>
      </c>
      <c r="F3301">
        <v>37370</v>
      </c>
    </row>
    <row r="3302" spans="1:6" x14ac:dyDescent="0.25">
      <c r="A3302" t="s">
        <v>5537</v>
      </c>
      <c r="B3302" t="s">
        <v>1168</v>
      </c>
      <c r="C3302" t="s">
        <v>146</v>
      </c>
      <c r="D3302" t="s">
        <v>2331</v>
      </c>
      <c r="E3302" t="s">
        <v>1915</v>
      </c>
      <c r="F3302">
        <v>60251</v>
      </c>
    </row>
    <row r="3303" spans="1:6" x14ac:dyDescent="0.25">
      <c r="A3303" t="s">
        <v>5538</v>
      </c>
      <c r="B3303" t="s">
        <v>1168</v>
      </c>
      <c r="C3303" t="s">
        <v>146</v>
      </c>
      <c r="D3303" t="s">
        <v>2198</v>
      </c>
      <c r="E3303" t="s">
        <v>1876</v>
      </c>
      <c r="F3303">
        <v>15014</v>
      </c>
    </row>
    <row r="3304" spans="1:6" x14ac:dyDescent="0.25">
      <c r="A3304" t="s">
        <v>5539</v>
      </c>
      <c r="B3304" t="s">
        <v>1168</v>
      </c>
      <c r="C3304" t="s">
        <v>146</v>
      </c>
      <c r="D3304" t="s">
        <v>2077</v>
      </c>
      <c r="E3304" t="s">
        <v>1879</v>
      </c>
      <c r="F3304">
        <v>5841</v>
      </c>
    </row>
    <row r="3305" spans="1:6" x14ac:dyDescent="0.25">
      <c r="A3305" t="s">
        <v>5540</v>
      </c>
      <c r="B3305" t="s">
        <v>1171</v>
      </c>
      <c r="C3305" t="s">
        <v>73</v>
      </c>
      <c r="D3305" t="s">
        <v>2320</v>
      </c>
      <c r="E3305" t="s">
        <v>1886</v>
      </c>
      <c r="F3305">
        <v>24636</v>
      </c>
    </row>
    <row r="3306" spans="1:6" x14ac:dyDescent="0.25">
      <c r="A3306" t="s">
        <v>5541</v>
      </c>
      <c r="B3306" t="s">
        <v>1171</v>
      </c>
      <c r="C3306" t="s">
        <v>73</v>
      </c>
      <c r="D3306" t="s">
        <v>2770</v>
      </c>
      <c r="E3306" t="s">
        <v>1879</v>
      </c>
      <c r="F3306">
        <v>15471</v>
      </c>
    </row>
    <row r="3307" spans="1:6" x14ac:dyDescent="0.25">
      <c r="A3307" t="s">
        <v>5542</v>
      </c>
      <c r="B3307" t="s">
        <v>1171</v>
      </c>
      <c r="C3307" t="s">
        <v>73</v>
      </c>
      <c r="D3307" t="s">
        <v>2855</v>
      </c>
      <c r="E3307" t="s">
        <v>1871</v>
      </c>
      <c r="F3307">
        <v>9543</v>
      </c>
    </row>
    <row r="3308" spans="1:6" x14ac:dyDescent="0.25">
      <c r="A3308" t="s">
        <v>5543</v>
      </c>
      <c r="B3308" t="s">
        <v>1171</v>
      </c>
      <c r="C3308" t="s">
        <v>73</v>
      </c>
      <c r="D3308" t="s">
        <v>2188</v>
      </c>
      <c r="E3308" t="s">
        <v>1915</v>
      </c>
      <c r="F3308">
        <v>11169</v>
      </c>
    </row>
    <row r="3309" spans="1:6" x14ac:dyDescent="0.25">
      <c r="A3309" t="s">
        <v>5544</v>
      </c>
      <c r="B3309" t="s">
        <v>1171</v>
      </c>
      <c r="C3309" t="s">
        <v>73</v>
      </c>
      <c r="D3309" t="s">
        <v>2165</v>
      </c>
      <c r="E3309" t="s">
        <v>1879</v>
      </c>
      <c r="F3309">
        <v>2748</v>
      </c>
    </row>
    <row r="3310" spans="1:6" x14ac:dyDescent="0.25">
      <c r="A3310" t="s">
        <v>5545</v>
      </c>
      <c r="B3310" t="s">
        <v>1171</v>
      </c>
      <c r="C3310" t="s">
        <v>73</v>
      </c>
      <c r="D3310" t="s">
        <v>1933</v>
      </c>
      <c r="E3310" t="s">
        <v>1879</v>
      </c>
      <c r="F3310">
        <v>18750</v>
      </c>
    </row>
    <row r="3311" spans="1:6" x14ac:dyDescent="0.25">
      <c r="A3311" t="s">
        <v>5546</v>
      </c>
      <c r="B3311" t="s">
        <v>1171</v>
      </c>
      <c r="C3311" t="s">
        <v>73</v>
      </c>
      <c r="D3311" t="s">
        <v>2855</v>
      </c>
      <c r="E3311" t="s">
        <v>1915</v>
      </c>
      <c r="F3311">
        <v>6906</v>
      </c>
    </row>
    <row r="3312" spans="1:6" x14ac:dyDescent="0.25">
      <c r="A3312" t="s">
        <v>5547</v>
      </c>
      <c r="B3312" t="s">
        <v>1171</v>
      </c>
      <c r="C3312" t="s">
        <v>73</v>
      </c>
      <c r="D3312" t="s">
        <v>2310</v>
      </c>
      <c r="E3312" t="s">
        <v>1879</v>
      </c>
      <c r="F3312">
        <v>10939</v>
      </c>
    </row>
    <row r="3313" spans="1:6" x14ac:dyDescent="0.25">
      <c r="A3313" t="s">
        <v>5548</v>
      </c>
      <c r="B3313" t="s">
        <v>1171</v>
      </c>
      <c r="C3313" t="s">
        <v>73</v>
      </c>
      <c r="D3313" t="s">
        <v>2722</v>
      </c>
      <c r="E3313" t="s">
        <v>1871</v>
      </c>
      <c r="F3313">
        <v>2069</v>
      </c>
    </row>
    <row r="3314" spans="1:6" x14ac:dyDescent="0.25">
      <c r="A3314" t="s">
        <v>5549</v>
      </c>
      <c r="B3314" t="s">
        <v>1171</v>
      </c>
      <c r="C3314" t="s">
        <v>73</v>
      </c>
      <c r="D3314" t="s">
        <v>2664</v>
      </c>
      <c r="E3314" t="s">
        <v>1915</v>
      </c>
      <c r="F3314">
        <v>13957</v>
      </c>
    </row>
    <row r="3315" spans="1:6" x14ac:dyDescent="0.25">
      <c r="A3315" t="s">
        <v>5550</v>
      </c>
      <c r="B3315" t="s">
        <v>1171</v>
      </c>
      <c r="C3315" t="s">
        <v>73</v>
      </c>
      <c r="D3315" t="s">
        <v>2590</v>
      </c>
      <c r="E3315" t="s">
        <v>1871</v>
      </c>
      <c r="F3315">
        <v>20426</v>
      </c>
    </row>
    <row r="3316" spans="1:6" x14ac:dyDescent="0.25">
      <c r="A3316" t="s">
        <v>5551</v>
      </c>
      <c r="B3316" t="s">
        <v>1171</v>
      </c>
      <c r="C3316" t="s">
        <v>73</v>
      </c>
      <c r="D3316" t="s">
        <v>1762</v>
      </c>
      <c r="E3316" t="s">
        <v>1879</v>
      </c>
      <c r="F3316">
        <v>16198</v>
      </c>
    </row>
    <row r="3317" spans="1:6" x14ac:dyDescent="0.25">
      <c r="A3317" t="s">
        <v>5552</v>
      </c>
      <c r="B3317" t="s">
        <v>1174</v>
      </c>
      <c r="C3317" t="s">
        <v>146</v>
      </c>
      <c r="D3317" t="s">
        <v>2380</v>
      </c>
      <c r="E3317" t="s">
        <v>1886</v>
      </c>
      <c r="F3317">
        <v>30136</v>
      </c>
    </row>
    <row r="3318" spans="1:6" x14ac:dyDescent="0.25">
      <c r="A3318" t="s">
        <v>5553</v>
      </c>
      <c r="B3318" t="s">
        <v>1174</v>
      </c>
      <c r="C3318" t="s">
        <v>146</v>
      </c>
      <c r="D3318" t="s">
        <v>2224</v>
      </c>
      <c r="E3318" t="s">
        <v>1876</v>
      </c>
      <c r="F3318">
        <v>12950</v>
      </c>
    </row>
    <row r="3319" spans="1:6" x14ac:dyDescent="0.25">
      <c r="A3319" t="s">
        <v>5554</v>
      </c>
      <c r="B3319" t="s">
        <v>1174</v>
      </c>
      <c r="C3319" t="s">
        <v>146</v>
      </c>
      <c r="D3319" t="s">
        <v>2032</v>
      </c>
      <c r="E3319" t="s">
        <v>1886</v>
      </c>
      <c r="F3319">
        <v>3116</v>
      </c>
    </row>
    <row r="3320" spans="1:6" x14ac:dyDescent="0.25">
      <c r="A3320" t="s">
        <v>5555</v>
      </c>
      <c r="B3320" t="s">
        <v>1174</v>
      </c>
      <c r="C3320" t="s">
        <v>146</v>
      </c>
      <c r="D3320" t="s">
        <v>2322</v>
      </c>
      <c r="E3320" t="s">
        <v>1886</v>
      </c>
      <c r="F3320">
        <v>2397</v>
      </c>
    </row>
    <row r="3321" spans="1:6" x14ac:dyDescent="0.25">
      <c r="A3321" t="s">
        <v>5556</v>
      </c>
      <c r="B3321" t="s">
        <v>1174</v>
      </c>
      <c r="C3321" t="s">
        <v>146</v>
      </c>
      <c r="D3321" t="s">
        <v>2527</v>
      </c>
      <c r="E3321" t="s">
        <v>1879</v>
      </c>
      <c r="F3321">
        <v>60984</v>
      </c>
    </row>
    <row r="3322" spans="1:6" x14ac:dyDescent="0.25">
      <c r="A3322" t="s">
        <v>5557</v>
      </c>
      <c r="B3322" t="s">
        <v>1174</v>
      </c>
      <c r="C3322" t="s">
        <v>146</v>
      </c>
      <c r="D3322" t="s">
        <v>2590</v>
      </c>
      <c r="E3322" t="s">
        <v>1915</v>
      </c>
      <c r="F3322">
        <v>1348</v>
      </c>
    </row>
    <row r="3323" spans="1:6" x14ac:dyDescent="0.25">
      <c r="A3323" t="s">
        <v>5558</v>
      </c>
      <c r="B3323" t="s">
        <v>1174</v>
      </c>
      <c r="C3323" t="s">
        <v>146</v>
      </c>
      <c r="D3323" t="s">
        <v>2399</v>
      </c>
      <c r="E3323" t="s">
        <v>1879</v>
      </c>
      <c r="F3323">
        <v>15705</v>
      </c>
    </row>
    <row r="3324" spans="1:6" x14ac:dyDescent="0.25">
      <c r="A3324" t="s">
        <v>5559</v>
      </c>
      <c r="B3324" t="s">
        <v>1174</v>
      </c>
      <c r="C3324" t="s">
        <v>146</v>
      </c>
      <c r="D3324" t="s">
        <v>2074</v>
      </c>
      <c r="E3324" t="s">
        <v>1871</v>
      </c>
      <c r="F3324">
        <v>46057</v>
      </c>
    </row>
    <row r="3325" spans="1:6" x14ac:dyDescent="0.25">
      <c r="A3325" t="s">
        <v>5560</v>
      </c>
      <c r="B3325" t="s">
        <v>1177</v>
      </c>
      <c r="C3325" t="s">
        <v>87</v>
      </c>
      <c r="D3325" t="s">
        <v>1939</v>
      </c>
      <c r="E3325" t="s">
        <v>1915</v>
      </c>
      <c r="F3325">
        <v>11402</v>
      </c>
    </row>
    <row r="3326" spans="1:6" x14ac:dyDescent="0.25">
      <c r="A3326" t="s">
        <v>5561</v>
      </c>
      <c r="B3326" t="s">
        <v>1177</v>
      </c>
      <c r="C3326" t="s">
        <v>87</v>
      </c>
      <c r="D3326" t="s">
        <v>1697</v>
      </c>
      <c r="E3326" t="s">
        <v>1871</v>
      </c>
      <c r="F3326">
        <v>26021</v>
      </c>
    </row>
    <row r="3327" spans="1:6" x14ac:dyDescent="0.25">
      <c r="A3327" t="s">
        <v>5562</v>
      </c>
      <c r="B3327" t="s">
        <v>1177</v>
      </c>
      <c r="C3327" t="s">
        <v>87</v>
      </c>
      <c r="D3327" t="s">
        <v>1933</v>
      </c>
      <c r="E3327" t="s">
        <v>1879</v>
      </c>
      <c r="F3327">
        <v>11325</v>
      </c>
    </row>
    <row r="3328" spans="1:6" x14ac:dyDescent="0.25">
      <c r="A3328" t="s">
        <v>5563</v>
      </c>
      <c r="B3328" t="s">
        <v>1177</v>
      </c>
      <c r="C3328" t="s">
        <v>87</v>
      </c>
      <c r="D3328" t="s">
        <v>2441</v>
      </c>
      <c r="E3328" t="s">
        <v>1871</v>
      </c>
      <c r="F3328">
        <v>22684</v>
      </c>
    </row>
    <row r="3329" spans="1:6" x14ac:dyDescent="0.25">
      <c r="A3329" t="s">
        <v>5564</v>
      </c>
      <c r="B3329" t="s">
        <v>1177</v>
      </c>
      <c r="C3329" t="s">
        <v>87</v>
      </c>
      <c r="D3329" t="s">
        <v>2218</v>
      </c>
      <c r="E3329" t="s">
        <v>1876</v>
      </c>
      <c r="F3329">
        <v>8730</v>
      </c>
    </row>
    <row r="3330" spans="1:6" x14ac:dyDescent="0.25">
      <c r="A3330" t="s">
        <v>5565</v>
      </c>
      <c r="B3330" t="s">
        <v>1177</v>
      </c>
      <c r="C3330" t="s">
        <v>87</v>
      </c>
      <c r="D3330" t="s">
        <v>2507</v>
      </c>
      <c r="E3330" t="s">
        <v>1879</v>
      </c>
      <c r="F3330">
        <v>12950</v>
      </c>
    </row>
    <row r="3331" spans="1:6" x14ac:dyDescent="0.25">
      <c r="A3331" t="s">
        <v>5566</v>
      </c>
      <c r="B3331" t="s">
        <v>1177</v>
      </c>
      <c r="C3331" t="s">
        <v>87</v>
      </c>
      <c r="D3331" t="s">
        <v>2328</v>
      </c>
      <c r="E3331" t="s">
        <v>1879</v>
      </c>
      <c r="F3331">
        <v>19612</v>
      </c>
    </row>
    <row r="3332" spans="1:6" x14ac:dyDescent="0.25">
      <c r="A3332" t="s">
        <v>5567</v>
      </c>
      <c r="B3332" t="s">
        <v>1177</v>
      </c>
      <c r="C3332" t="s">
        <v>87</v>
      </c>
      <c r="D3332" t="s">
        <v>3313</v>
      </c>
      <c r="E3332" t="s">
        <v>1915</v>
      </c>
      <c r="F3332">
        <v>14676</v>
      </c>
    </row>
    <row r="3333" spans="1:6" x14ac:dyDescent="0.25">
      <c r="A3333" t="s">
        <v>5568</v>
      </c>
      <c r="B3333" t="s">
        <v>1177</v>
      </c>
      <c r="C3333" t="s">
        <v>87</v>
      </c>
      <c r="D3333" t="s">
        <v>2473</v>
      </c>
      <c r="E3333" t="s">
        <v>1915</v>
      </c>
      <c r="F3333">
        <v>23646</v>
      </c>
    </row>
    <row r="3334" spans="1:6" x14ac:dyDescent="0.25">
      <c r="A3334" t="s">
        <v>5569</v>
      </c>
      <c r="B3334" t="s">
        <v>1177</v>
      </c>
      <c r="C3334" t="s">
        <v>87</v>
      </c>
      <c r="D3334" t="s">
        <v>2437</v>
      </c>
      <c r="E3334" t="s">
        <v>1879</v>
      </c>
      <c r="F3334">
        <v>1863</v>
      </c>
    </row>
    <row r="3335" spans="1:6" x14ac:dyDescent="0.25">
      <c r="A3335" t="s">
        <v>5570</v>
      </c>
      <c r="B3335" t="s">
        <v>1177</v>
      </c>
      <c r="C3335" t="s">
        <v>87</v>
      </c>
      <c r="D3335" t="s">
        <v>2443</v>
      </c>
      <c r="E3335" t="s">
        <v>1915</v>
      </c>
      <c r="F3335">
        <v>38629</v>
      </c>
    </row>
    <row r="3336" spans="1:6" x14ac:dyDescent="0.25">
      <c r="A3336" t="s">
        <v>5571</v>
      </c>
      <c r="B3336" t="s">
        <v>1177</v>
      </c>
      <c r="C3336" t="s">
        <v>87</v>
      </c>
      <c r="D3336" t="s">
        <v>2362</v>
      </c>
      <c r="E3336" t="s">
        <v>1879</v>
      </c>
      <c r="F3336">
        <v>7586</v>
      </c>
    </row>
    <row r="3337" spans="1:6" x14ac:dyDescent="0.25">
      <c r="A3337" t="s">
        <v>5572</v>
      </c>
      <c r="B3337" t="s">
        <v>1180</v>
      </c>
      <c r="C3337" t="s">
        <v>146</v>
      </c>
      <c r="D3337" t="s">
        <v>1980</v>
      </c>
      <c r="E3337" t="s">
        <v>1915</v>
      </c>
      <c r="F3337">
        <v>14821</v>
      </c>
    </row>
    <row r="3338" spans="1:6" x14ac:dyDescent="0.25">
      <c r="A3338" t="s">
        <v>5573</v>
      </c>
      <c r="B3338" t="s">
        <v>1180</v>
      </c>
      <c r="C3338" t="s">
        <v>146</v>
      </c>
      <c r="D3338" t="s">
        <v>2939</v>
      </c>
      <c r="E3338" t="s">
        <v>1879</v>
      </c>
      <c r="F3338">
        <v>16586</v>
      </c>
    </row>
    <row r="3339" spans="1:6" x14ac:dyDescent="0.25">
      <c r="A3339" t="s">
        <v>5574</v>
      </c>
      <c r="B3339" t="s">
        <v>1180</v>
      </c>
      <c r="C3339" t="s">
        <v>146</v>
      </c>
      <c r="D3339" t="s">
        <v>2659</v>
      </c>
      <c r="E3339" t="s">
        <v>1879</v>
      </c>
      <c r="F3339">
        <v>14110</v>
      </c>
    </row>
    <row r="3340" spans="1:6" x14ac:dyDescent="0.25">
      <c r="A3340" t="s">
        <v>5575</v>
      </c>
      <c r="B3340" t="s">
        <v>1180</v>
      </c>
      <c r="C3340" t="s">
        <v>146</v>
      </c>
      <c r="D3340" t="s">
        <v>2107</v>
      </c>
      <c r="E3340" t="s">
        <v>1886</v>
      </c>
      <c r="F3340">
        <v>33752</v>
      </c>
    </row>
    <row r="3341" spans="1:6" x14ac:dyDescent="0.25">
      <c r="A3341" t="s">
        <v>5576</v>
      </c>
      <c r="B3341" t="s">
        <v>1180</v>
      </c>
      <c r="C3341" t="s">
        <v>146</v>
      </c>
      <c r="D3341" t="s">
        <v>2079</v>
      </c>
      <c r="E3341" t="s">
        <v>1886</v>
      </c>
      <c r="F3341">
        <v>3649</v>
      </c>
    </row>
    <row r="3342" spans="1:6" x14ac:dyDescent="0.25">
      <c r="A3342" t="s">
        <v>5577</v>
      </c>
      <c r="B3342" t="s">
        <v>1180</v>
      </c>
      <c r="C3342" t="s">
        <v>146</v>
      </c>
      <c r="D3342" t="s">
        <v>2601</v>
      </c>
      <c r="E3342" t="s">
        <v>1879</v>
      </c>
      <c r="F3342">
        <v>10083</v>
      </c>
    </row>
    <row r="3343" spans="1:6" x14ac:dyDescent="0.25">
      <c r="A3343" t="s">
        <v>5578</v>
      </c>
      <c r="B3343" t="s">
        <v>1183</v>
      </c>
      <c r="C3343" t="s">
        <v>96</v>
      </c>
      <c r="D3343" t="s">
        <v>2338</v>
      </c>
      <c r="E3343" t="s">
        <v>1876</v>
      </c>
      <c r="F3343">
        <v>2606</v>
      </c>
    </row>
    <row r="3344" spans="1:6" x14ac:dyDescent="0.25">
      <c r="A3344" t="s">
        <v>5579</v>
      </c>
      <c r="B3344" t="s">
        <v>1183</v>
      </c>
      <c r="C3344" t="s">
        <v>96</v>
      </c>
      <c r="D3344" t="s">
        <v>3233</v>
      </c>
      <c r="E3344" t="s">
        <v>1879</v>
      </c>
      <c r="F3344">
        <v>505</v>
      </c>
    </row>
    <row r="3345" spans="1:6" x14ac:dyDescent="0.25">
      <c r="A3345" t="s">
        <v>5580</v>
      </c>
      <c r="B3345" t="s">
        <v>1183</v>
      </c>
      <c r="C3345" t="s">
        <v>96</v>
      </c>
      <c r="D3345" t="s">
        <v>2291</v>
      </c>
      <c r="E3345" t="s">
        <v>1886</v>
      </c>
      <c r="F3345">
        <v>24729</v>
      </c>
    </row>
    <row r="3346" spans="1:6" x14ac:dyDescent="0.25">
      <c r="A3346" t="s">
        <v>5581</v>
      </c>
      <c r="B3346" t="s">
        <v>1183</v>
      </c>
      <c r="C3346" t="s">
        <v>96</v>
      </c>
      <c r="D3346" t="s">
        <v>2664</v>
      </c>
      <c r="E3346" t="s">
        <v>1886</v>
      </c>
      <c r="F3346">
        <v>28007</v>
      </c>
    </row>
    <row r="3347" spans="1:6" x14ac:dyDescent="0.25">
      <c r="A3347" t="s">
        <v>5582</v>
      </c>
      <c r="B3347" t="s">
        <v>1183</v>
      </c>
      <c r="C3347" t="s">
        <v>96</v>
      </c>
      <c r="D3347" t="s">
        <v>1873</v>
      </c>
      <c r="E3347" t="s">
        <v>1915</v>
      </c>
      <c r="F3347">
        <v>5894</v>
      </c>
    </row>
    <row r="3348" spans="1:6" x14ac:dyDescent="0.25">
      <c r="A3348" t="s">
        <v>5583</v>
      </c>
      <c r="B3348" t="s">
        <v>1183</v>
      </c>
      <c r="C3348" t="s">
        <v>96</v>
      </c>
      <c r="D3348" t="s">
        <v>2114</v>
      </c>
      <c r="E3348" t="s">
        <v>1876</v>
      </c>
      <c r="F3348">
        <v>4375</v>
      </c>
    </row>
    <row r="3349" spans="1:6" x14ac:dyDescent="0.25">
      <c r="A3349" t="s">
        <v>5584</v>
      </c>
      <c r="B3349" t="s">
        <v>1183</v>
      </c>
      <c r="C3349" t="s">
        <v>96</v>
      </c>
      <c r="D3349" t="s">
        <v>2032</v>
      </c>
      <c r="E3349" t="s">
        <v>1915</v>
      </c>
      <c r="F3349">
        <v>3988</v>
      </c>
    </row>
    <row r="3350" spans="1:6" x14ac:dyDescent="0.25">
      <c r="A3350" t="s">
        <v>5585</v>
      </c>
      <c r="B3350" t="s">
        <v>1183</v>
      </c>
      <c r="C3350" t="s">
        <v>96</v>
      </c>
      <c r="D3350" t="s">
        <v>1994</v>
      </c>
      <c r="E3350" t="s">
        <v>1876</v>
      </c>
      <c r="F3350">
        <v>4374</v>
      </c>
    </row>
    <row r="3351" spans="1:6" x14ac:dyDescent="0.25">
      <c r="A3351" t="s">
        <v>5586</v>
      </c>
      <c r="B3351" t="s">
        <v>1186</v>
      </c>
      <c r="C3351" t="s">
        <v>146</v>
      </c>
      <c r="D3351" t="s">
        <v>2024</v>
      </c>
      <c r="E3351" t="s">
        <v>1879</v>
      </c>
      <c r="F3351">
        <v>8899</v>
      </c>
    </row>
    <row r="3352" spans="1:6" x14ac:dyDescent="0.25">
      <c r="A3352" t="s">
        <v>5587</v>
      </c>
      <c r="B3352" t="s">
        <v>1186</v>
      </c>
      <c r="C3352" t="s">
        <v>146</v>
      </c>
      <c r="D3352" t="s">
        <v>1917</v>
      </c>
      <c r="E3352" t="s">
        <v>1886</v>
      </c>
      <c r="F3352">
        <v>9329</v>
      </c>
    </row>
    <row r="3353" spans="1:6" x14ac:dyDescent="0.25">
      <c r="A3353" t="s">
        <v>5588</v>
      </c>
      <c r="B3353" t="s">
        <v>1186</v>
      </c>
      <c r="C3353" t="s">
        <v>146</v>
      </c>
      <c r="D3353" t="s">
        <v>2346</v>
      </c>
      <c r="E3353" t="s">
        <v>1876</v>
      </c>
      <c r="F3353">
        <v>65406</v>
      </c>
    </row>
    <row r="3354" spans="1:6" x14ac:dyDescent="0.25">
      <c r="A3354" t="s">
        <v>5589</v>
      </c>
      <c r="B3354" t="s">
        <v>1186</v>
      </c>
      <c r="C3354" t="s">
        <v>146</v>
      </c>
      <c r="D3354" t="s">
        <v>2491</v>
      </c>
      <c r="E3354" t="s">
        <v>1879</v>
      </c>
      <c r="F3354">
        <v>55596</v>
      </c>
    </row>
    <row r="3355" spans="1:6" x14ac:dyDescent="0.25">
      <c r="A3355" t="s">
        <v>5590</v>
      </c>
      <c r="B3355" t="s">
        <v>1186</v>
      </c>
      <c r="C3355" t="s">
        <v>146</v>
      </c>
      <c r="D3355" t="s">
        <v>2535</v>
      </c>
      <c r="E3355" t="s">
        <v>1915</v>
      </c>
      <c r="F3355">
        <v>12172</v>
      </c>
    </row>
    <row r="3356" spans="1:6" x14ac:dyDescent="0.25">
      <c r="A3356" t="s">
        <v>5591</v>
      </c>
      <c r="B3356" t="s">
        <v>1186</v>
      </c>
      <c r="C3356" t="s">
        <v>146</v>
      </c>
      <c r="D3356" t="s">
        <v>1921</v>
      </c>
      <c r="E3356" t="s">
        <v>1915</v>
      </c>
      <c r="F3356">
        <v>32544</v>
      </c>
    </row>
    <row r="3357" spans="1:6" x14ac:dyDescent="0.25">
      <c r="A3357" t="s">
        <v>5592</v>
      </c>
      <c r="B3357" t="s">
        <v>1189</v>
      </c>
      <c r="C3357" t="s">
        <v>73</v>
      </c>
      <c r="D3357" t="s">
        <v>2680</v>
      </c>
      <c r="E3357" t="s">
        <v>1915</v>
      </c>
      <c r="F3357">
        <v>25387</v>
      </c>
    </row>
    <row r="3358" spans="1:6" x14ac:dyDescent="0.25">
      <c r="A3358" t="s">
        <v>5593</v>
      </c>
      <c r="B3358" t="s">
        <v>1189</v>
      </c>
      <c r="C3358" t="s">
        <v>73</v>
      </c>
      <c r="D3358" t="s">
        <v>2099</v>
      </c>
      <c r="E3358" t="s">
        <v>1915</v>
      </c>
      <c r="F3358">
        <v>46504</v>
      </c>
    </row>
    <row r="3359" spans="1:6" x14ac:dyDescent="0.25">
      <c r="A3359" t="s">
        <v>5594</v>
      </c>
      <c r="B3359" t="s">
        <v>1189</v>
      </c>
      <c r="C3359" t="s">
        <v>73</v>
      </c>
      <c r="D3359" t="s">
        <v>2649</v>
      </c>
      <c r="E3359" t="s">
        <v>1876</v>
      </c>
      <c r="F3359">
        <v>5152</v>
      </c>
    </row>
    <row r="3360" spans="1:6" x14ac:dyDescent="0.25">
      <c r="A3360" t="s">
        <v>5595</v>
      </c>
      <c r="B3360" t="s">
        <v>1189</v>
      </c>
      <c r="C3360" t="s">
        <v>73</v>
      </c>
      <c r="D3360" t="s">
        <v>1697</v>
      </c>
      <c r="E3360" t="s">
        <v>1871</v>
      </c>
      <c r="F3360">
        <v>7630</v>
      </c>
    </row>
    <row r="3361" spans="1:6" x14ac:dyDescent="0.25">
      <c r="A3361" t="s">
        <v>5596</v>
      </c>
      <c r="B3361" t="s">
        <v>1189</v>
      </c>
      <c r="C3361" t="s">
        <v>73</v>
      </c>
      <c r="D3361" t="s">
        <v>2201</v>
      </c>
      <c r="E3361" t="s">
        <v>1871</v>
      </c>
      <c r="F3361">
        <v>11201</v>
      </c>
    </row>
    <row r="3362" spans="1:6" x14ac:dyDescent="0.25">
      <c r="A3362" t="s">
        <v>5597</v>
      </c>
      <c r="B3362" t="s">
        <v>1189</v>
      </c>
      <c r="C3362" t="s">
        <v>73</v>
      </c>
      <c r="D3362" t="s">
        <v>2293</v>
      </c>
      <c r="E3362" t="s">
        <v>1871</v>
      </c>
      <c r="F3362">
        <v>45313</v>
      </c>
    </row>
    <row r="3363" spans="1:6" x14ac:dyDescent="0.25">
      <c r="A3363" t="s">
        <v>5598</v>
      </c>
      <c r="B3363" t="s">
        <v>1189</v>
      </c>
      <c r="C3363" t="s">
        <v>73</v>
      </c>
      <c r="D3363" t="s">
        <v>3119</v>
      </c>
      <c r="E3363" t="s">
        <v>1876</v>
      </c>
      <c r="F3363">
        <v>14599</v>
      </c>
    </row>
    <row r="3364" spans="1:6" x14ac:dyDescent="0.25">
      <c r="A3364" t="s">
        <v>5599</v>
      </c>
      <c r="B3364" t="s">
        <v>1192</v>
      </c>
      <c r="C3364" t="s">
        <v>51</v>
      </c>
      <c r="D3364" t="s">
        <v>2014</v>
      </c>
      <c r="E3364" t="s">
        <v>1879</v>
      </c>
      <c r="F3364">
        <v>9259</v>
      </c>
    </row>
    <row r="3365" spans="1:6" x14ac:dyDescent="0.25">
      <c r="A3365" t="s">
        <v>5600</v>
      </c>
      <c r="B3365" t="s">
        <v>1192</v>
      </c>
      <c r="C3365" t="s">
        <v>51</v>
      </c>
      <c r="D3365" t="s">
        <v>1927</v>
      </c>
      <c r="E3365" t="s">
        <v>1886</v>
      </c>
      <c r="F3365">
        <v>3463</v>
      </c>
    </row>
    <row r="3366" spans="1:6" x14ac:dyDescent="0.25">
      <c r="A3366" t="s">
        <v>5601</v>
      </c>
      <c r="B3366" t="s">
        <v>1192</v>
      </c>
      <c r="C3366" t="s">
        <v>51</v>
      </c>
      <c r="D3366" t="s">
        <v>2590</v>
      </c>
      <c r="E3366" t="s">
        <v>1879</v>
      </c>
      <c r="F3366">
        <v>14417</v>
      </c>
    </row>
    <row r="3367" spans="1:6" x14ac:dyDescent="0.25">
      <c r="A3367" t="s">
        <v>5602</v>
      </c>
      <c r="B3367" t="s">
        <v>1192</v>
      </c>
      <c r="C3367" t="s">
        <v>51</v>
      </c>
      <c r="D3367" t="s">
        <v>2193</v>
      </c>
      <c r="E3367" t="s">
        <v>1871</v>
      </c>
      <c r="F3367">
        <v>23187</v>
      </c>
    </row>
    <row r="3368" spans="1:6" x14ac:dyDescent="0.25">
      <c r="A3368" t="s">
        <v>5603</v>
      </c>
      <c r="B3368" t="s">
        <v>1192</v>
      </c>
      <c r="C3368" t="s">
        <v>51</v>
      </c>
      <c r="D3368" t="s">
        <v>2954</v>
      </c>
      <c r="E3368" t="s">
        <v>1871</v>
      </c>
      <c r="F3368">
        <v>2660</v>
      </c>
    </row>
    <row r="3369" spans="1:6" x14ac:dyDescent="0.25">
      <c r="A3369" t="s">
        <v>5604</v>
      </c>
      <c r="B3369" t="s">
        <v>1192</v>
      </c>
      <c r="C3369" t="s">
        <v>51</v>
      </c>
      <c r="D3369" t="s">
        <v>2978</v>
      </c>
      <c r="E3369" t="s">
        <v>1879</v>
      </c>
      <c r="F3369">
        <v>34100</v>
      </c>
    </row>
    <row r="3370" spans="1:6" x14ac:dyDescent="0.25">
      <c r="A3370" t="s">
        <v>5605</v>
      </c>
      <c r="B3370" t="s">
        <v>1195</v>
      </c>
      <c r="C3370" t="s">
        <v>87</v>
      </c>
      <c r="D3370" t="s">
        <v>2965</v>
      </c>
      <c r="E3370" t="s">
        <v>1915</v>
      </c>
      <c r="F3370">
        <v>20295</v>
      </c>
    </row>
    <row r="3371" spans="1:6" x14ac:dyDescent="0.25">
      <c r="A3371" t="s">
        <v>5606</v>
      </c>
      <c r="B3371" t="s">
        <v>1195</v>
      </c>
      <c r="C3371" t="s">
        <v>87</v>
      </c>
      <c r="D3371" t="s">
        <v>2583</v>
      </c>
      <c r="E3371" t="s">
        <v>1871</v>
      </c>
      <c r="F3371">
        <v>31688</v>
      </c>
    </row>
    <row r="3372" spans="1:6" x14ac:dyDescent="0.25">
      <c r="A3372" t="s">
        <v>5607</v>
      </c>
      <c r="B3372" t="s">
        <v>1195</v>
      </c>
      <c r="C3372" t="s">
        <v>87</v>
      </c>
      <c r="D3372" t="s">
        <v>2765</v>
      </c>
      <c r="E3372" t="s">
        <v>1871</v>
      </c>
      <c r="F3372">
        <v>1637</v>
      </c>
    </row>
    <row r="3373" spans="1:6" x14ac:dyDescent="0.25">
      <c r="A3373" t="s">
        <v>5608</v>
      </c>
      <c r="B3373" t="s">
        <v>1195</v>
      </c>
      <c r="C3373" t="s">
        <v>87</v>
      </c>
      <c r="D3373" t="s">
        <v>1975</v>
      </c>
      <c r="E3373" t="s">
        <v>1915</v>
      </c>
      <c r="F3373">
        <v>1312</v>
      </c>
    </row>
    <row r="3374" spans="1:6" x14ac:dyDescent="0.25">
      <c r="A3374" t="s">
        <v>5609</v>
      </c>
      <c r="B3374" t="s">
        <v>1195</v>
      </c>
      <c r="C3374" t="s">
        <v>87</v>
      </c>
      <c r="D3374" t="s">
        <v>2226</v>
      </c>
      <c r="E3374" t="s">
        <v>1886</v>
      </c>
      <c r="F3374">
        <v>18848</v>
      </c>
    </row>
    <row r="3375" spans="1:6" x14ac:dyDescent="0.25">
      <c r="A3375" t="s">
        <v>5610</v>
      </c>
      <c r="B3375" t="s">
        <v>1195</v>
      </c>
      <c r="C3375" t="s">
        <v>87</v>
      </c>
      <c r="D3375" t="s">
        <v>3860</v>
      </c>
      <c r="E3375" t="s">
        <v>1915</v>
      </c>
      <c r="F3375">
        <v>43103</v>
      </c>
    </row>
    <row r="3376" spans="1:6" x14ac:dyDescent="0.25">
      <c r="A3376" t="s">
        <v>5611</v>
      </c>
      <c r="B3376" t="s">
        <v>1195</v>
      </c>
      <c r="C3376" t="s">
        <v>87</v>
      </c>
      <c r="D3376" t="s">
        <v>1881</v>
      </c>
      <c r="E3376" t="s">
        <v>1886</v>
      </c>
      <c r="F3376">
        <v>5675</v>
      </c>
    </row>
    <row r="3377" spans="1:6" x14ac:dyDescent="0.25">
      <c r="A3377" t="s">
        <v>5612</v>
      </c>
      <c r="B3377" t="s">
        <v>1195</v>
      </c>
      <c r="C3377" t="s">
        <v>87</v>
      </c>
      <c r="D3377" t="s">
        <v>1697</v>
      </c>
      <c r="E3377" t="s">
        <v>1871</v>
      </c>
      <c r="F3377">
        <v>19475</v>
      </c>
    </row>
    <row r="3378" spans="1:6" x14ac:dyDescent="0.25">
      <c r="A3378" t="s">
        <v>5613</v>
      </c>
      <c r="B3378" t="s">
        <v>1195</v>
      </c>
      <c r="C3378" t="s">
        <v>87</v>
      </c>
      <c r="D3378" t="s">
        <v>2443</v>
      </c>
      <c r="E3378" t="s">
        <v>1871</v>
      </c>
      <c r="F3378">
        <v>29230</v>
      </c>
    </row>
    <row r="3379" spans="1:6" x14ac:dyDescent="0.25">
      <c r="A3379" t="s">
        <v>5614</v>
      </c>
      <c r="B3379" t="s">
        <v>1195</v>
      </c>
      <c r="C3379" t="s">
        <v>87</v>
      </c>
      <c r="D3379" t="s">
        <v>2141</v>
      </c>
      <c r="E3379" t="s">
        <v>1871</v>
      </c>
      <c r="F3379">
        <v>23849</v>
      </c>
    </row>
    <row r="3380" spans="1:6" x14ac:dyDescent="0.25">
      <c r="A3380" t="s">
        <v>5615</v>
      </c>
      <c r="B3380" t="s">
        <v>1195</v>
      </c>
      <c r="C3380" t="s">
        <v>87</v>
      </c>
      <c r="D3380" t="s">
        <v>2036</v>
      </c>
      <c r="E3380" t="s">
        <v>1871</v>
      </c>
      <c r="F3380">
        <v>31196</v>
      </c>
    </row>
    <row r="3381" spans="1:6" x14ac:dyDescent="0.25">
      <c r="A3381" t="s">
        <v>5616</v>
      </c>
      <c r="B3381" t="s">
        <v>1198</v>
      </c>
      <c r="C3381" t="s">
        <v>96</v>
      </c>
      <c r="D3381" t="s">
        <v>2088</v>
      </c>
      <c r="E3381" t="s">
        <v>1879</v>
      </c>
      <c r="F3381">
        <v>8821</v>
      </c>
    </row>
    <row r="3382" spans="1:6" x14ac:dyDescent="0.25">
      <c r="A3382" t="s">
        <v>5617</v>
      </c>
      <c r="B3382" t="s">
        <v>1198</v>
      </c>
      <c r="C3382" t="s">
        <v>96</v>
      </c>
      <c r="D3382" t="s">
        <v>2544</v>
      </c>
      <c r="E3382" t="s">
        <v>1886</v>
      </c>
      <c r="F3382">
        <v>18992</v>
      </c>
    </row>
    <row r="3383" spans="1:6" x14ac:dyDescent="0.25">
      <c r="A3383" t="s">
        <v>5618</v>
      </c>
      <c r="B3383" t="s">
        <v>1198</v>
      </c>
      <c r="C3383" t="s">
        <v>96</v>
      </c>
      <c r="D3383" t="s">
        <v>2657</v>
      </c>
      <c r="E3383" t="s">
        <v>1871</v>
      </c>
      <c r="F3383">
        <v>26605</v>
      </c>
    </row>
    <row r="3384" spans="1:6" x14ac:dyDescent="0.25">
      <c r="A3384" t="s">
        <v>5619</v>
      </c>
      <c r="B3384" t="s">
        <v>1198</v>
      </c>
      <c r="C3384" t="s">
        <v>96</v>
      </c>
      <c r="D3384" t="s">
        <v>1480</v>
      </c>
      <c r="E3384" t="s">
        <v>1876</v>
      </c>
      <c r="F3384">
        <v>17037</v>
      </c>
    </row>
    <row r="3385" spans="1:6" x14ac:dyDescent="0.25">
      <c r="A3385" t="s">
        <v>5620</v>
      </c>
      <c r="B3385" t="s">
        <v>1198</v>
      </c>
      <c r="C3385" t="s">
        <v>96</v>
      </c>
      <c r="D3385" t="s">
        <v>2401</v>
      </c>
      <c r="E3385" t="s">
        <v>1915</v>
      </c>
      <c r="F3385">
        <v>28509</v>
      </c>
    </row>
    <row r="3386" spans="1:6" x14ac:dyDescent="0.25">
      <c r="A3386" t="s">
        <v>5621</v>
      </c>
      <c r="B3386" t="s">
        <v>1198</v>
      </c>
      <c r="C3386" t="s">
        <v>96</v>
      </c>
      <c r="D3386" t="s">
        <v>2471</v>
      </c>
      <c r="E3386" t="s">
        <v>1879</v>
      </c>
      <c r="F3386">
        <v>30574</v>
      </c>
    </row>
    <row r="3387" spans="1:6" x14ac:dyDescent="0.25">
      <c r="A3387" t="s">
        <v>5622</v>
      </c>
      <c r="B3387" t="s">
        <v>1198</v>
      </c>
      <c r="C3387" t="s">
        <v>96</v>
      </c>
      <c r="D3387" t="s">
        <v>3446</v>
      </c>
      <c r="E3387" t="s">
        <v>1871</v>
      </c>
      <c r="F3387">
        <v>12765</v>
      </c>
    </row>
    <row r="3388" spans="1:6" x14ac:dyDescent="0.25">
      <c r="A3388" t="s">
        <v>5623</v>
      </c>
      <c r="B3388" t="s">
        <v>1198</v>
      </c>
      <c r="C3388" t="s">
        <v>96</v>
      </c>
      <c r="D3388" t="s">
        <v>2284</v>
      </c>
      <c r="E3388" t="s">
        <v>1915</v>
      </c>
      <c r="F3388">
        <v>18185</v>
      </c>
    </row>
    <row r="3389" spans="1:6" x14ac:dyDescent="0.25">
      <c r="A3389" t="s">
        <v>5624</v>
      </c>
      <c r="B3389" t="s">
        <v>1198</v>
      </c>
      <c r="C3389" t="s">
        <v>96</v>
      </c>
      <c r="D3389" t="s">
        <v>1875</v>
      </c>
      <c r="E3389" t="s">
        <v>1886</v>
      </c>
      <c r="F3389">
        <v>22835</v>
      </c>
    </row>
    <row r="3390" spans="1:6" x14ac:dyDescent="0.25">
      <c r="A3390" t="s">
        <v>5625</v>
      </c>
      <c r="B3390" t="s">
        <v>1198</v>
      </c>
      <c r="C3390" t="s">
        <v>96</v>
      </c>
      <c r="D3390" t="s">
        <v>2610</v>
      </c>
      <c r="E3390" t="s">
        <v>1886</v>
      </c>
      <c r="F3390">
        <v>27726</v>
      </c>
    </row>
    <row r="3391" spans="1:6" x14ac:dyDescent="0.25">
      <c r="A3391" t="s">
        <v>5626</v>
      </c>
      <c r="B3391" t="s">
        <v>1198</v>
      </c>
      <c r="C3391" t="s">
        <v>96</v>
      </c>
      <c r="D3391" t="s">
        <v>1927</v>
      </c>
      <c r="E3391" t="s">
        <v>1871</v>
      </c>
      <c r="F3391">
        <v>8838</v>
      </c>
    </row>
    <row r="3392" spans="1:6" x14ac:dyDescent="0.25">
      <c r="A3392" t="s">
        <v>5627</v>
      </c>
      <c r="B3392" t="s">
        <v>1201</v>
      </c>
      <c r="C3392" t="s">
        <v>96</v>
      </c>
      <c r="D3392" t="s">
        <v>1955</v>
      </c>
      <c r="E3392" t="s">
        <v>1886</v>
      </c>
      <c r="F3392">
        <v>21419</v>
      </c>
    </row>
    <row r="3393" spans="1:6" x14ac:dyDescent="0.25">
      <c r="A3393" t="s">
        <v>5628</v>
      </c>
      <c r="B3393" t="s">
        <v>1201</v>
      </c>
      <c r="C3393" t="s">
        <v>96</v>
      </c>
      <c r="D3393" t="s">
        <v>1906</v>
      </c>
      <c r="E3393" t="s">
        <v>1915</v>
      </c>
      <c r="F3393">
        <v>43171</v>
      </c>
    </row>
    <row r="3394" spans="1:6" x14ac:dyDescent="0.25">
      <c r="A3394" t="s">
        <v>5629</v>
      </c>
      <c r="B3394" t="s">
        <v>1201</v>
      </c>
      <c r="C3394" t="s">
        <v>96</v>
      </c>
      <c r="D3394" t="s">
        <v>2350</v>
      </c>
      <c r="E3394" t="s">
        <v>1886</v>
      </c>
      <c r="F3394">
        <v>31160</v>
      </c>
    </row>
    <row r="3395" spans="1:6" x14ac:dyDescent="0.25">
      <c r="A3395" t="s">
        <v>5630</v>
      </c>
      <c r="B3395" t="s">
        <v>1201</v>
      </c>
      <c r="C3395" t="s">
        <v>96</v>
      </c>
      <c r="D3395" t="s">
        <v>2857</v>
      </c>
      <c r="E3395" t="s">
        <v>1871</v>
      </c>
      <c r="F3395">
        <v>18287</v>
      </c>
    </row>
    <row r="3396" spans="1:6" x14ac:dyDescent="0.25">
      <c r="A3396" t="s">
        <v>5631</v>
      </c>
      <c r="B3396" t="s">
        <v>1201</v>
      </c>
      <c r="C3396" t="s">
        <v>96</v>
      </c>
      <c r="D3396" t="s">
        <v>2132</v>
      </c>
      <c r="E3396" t="s">
        <v>1876</v>
      </c>
      <c r="F3396">
        <v>1122</v>
      </c>
    </row>
    <row r="3397" spans="1:6" x14ac:dyDescent="0.25">
      <c r="A3397" t="s">
        <v>5632</v>
      </c>
      <c r="B3397" t="s">
        <v>1201</v>
      </c>
      <c r="C3397" t="s">
        <v>96</v>
      </c>
      <c r="D3397" t="s">
        <v>2747</v>
      </c>
      <c r="E3397" t="s">
        <v>1915</v>
      </c>
      <c r="F3397">
        <v>36564</v>
      </c>
    </row>
    <row r="3398" spans="1:6" x14ac:dyDescent="0.25">
      <c r="A3398" t="s">
        <v>5633</v>
      </c>
      <c r="B3398" t="s">
        <v>1201</v>
      </c>
      <c r="C3398" t="s">
        <v>96</v>
      </c>
      <c r="D3398" t="s">
        <v>2188</v>
      </c>
      <c r="E3398" t="s">
        <v>1879</v>
      </c>
      <c r="F3398">
        <v>14352</v>
      </c>
    </row>
    <row r="3399" spans="1:6" x14ac:dyDescent="0.25">
      <c r="A3399" t="s">
        <v>5634</v>
      </c>
      <c r="B3399" t="s">
        <v>1201</v>
      </c>
      <c r="C3399" t="s">
        <v>96</v>
      </c>
      <c r="D3399" t="s">
        <v>2336</v>
      </c>
      <c r="E3399" t="s">
        <v>1879</v>
      </c>
      <c r="F3399">
        <v>10545</v>
      </c>
    </row>
    <row r="3400" spans="1:6" x14ac:dyDescent="0.25">
      <c r="A3400" t="s">
        <v>5635</v>
      </c>
      <c r="B3400" t="s">
        <v>1201</v>
      </c>
      <c r="C3400" t="s">
        <v>96</v>
      </c>
      <c r="D3400" t="s">
        <v>1929</v>
      </c>
      <c r="E3400" t="s">
        <v>1915</v>
      </c>
      <c r="F3400">
        <v>43121</v>
      </c>
    </row>
    <row r="3401" spans="1:6" x14ac:dyDescent="0.25">
      <c r="A3401" t="s">
        <v>5636</v>
      </c>
      <c r="B3401" t="s">
        <v>1201</v>
      </c>
      <c r="C3401" t="s">
        <v>96</v>
      </c>
      <c r="D3401" t="s">
        <v>2423</v>
      </c>
      <c r="E3401" t="s">
        <v>1879</v>
      </c>
      <c r="F3401">
        <v>10288</v>
      </c>
    </row>
    <row r="3402" spans="1:6" x14ac:dyDescent="0.25">
      <c r="A3402" t="s">
        <v>5637</v>
      </c>
      <c r="B3402" t="s">
        <v>1201</v>
      </c>
      <c r="C3402" t="s">
        <v>96</v>
      </c>
      <c r="D3402" t="s">
        <v>1881</v>
      </c>
      <c r="E3402" t="s">
        <v>1871</v>
      </c>
      <c r="F3402">
        <v>23046</v>
      </c>
    </row>
    <row r="3403" spans="1:6" x14ac:dyDescent="0.25">
      <c r="A3403" t="s">
        <v>5638</v>
      </c>
      <c r="B3403" t="s">
        <v>1201</v>
      </c>
      <c r="C3403" t="s">
        <v>96</v>
      </c>
      <c r="D3403" t="s">
        <v>2565</v>
      </c>
      <c r="E3403" t="s">
        <v>1915</v>
      </c>
      <c r="F3403">
        <v>38021</v>
      </c>
    </row>
    <row r="3404" spans="1:6" x14ac:dyDescent="0.25">
      <c r="A3404" t="s">
        <v>5639</v>
      </c>
      <c r="B3404" t="s">
        <v>1204</v>
      </c>
      <c r="C3404" t="s">
        <v>146</v>
      </c>
      <c r="D3404" t="s">
        <v>1986</v>
      </c>
      <c r="E3404" t="s">
        <v>1871</v>
      </c>
      <c r="F3404">
        <v>42076</v>
      </c>
    </row>
    <row r="3405" spans="1:6" x14ac:dyDescent="0.25">
      <c r="A3405" t="s">
        <v>5640</v>
      </c>
      <c r="B3405" t="s">
        <v>1204</v>
      </c>
      <c r="C3405" t="s">
        <v>146</v>
      </c>
      <c r="D3405" t="s">
        <v>2421</v>
      </c>
      <c r="E3405" t="s">
        <v>1871</v>
      </c>
      <c r="F3405">
        <v>23937</v>
      </c>
    </row>
    <row r="3406" spans="1:6" x14ac:dyDescent="0.25">
      <c r="A3406" t="s">
        <v>5641</v>
      </c>
      <c r="B3406" t="s">
        <v>1204</v>
      </c>
      <c r="C3406" t="s">
        <v>146</v>
      </c>
      <c r="D3406" t="s">
        <v>2305</v>
      </c>
      <c r="E3406" t="s">
        <v>1915</v>
      </c>
      <c r="F3406">
        <v>50340</v>
      </c>
    </row>
    <row r="3407" spans="1:6" x14ac:dyDescent="0.25">
      <c r="A3407" t="s">
        <v>5642</v>
      </c>
      <c r="B3407" t="s">
        <v>1204</v>
      </c>
      <c r="C3407" t="s">
        <v>146</v>
      </c>
      <c r="D3407" t="s">
        <v>2302</v>
      </c>
      <c r="E3407" t="s">
        <v>1886</v>
      </c>
      <c r="F3407">
        <v>9468</v>
      </c>
    </row>
    <row r="3408" spans="1:6" x14ac:dyDescent="0.25">
      <c r="A3408" t="s">
        <v>5643</v>
      </c>
      <c r="B3408" t="s">
        <v>1204</v>
      </c>
      <c r="C3408" t="s">
        <v>146</v>
      </c>
      <c r="D3408" t="s">
        <v>2020</v>
      </c>
      <c r="E3408" t="s">
        <v>1886</v>
      </c>
      <c r="F3408">
        <v>19965</v>
      </c>
    </row>
    <row r="3409" spans="1:6" x14ac:dyDescent="0.25">
      <c r="A3409" t="s">
        <v>5644</v>
      </c>
      <c r="B3409" t="s">
        <v>1204</v>
      </c>
      <c r="C3409" t="s">
        <v>146</v>
      </c>
      <c r="D3409" t="s">
        <v>2036</v>
      </c>
      <c r="E3409" t="s">
        <v>1915</v>
      </c>
      <c r="F3409">
        <v>63032</v>
      </c>
    </row>
    <row r="3410" spans="1:6" x14ac:dyDescent="0.25">
      <c r="A3410" t="s">
        <v>5645</v>
      </c>
      <c r="B3410" t="s">
        <v>1204</v>
      </c>
      <c r="C3410" t="s">
        <v>146</v>
      </c>
      <c r="D3410" t="s">
        <v>2468</v>
      </c>
      <c r="E3410" t="s">
        <v>1879</v>
      </c>
      <c r="F3410">
        <v>2391</v>
      </c>
    </row>
    <row r="3411" spans="1:6" x14ac:dyDescent="0.25">
      <c r="A3411" t="s">
        <v>5646</v>
      </c>
      <c r="B3411" t="s">
        <v>1204</v>
      </c>
      <c r="C3411" t="s">
        <v>146</v>
      </c>
      <c r="D3411" t="s">
        <v>2404</v>
      </c>
      <c r="E3411" t="s">
        <v>1879</v>
      </c>
      <c r="F3411">
        <v>20291</v>
      </c>
    </row>
    <row r="3412" spans="1:6" x14ac:dyDescent="0.25">
      <c r="A3412" t="s">
        <v>5647</v>
      </c>
      <c r="B3412" t="s">
        <v>1204</v>
      </c>
      <c r="C3412" t="s">
        <v>146</v>
      </c>
      <c r="D3412" t="s">
        <v>3248</v>
      </c>
      <c r="E3412" t="s">
        <v>1879</v>
      </c>
      <c r="F3412">
        <v>42212</v>
      </c>
    </row>
    <row r="3413" spans="1:6" x14ac:dyDescent="0.25">
      <c r="A3413" t="s">
        <v>5648</v>
      </c>
      <c r="B3413" t="s">
        <v>1204</v>
      </c>
      <c r="C3413" t="s">
        <v>146</v>
      </c>
      <c r="D3413" t="s">
        <v>2068</v>
      </c>
      <c r="E3413" t="s">
        <v>1879</v>
      </c>
      <c r="F3413">
        <v>46825</v>
      </c>
    </row>
    <row r="3414" spans="1:6" x14ac:dyDescent="0.25">
      <c r="A3414" t="s">
        <v>5649</v>
      </c>
      <c r="B3414" t="s">
        <v>1204</v>
      </c>
      <c r="C3414" t="s">
        <v>146</v>
      </c>
      <c r="D3414" t="s">
        <v>2141</v>
      </c>
      <c r="E3414" t="s">
        <v>1886</v>
      </c>
      <c r="F3414">
        <v>28751</v>
      </c>
    </row>
    <row r="3415" spans="1:6" x14ac:dyDescent="0.25">
      <c r="A3415" t="s">
        <v>5650</v>
      </c>
      <c r="B3415" t="s">
        <v>1204</v>
      </c>
      <c r="C3415" t="s">
        <v>146</v>
      </c>
      <c r="D3415" t="s">
        <v>1910</v>
      </c>
      <c r="E3415" t="s">
        <v>1915</v>
      </c>
      <c r="F3415">
        <v>66854</v>
      </c>
    </row>
    <row r="3416" spans="1:6" x14ac:dyDescent="0.25">
      <c r="A3416" t="s">
        <v>5651</v>
      </c>
      <c r="B3416" t="s">
        <v>1207</v>
      </c>
      <c r="C3416" t="s">
        <v>87</v>
      </c>
      <c r="D3416" t="s">
        <v>2221</v>
      </c>
      <c r="E3416" t="s">
        <v>1871</v>
      </c>
      <c r="F3416">
        <v>20850</v>
      </c>
    </row>
    <row r="3417" spans="1:6" x14ac:dyDescent="0.25">
      <c r="A3417" t="s">
        <v>5652</v>
      </c>
      <c r="B3417" t="s">
        <v>1207</v>
      </c>
      <c r="C3417" t="s">
        <v>87</v>
      </c>
      <c r="D3417" t="s">
        <v>2583</v>
      </c>
      <c r="E3417" t="s">
        <v>1886</v>
      </c>
      <c r="F3417">
        <v>11113</v>
      </c>
    </row>
    <row r="3418" spans="1:6" x14ac:dyDescent="0.25">
      <c r="A3418" t="s">
        <v>5653</v>
      </c>
      <c r="B3418" t="s">
        <v>1207</v>
      </c>
      <c r="C3418" t="s">
        <v>87</v>
      </c>
      <c r="D3418" t="s">
        <v>2756</v>
      </c>
      <c r="E3418" t="s">
        <v>1871</v>
      </c>
      <c r="F3418">
        <v>24076</v>
      </c>
    </row>
    <row r="3419" spans="1:6" x14ac:dyDescent="0.25">
      <c r="A3419" t="s">
        <v>5654</v>
      </c>
      <c r="B3419" t="s">
        <v>1207</v>
      </c>
      <c r="C3419" t="s">
        <v>87</v>
      </c>
      <c r="D3419" t="s">
        <v>2284</v>
      </c>
      <c r="E3419" t="s">
        <v>1915</v>
      </c>
      <c r="F3419">
        <v>45740</v>
      </c>
    </row>
    <row r="3420" spans="1:6" x14ac:dyDescent="0.25">
      <c r="A3420" t="s">
        <v>5655</v>
      </c>
      <c r="B3420" t="s">
        <v>1207</v>
      </c>
      <c r="C3420" t="s">
        <v>87</v>
      </c>
      <c r="D3420" t="s">
        <v>1908</v>
      </c>
      <c r="E3420" t="s">
        <v>1915</v>
      </c>
      <c r="F3420">
        <v>43937</v>
      </c>
    </row>
    <row r="3421" spans="1:6" x14ac:dyDescent="0.25">
      <c r="A3421" t="s">
        <v>5656</v>
      </c>
      <c r="B3421" t="s">
        <v>1207</v>
      </c>
      <c r="C3421" t="s">
        <v>87</v>
      </c>
      <c r="D3421" t="s">
        <v>2527</v>
      </c>
      <c r="E3421" t="s">
        <v>1879</v>
      </c>
      <c r="F3421">
        <v>11064</v>
      </c>
    </row>
    <row r="3422" spans="1:6" x14ac:dyDescent="0.25">
      <c r="A3422" t="s">
        <v>5657</v>
      </c>
      <c r="B3422" t="s">
        <v>1210</v>
      </c>
      <c r="C3422" t="s">
        <v>51</v>
      </c>
      <c r="D3422" t="s">
        <v>1904</v>
      </c>
      <c r="E3422" t="s">
        <v>1915</v>
      </c>
      <c r="F3422">
        <v>2700</v>
      </c>
    </row>
    <row r="3423" spans="1:6" x14ac:dyDescent="0.25">
      <c r="A3423" t="s">
        <v>5658</v>
      </c>
      <c r="B3423" t="s">
        <v>1210</v>
      </c>
      <c r="C3423" t="s">
        <v>51</v>
      </c>
      <c r="D3423" t="s">
        <v>2533</v>
      </c>
      <c r="E3423" t="s">
        <v>1886</v>
      </c>
      <c r="F3423">
        <v>29489</v>
      </c>
    </row>
    <row r="3424" spans="1:6" x14ac:dyDescent="0.25">
      <c r="A3424" t="s">
        <v>5659</v>
      </c>
      <c r="B3424" t="s">
        <v>1210</v>
      </c>
      <c r="C3424" t="s">
        <v>51</v>
      </c>
      <c r="D3424" t="s">
        <v>2775</v>
      </c>
      <c r="E3424" t="s">
        <v>1871</v>
      </c>
      <c r="F3424">
        <v>37750</v>
      </c>
    </row>
    <row r="3425" spans="1:6" x14ac:dyDescent="0.25">
      <c r="A3425" t="s">
        <v>5660</v>
      </c>
      <c r="B3425" t="s">
        <v>1210</v>
      </c>
      <c r="C3425" t="s">
        <v>51</v>
      </c>
      <c r="D3425" t="s">
        <v>2300</v>
      </c>
      <c r="E3425" t="s">
        <v>1886</v>
      </c>
      <c r="F3425">
        <v>7868</v>
      </c>
    </row>
    <row r="3426" spans="1:6" x14ac:dyDescent="0.25">
      <c r="A3426" t="s">
        <v>5661</v>
      </c>
      <c r="B3426" t="s">
        <v>1210</v>
      </c>
      <c r="C3426" t="s">
        <v>51</v>
      </c>
      <c r="D3426" t="s">
        <v>2829</v>
      </c>
      <c r="E3426" t="s">
        <v>1915</v>
      </c>
      <c r="F3426">
        <v>32184</v>
      </c>
    </row>
    <row r="3427" spans="1:6" x14ac:dyDescent="0.25">
      <c r="A3427" t="s">
        <v>5662</v>
      </c>
      <c r="B3427" t="s">
        <v>1210</v>
      </c>
      <c r="C3427" t="s">
        <v>51</v>
      </c>
      <c r="D3427" t="s">
        <v>2610</v>
      </c>
      <c r="E3427" t="s">
        <v>1915</v>
      </c>
      <c r="F3427">
        <v>61084</v>
      </c>
    </row>
    <row r="3428" spans="1:6" x14ac:dyDescent="0.25">
      <c r="A3428" t="s">
        <v>5663</v>
      </c>
      <c r="B3428" t="s">
        <v>1210</v>
      </c>
      <c r="C3428" t="s">
        <v>51</v>
      </c>
      <c r="D3428" t="s">
        <v>1964</v>
      </c>
      <c r="E3428" t="s">
        <v>1879</v>
      </c>
      <c r="F3428">
        <v>9149</v>
      </c>
    </row>
    <row r="3429" spans="1:6" x14ac:dyDescent="0.25">
      <c r="A3429" t="s">
        <v>5664</v>
      </c>
      <c r="B3429" t="s">
        <v>1210</v>
      </c>
      <c r="C3429" t="s">
        <v>51</v>
      </c>
      <c r="D3429" t="s">
        <v>2357</v>
      </c>
      <c r="E3429" t="s">
        <v>1886</v>
      </c>
      <c r="F3429">
        <v>4311</v>
      </c>
    </row>
    <row r="3430" spans="1:6" x14ac:dyDescent="0.25">
      <c r="A3430" t="s">
        <v>5665</v>
      </c>
      <c r="B3430" t="s">
        <v>1210</v>
      </c>
      <c r="C3430" t="s">
        <v>51</v>
      </c>
      <c r="D3430" t="s">
        <v>1951</v>
      </c>
      <c r="E3430" t="s">
        <v>1879</v>
      </c>
      <c r="F3430">
        <v>25160</v>
      </c>
    </row>
    <row r="3431" spans="1:6" x14ac:dyDescent="0.25">
      <c r="A3431" t="s">
        <v>5666</v>
      </c>
      <c r="B3431" t="s">
        <v>1210</v>
      </c>
      <c r="C3431" t="s">
        <v>51</v>
      </c>
      <c r="D3431" t="s">
        <v>2395</v>
      </c>
      <c r="E3431" t="s">
        <v>1915</v>
      </c>
      <c r="F3431">
        <v>8693</v>
      </c>
    </row>
    <row r="3432" spans="1:6" x14ac:dyDescent="0.25">
      <c r="A3432" t="s">
        <v>5667</v>
      </c>
      <c r="B3432" t="s">
        <v>1213</v>
      </c>
      <c r="C3432" t="s">
        <v>51</v>
      </c>
      <c r="D3432" t="s">
        <v>2527</v>
      </c>
      <c r="E3432" t="s">
        <v>1876</v>
      </c>
      <c r="F3432">
        <v>10441</v>
      </c>
    </row>
    <row r="3433" spans="1:6" x14ac:dyDescent="0.25">
      <c r="A3433" t="s">
        <v>5668</v>
      </c>
      <c r="B3433" t="s">
        <v>1213</v>
      </c>
      <c r="C3433" t="s">
        <v>51</v>
      </c>
      <c r="D3433" t="s">
        <v>2346</v>
      </c>
      <c r="E3433" t="s">
        <v>1871</v>
      </c>
      <c r="F3433">
        <v>4549</v>
      </c>
    </row>
    <row r="3434" spans="1:6" x14ac:dyDescent="0.25">
      <c r="A3434" t="s">
        <v>5669</v>
      </c>
      <c r="B3434" t="s">
        <v>1213</v>
      </c>
      <c r="C3434" t="s">
        <v>51</v>
      </c>
      <c r="D3434" t="s">
        <v>4317</v>
      </c>
      <c r="E3434" t="s">
        <v>1879</v>
      </c>
      <c r="F3434">
        <v>5653</v>
      </c>
    </row>
    <row r="3435" spans="1:6" x14ac:dyDescent="0.25">
      <c r="A3435" t="s">
        <v>5670</v>
      </c>
      <c r="B3435" t="s">
        <v>1213</v>
      </c>
      <c r="C3435" t="s">
        <v>51</v>
      </c>
      <c r="D3435" t="s">
        <v>2713</v>
      </c>
      <c r="E3435" t="s">
        <v>1871</v>
      </c>
      <c r="F3435">
        <v>10245</v>
      </c>
    </row>
    <row r="3436" spans="1:6" x14ac:dyDescent="0.25">
      <c r="A3436" t="s">
        <v>5671</v>
      </c>
      <c r="B3436" t="s">
        <v>1213</v>
      </c>
      <c r="C3436" t="s">
        <v>51</v>
      </c>
      <c r="D3436" t="s">
        <v>2048</v>
      </c>
      <c r="E3436" t="s">
        <v>1876</v>
      </c>
      <c r="F3436">
        <v>11549</v>
      </c>
    </row>
    <row r="3437" spans="1:6" x14ac:dyDescent="0.25">
      <c r="A3437" t="s">
        <v>5672</v>
      </c>
      <c r="B3437" t="s">
        <v>1213</v>
      </c>
      <c r="C3437" t="s">
        <v>51</v>
      </c>
      <c r="D3437" t="s">
        <v>3026</v>
      </c>
      <c r="E3437" t="s">
        <v>1915</v>
      </c>
      <c r="F3437">
        <v>6555</v>
      </c>
    </row>
    <row r="3438" spans="1:6" x14ac:dyDescent="0.25">
      <c r="A3438" t="s">
        <v>5673</v>
      </c>
      <c r="B3438" t="s">
        <v>1213</v>
      </c>
      <c r="C3438" t="s">
        <v>51</v>
      </c>
      <c r="D3438" t="s">
        <v>2430</v>
      </c>
      <c r="E3438" t="s">
        <v>1886</v>
      </c>
      <c r="F3438">
        <v>14787</v>
      </c>
    </row>
    <row r="3439" spans="1:6" x14ac:dyDescent="0.25">
      <c r="A3439" t="s">
        <v>5674</v>
      </c>
      <c r="B3439" t="s">
        <v>1213</v>
      </c>
      <c r="C3439" t="s">
        <v>51</v>
      </c>
      <c r="D3439" t="s">
        <v>2473</v>
      </c>
      <c r="E3439" t="s">
        <v>1871</v>
      </c>
      <c r="F3439">
        <v>12159</v>
      </c>
    </row>
    <row r="3440" spans="1:6" x14ac:dyDescent="0.25">
      <c r="A3440" t="s">
        <v>5675</v>
      </c>
      <c r="B3440" t="s">
        <v>1213</v>
      </c>
      <c r="C3440" t="s">
        <v>51</v>
      </c>
      <c r="D3440" t="s">
        <v>1878</v>
      </c>
      <c r="E3440" t="s">
        <v>1915</v>
      </c>
      <c r="F3440">
        <v>16493</v>
      </c>
    </row>
    <row r="3441" spans="1:6" x14ac:dyDescent="0.25">
      <c r="A3441" t="s">
        <v>5676</v>
      </c>
      <c r="B3441" t="s">
        <v>1213</v>
      </c>
      <c r="C3441" t="s">
        <v>51</v>
      </c>
      <c r="D3441" t="s">
        <v>2509</v>
      </c>
      <c r="E3441" t="s">
        <v>1876</v>
      </c>
      <c r="F3441">
        <v>2604</v>
      </c>
    </row>
    <row r="3442" spans="1:6" x14ac:dyDescent="0.25">
      <c r="A3442" t="s">
        <v>5677</v>
      </c>
      <c r="B3442" t="s">
        <v>1213</v>
      </c>
      <c r="C3442" t="s">
        <v>51</v>
      </c>
      <c r="D3442" t="s">
        <v>2965</v>
      </c>
      <c r="E3442" t="s">
        <v>1915</v>
      </c>
      <c r="F3442">
        <v>9509</v>
      </c>
    </row>
    <row r="3443" spans="1:6" x14ac:dyDescent="0.25">
      <c r="A3443" t="s">
        <v>5678</v>
      </c>
      <c r="B3443" t="s">
        <v>1216</v>
      </c>
      <c r="C3443" t="s">
        <v>51</v>
      </c>
      <c r="D3443" t="s">
        <v>2352</v>
      </c>
      <c r="E3443" t="s">
        <v>1886</v>
      </c>
      <c r="F3443">
        <v>28573</v>
      </c>
    </row>
    <row r="3444" spans="1:6" x14ac:dyDescent="0.25">
      <c r="A3444" t="s">
        <v>5679</v>
      </c>
      <c r="B3444" t="s">
        <v>1216</v>
      </c>
      <c r="C3444" t="s">
        <v>51</v>
      </c>
      <c r="D3444" t="s">
        <v>1998</v>
      </c>
      <c r="E3444" t="s">
        <v>1876</v>
      </c>
      <c r="F3444">
        <v>18955</v>
      </c>
    </row>
    <row r="3445" spans="1:6" x14ac:dyDescent="0.25">
      <c r="A3445" t="s">
        <v>5680</v>
      </c>
      <c r="B3445" t="s">
        <v>1216</v>
      </c>
      <c r="C3445" t="s">
        <v>51</v>
      </c>
      <c r="D3445" t="s">
        <v>2434</v>
      </c>
      <c r="E3445" t="s">
        <v>1915</v>
      </c>
      <c r="F3445">
        <v>23679</v>
      </c>
    </row>
    <row r="3446" spans="1:6" x14ac:dyDescent="0.25">
      <c r="A3446" t="s">
        <v>5681</v>
      </c>
      <c r="B3446" t="s">
        <v>1216</v>
      </c>
      <c r="C3446" t="s">
        <v>51</v>
      </c>
      <c r="D3446" t="s">
        <v>2958</v>
      </c>
      <c r="E3446" t="s">
        <v>1915</v>
      </c>
      <c r="F3446">
        <v>18215</v>
      </c>
    </row>
    <row r="3447" spans="1:6" x14ac:dyDescent="0.25">
      <c r="A3447" t="s">
        <v>5682</v>
      </c>
      <c r="B3447" t="s">
        <v>1216</v>
      </c>
      <c r="C3447" t="s">
        <v>51</v>
      </c>
      <c r="D3447" t="s">
        <v>2359</v>
      </c>
      <c r="E3447" t="s">
        <v>1879</v>
      </c>
      <c r="F3447">
        <v>17176</v>
      </c>
    </row>
    <row r="3448" spans="1:6" x14ac:dyDescent="0.25">
      <c r="A3448" t="s">
        <v>5683</v>
      </c>
      <c r="B3448" t="s">
        <v>1216</v>
      </c>
      <c r="C3448" t="s">
        <v>51</v>
      </c>
      <c r="D3448" t="s">
        <v>2531</v>
      </c>
      <c r="E3448" t="s">
        <v>1886</v>
      </c>
      <c r="F3448">
        <v>10844</v>
      </c>
    </row>
    <row r="3449" spans="1:6" x14ac:dyDescent="0.25">
      <c r="A3449" t="s">
        <v>5684</v>
      </c>
      <c r="B3449" t="s">
        <v>1216</v>
      </c>
      <c r="C3449" t="s">
        <v>51</v>
      </c>
      <c r="D3449" t="s">
        <v>2502</v>
      </c>
      <c r="E3449" t="s">
        <v>1915</v>
      </c>
      <c r="F3449">
        <v>9609</v>
      </c>
    </row>
    <row r="3450" spans="1:6" x14ac:dyDescent="0.25">
      <c r="A3450" t="s">
        <v>5685</v>
      </c>
      <c r="B3450" t="s">
        <v>1216</v>
      </c>
      <c r="C3450" t="s">
        <v>51</v>
      </c>
      <c r="D3450" t="s">
        <v>2713</v>
      </c>
      <c r="E3450" t="s">
        <v>1876</v>
      </c>
      <c r="F3450">
        <v>12787</v>
      </c>
    </row>
    <row r="3451" spans="1:6" x14ac:dyDescent="0.25">
      <c r="A3451" t="s">
        <v>5686</v>
      </c>
      <c r="B3451" t="s">
        <v>1216</v>
      </c>
      <c r="C3451" t="s">
        <v>51</v>
      </c>
      <c r="D3451" t="s">
        <v>2708</v>
      </c>
      <c r="E3451" t="s">
        <v>1879</v>
      </c>
      <c r="F3451">
        <v>18353</v>
      </c>
    </row>
    <row r="3452" spans="1:6" x14ac:dyDescent="0.25">
      <c r="A3452" t="s">
        <v>5687</v>
      </c>
      <c r="B3452" t="s">
        <v>1219</v>
      </c>
      <c r="C3452" t="s">
        <v>73</v>
      </c>
      <c r="D3452" t="s">
        <v>2502</v>
      </c>
      <c r="E3452" t="s">
        <v>1871</v>
      </c>
      <c r="F3452">
        <v>630</v>
      </c>
    </row>
    <row r="3453" spans="1:6" x14ac:dyDescent="0.25">
      <c r="A3453" t="s">
        <v>5688</v>
      </c>
      <c r="B3453" t="s">
        <v>1219</v>
      </c>
      <c r="C3453" t="s">
        <v>73</v>
      </c>
      <c r="D3453" t="s">
        <v>2544</v>
      </c>
      <c r="E3453" t="s">
        <v>1876</v>
      </c>
      <c r="F3453">
        <v>5370</v>
      </c>
    </row>
    <row r="3454" spans="1:6" x14ac:dyDescent="0.25">
      <c r="A3454" t="s">
        <v>5689</v>
      </c>
      <c r="B3454" t="s">
        <v>1219</v>
      </c>
      <c r="C3454" t="s">
        <v>73</v>
      </c>
      <c r="D3454" t="s">
        <v>2631</v>
      </c>
      <c r="E3454" t="s">
        <v>1915</v>
      </c>
      <c r="F3454">
        <v>1117</v>
      </c>
    </row>
    <row r="3455" spans="1:6" x14ac:dyDescent="0.25">
      <c r="A3455" t="s">
        <v>5690</v>
      </c>
      <c r="B3455" t="s">
        <v>1219</v>
      </c>
      <c r="C3455" t="s">
        <v>73</v>
      </c>
      <c r="D3455" t="s">
        <v>3395</v>
      </c>
      <c r="E3455" t="s">
        <v>1915</v>
      </c>
      <c r="F3455">
        <v>10233</v>
      </c>
    </row>
    <row r="3456" spans="1:6" x14ac:dyDescent="0.25">
      <c r="A3456" t="s">
        <v>5691</v>
      </c>
      <c r="B3456" t="s">
        <v>1219</v>
      </c>
      <c r="C3456" t="s">
        <v>73</v>
      </c>
      <c r="D3456" t="s">
        <v>2624</v>
      </c>
      <c r="E3456" t="s">
        <v>1879</v>
      </c>
      <c r="F3456">
        <v>3324</v>
      </c>
    </row>
    <row r="3457" spans="1:6" x14ac:dyDescent="0.25">
      <c r="A3457" t="s">
        <v>5692</v>
      </c>
      <c r="B3457" t="s">
        <v>1219</v>
      </c>
      <c r="C3457" t="s">
        <v>73</v>
      </c>
      <c r="D3457" t="s">
        <v>1929</v>
      </c>
      <c r="E3457" t="s">
        <v>1886</v>
      </c>
      <c r="F3457">
        <v>21730</v>
      </c>
    </row>
    <row r="3458" spans="1:6" x14ac:dyDescent="0.25">
      <c r="A3458" t="s">
        <v>5693</v>
      </c>
      <c r="B3458" t="s">
        <v>1219</v>
      </c>
      <c r="C3458" t="s">
        <v>73</v>
      </c>
      <c r="D3458" t="s">
        <v>2224</v>
      </c>
      <c r="E3458" t="s">
        <v>1871</v>
      </c>
      <c r="F3458">
        <v>5464</v>
      </c>
    </row>
    <row r="3459" spans="1:6" x14ac:dyDescent="0.25">
      <c r="A3459" t="s">
        <v>5694</v>
      </c>
      <c r="B3459" t="s">
        <v>1219</v>
      </c>
      <c r="C3459" t="s">
        <v>73</v>
      </c>
      <c r="D3459" t="s">
        <v>2529</v>
      </c>
      <c r="E3459" t="s">
        <v>1886</v>
      </c>
      <c r="F3459">
        <v>34554</v>
      </c>
    </row>
    <row r="3460" spans="1:6" x14ac:dyDescent="0.25">
      <c r="A3460" t="s">
        <v>5695</v>
      </c>
      <c r="B3460" t="s">
        <v>1222</v>
      </c>
      <c r="C3460" t="s">
        <v>96</v>
      </c>
      <c r="D3460" t="s">
        <v>1945</v>
      </c>
      <c r="E3460" t="s">
        <v>1871</v>
      </c>
      <c r="F3460">
        <v>8087</v>
      </c>
    </row>
    <row r="3461" spans="1:6" x14ac:dyDescent="0.25">
      <c r="A3461" t="s">
        <v>5696</v>
      </c>
      <c r="B3461" t="s">
        <v>1222</v>
      </c>
      <c r="C3461" t="s">
        <v>96</v>
      </c>
      <c r="D3461" t="s">
        <v>2314</v>
      </c>
      <c r="E3461" t="s">
        <v>1879</v>
      </c>
      <c r="F3461">
        <v>11456</v>
      </c>
    </row>
    <row r="3462" spans="1:6" x14ac:dyDescent="0.25">
      <c r="A3462" t="s">
        <v>5697</v>
      </c>
      <c r="B3462" t="s">
        <v>1222</v>
      </c>
      <c r="C3462" t="s">
        <v>96</v>
      </c>
      <c r="D3462" t="s">
        <v>2561</v>
      </c>
      <c r="E3462" t="s">
        <v>1879</v>
      </c>
      <c r="F3462">
        <v>5055</v>
      </c>
    </row>
    <row r="3463" spans="1:6" x14ac:dyDescent="0.25">
      <c r="A3463" t="s">
        <v>5698</v>
      </c>
      <c r="B3463" t="s">
        <v>1222</v>
      </c>
      <c r="C3463" t="s">
        <v>96</v>
      </c>
      <c r="D3463" t="s">
        <v>2053</v>
      </c>
      <c r="E3463" t="s">
        <v>1876</v>
      </c>
      <c r="F3463">
        <v>8828</v>
      </c>
    </row>
    <row r="3464" spans="1:6" x14ac:dyDescent="0.25">
      <c r="A3464" t="s">
        <v>5699</v>
      </c>
      <c r="B3464" t="s">
        <v>1222</v>
      </c>
      <c r="C3464" t="s">
        <v>96</v>
      </c>
      <c r="D3464" t="s">
        <v>2878</v>
      </c>
      <c r="E3464" t="s">
        <v>1915</v>
      </c>
      <c r="F3464">
        <v>7950</v>
      </c>
    </row>
    <row r="3465" spans="1:6" x14ac:dyDescent="0.25">
      <c r="A3465" t="s">
        <v>5700</v>
      </c>
      <c r="B3465" t="s">
        <v>1222</v>
      </c>
      <c r="C3465" t="s">
        <v>96</v>
      </c>
      <c r="D3465" t="s">
        <v>2346</v>
      </c>
      <c r="E3465" t="s">
        <v>1879</v>
      </c>
      <c r="F3465">
        <v>12000</v>
      </c>
    </row>
    <row r="3466" spans="1:6" x14ac:dyDescent="0.25">
      <c r="A3466" t="s">
        <v>5701</v>
      </c>
      <c r="B3466" t="s">
        <v>1222</v>
      </c>
      <c r="C3466" t="s">
        <v>96</v>
      </c>
      <c r="D3466" t="s">
        <v>2745</v>
      </c>
      <c r="E3466" t="s">
        <v>1915</v>
      </c>
      <c r="F3466">
        <v>21901</v>
      </c>
    </row>
    <row r="3467" spans="1:6" x14ac:dyDescent="0.25">
      <c r="A3467" t="s">
        <v>5702</v>
      </c>
      <c r="B3467" t="s">
        <v>1225</v>
      </c>
      <c r="C3467" t="s">
        <v>51</v>
      </c>
      <c r="D3467" t="s">
        <v>2604</v>
      </c>
      <c r="E3467" t="s">
        <v>1876</v>
      </c>
      <c r="F3467">
        <v>29129</v>
      </c>
    </row>
    <row r="3468" spans="1:6" x14ac:dyDescent="0.25">
      <c r="A3468" t="s">
        <v>5703</v>
      </c>
      <c r="B3468" t="s">
        <v>1225</v>
      </c>
      <c r="C3468" t="s">
        <v>51</v>
      </c>
      <c r="D3468" t="s">
        <v>2840</v>
      </c>
      <c r="E3468" t="s">
        <v>1871</v>
      </c>
      <c r="F3468">
        <v>27700</v>
      </c>
    </row>
    <row r="3469" spans="1:6" x14ac:dyDescent="0.25">
      <c r="A3469" t="s">
        <v>5704</v>
      </c>
      <c r="B3469" t="s">
        <v>1225</v>
      </c>
      <c r="C3469" t="s">
        <v>51</v>
      </c>
      <c r="D3469" t="s">
        <v>2720</v>
      </c>
      <c r="E3469" t="s">
        <v>1915</v>
      </c>
      <c r="F3469">
        <v>11632</v>
      </c>
    </row>
    <row r="3470" spans="1:6" x14ac:dyDescent="0.25">
      <c r="A3470" t="s">
        <v>5705</v>
      </c>
      <c r="B3470" t="s">
        <v>1225</v>
      </c>
      <c r="C3470" t="s">
        <v>51</v>
      </c>
      <c r="D3470" t="s">
        <v>1927</v>
      </c>
      <c r="E3470" t="s">
        <v>1886</v>
      </c>
      <c r="F3470">
        <v>31422</v>
      </c>
    </row>
    <row r="3471" spans="1:6" x14ac:dyDescent="0.25">
      <c r="A3471" t="s">
        <v>5706</v>
      </c>
      <c r="B3471" t="s">
        <v>1225</v>
      </c>
      <c r="C3471" t="s">
        <v>51</v>
      </c>
      <c r="D3471" t="s">
        <v>2188</v>
      </c>
      <c r="E3471" t="s">
        <v>1915</v>
      </c>
      <c r="F3471">
        <v>27352</v>
      </c>
    </row>
    <row r="3472" spans="1:6" x14ac:dyDescent="0.25">
      <c r="A3472" t="s">
        <v>5707</v>
      </c>
      <c r="B3472" t="s">
        <v>1225</v>
      </c>
      <c r="C3472" t="s">
        <v>51</v>
      </c>
      <c r="D3472" t="s">
        <v>2473</v>
      </c>
      <c r="E3472" t="s">
        <v>1876</v>
      </c>
      <c r="F3472">
        <v>5543</v>
      </c>
    </row>
    <row r="3473" spans="1:6" x14ac:dyDescent="0.25">
      <c r="A3473" t="s">
        <v>5708</v>
      </c>
      <c r="B3473" t="s">
        <v>1225</v>
      </c>
      <c r="C3473" t="s">
        <v>51</v>
      </c>
      <c r="D3473" t="s">
        <v>2254</v>
      </c>
      <c r="E3473" t="s">
        <v>1871</v>
      </c>
      <c r="F3473">
        <v>11958</v>
      </c>
    </row>
    <row r="3474" spans="1:6" x14ac:dyDescent="0.25">
      <c r="A3474" t="s">
        <v>5709</v>
      </c>
      <c r="B3474" t="s">
        <v>1225</v>
      </c>
      <c r="C3474" t="s">
        <v>51</v>
      </c>
      <c r="D3474" t="s">
        <v>2291</v>
      </c>
      <c r="E3474" t="s">
        <v>1876</v>
      </c>
      <c r="F3474">
        <v>10368</v>
      </c>
    </row>
    <row r="3475" spans="1:6" x14ac:dyDescent="0.25">
      <c r="A3475" t="s">
        <v>5710</v>
      </c>
      <c r="B3475" t="s">
        <v>1225</v>
      </c>
      <c r="C3475" t="s">
        <v>51</v>
      </c>
      <c r="D3475" t="s">
        <v>2464</v>
      </c>
      <c r="E3475" t="s">
        <v>1886</v>
      </c>
      <c r="F3475">
        <v>30392</v>
      </c>
    </row>
    <row r="3476" spans="1:6" x14ac:dyDescent="0.25">
      <c r="A3476" t="s">
        <v>5711</v>
      </c>
      <c r="B3476" t="s">
        <v>1225</v>
      </c>
      <c r="C3476" t="s">
        <v>51</v>
      </c>
      <c r="D3476" t="s">
        <v>1973</v>
      </c>
      <c r="E3476" t="s">
        <v>1879</v>
      </c>
      <c r="F3476">
        <v>26128</v>
      </c>
    </row>
    <row r="3477" spans="1:6" x14ac:dyDescent="0.25">
      <c r="A3477" t="s">
        <v>5712</v>
      </c>
      <c r="B3477" t="s">
        <v>1225</v>
      </c>
      <c r="C3477" t="s">
        <v>51</v>
      </c>
      <c r="D3477" t="s">
        <v>2529</v>
      </c>
      <c r="E3477" t="s">
        <v>1879</v>
      </c>
      <c r="F3477">
        <v>7286</v>
      </c>
    </row>
    <row r="3478" spans="1:6" x14ac:dyDescent="0.25">
      <c r="A3478" t="s">
        <v>5713</v>
      </c>
      <c r="B3478" t="s">
        <v>1228</v>
      </c>
      <c r="C3478" t="s">
        <v>96</v>
      </c>
      <c r="D3478" t="s">
        <v>2615</v>
      </c>
      <c r="E3478" t="s">
        <v>1915</v>
      </c>
      <c r="F3478">
        <v>3119</v>
      </c>
    </row>
    <row r="3479" spans="1:6" x14ac:dyDescent="0.25">
      <c r="A3479" t="s">
        <v>5714</v>
      </c>
      <c r="B3479" t="s">
        <v>1228</v>
      </c>
      <c r="C3479" t="s">
        <v>96</v>
      </c>
      <c r="D3479" t="s">
        <v>2423</v>
      </c>
      <c r="E3479" t="s">
        <v>1879</v>
      </c>
      <c r="F3479">
        <v>1706</v>
      </c>
    </row>
    <row r="3480" spans="1:6" x14ac:dyDescent="0.25">
      <c r="A3480" t="s">
        <v>5715</v>
      </c>
      <c r="B3480" t="s">
        <v>1228</v>
      </c>
      <c r="C3480" t="s">
        <v>96</v>
      </c>
      <c r="D3480" t="s">
        <v>2018</v>
      </c>
      <c r="E3480" t="s">
        <v>1915</v>
      </c>
      <c r="F3480">
        <v>24327</v>
      </c>
    </row>
    <row r="3481" spans="1:6" x14ac:dyDescent="0.25">
      <c r="A3481" t="s">
        <v>5716</v>
      </c>
      <c r="B3481" t="s">
        <v>1228</v>
      </c>
      <c r="C3481" t="s">
        <v>96</v>
      </c>
      <c r="D3481" t="s">
        <v>2357</v>
      </c>
      <c r="E3481" t="s">
        <v>1886</v>
      </c>
      <c r="F3481">
        <v>5511</v>
      </c>
    </row>
    <row r="3482" spans="1:6" x14ac:dyDescent="0.25">
      <c r="A3482" t="s">
        <v>5717</v>
      </c>
      <c r="B3482" t="s">
        <v>1228</v>
      </c>
      <c r="C3482" t="s">
        <v>96</v>
      </c>
      <c r="D3482" t="s">
        <v>1962</v>
      </c>
      <c r="E3482" t="s">
        <v>1879</v>
      </c>
      <c r="F3482">
        <v>40320</v>
      </c>
    </row>
    <row r="3483" spans="1:6" x14ac:dyDescent="0.25">
      <c r="A3483" t="s">
        <v>5718</v>
      </c>
      <c r="B3483" t="s">
        <v>1228</v>
      </c>
      <c r="C3483" t="s">
        <v>96</v>
      </c>
      <c r="D3483" t="s">
        <v>2234</v>
      </c>
      <c r="E3483" t="s">
        <v>1879</v>
      </c>
      <c r="F3483">
        <v>45916</v>
      </c>
    </row>
    <row r="3484" spans="1:6" x14ac:dyDescent="0.25">
      <c r="A3484" t="s">
        <v>5719</v>
      </c>
      <c r="B3484" t="s">
        <v>1228</v>
      </c>
      <c r="C3484" t="s">
        <v>96</v>
      </c>
      <c r="D3484" t="s">
        <v>2346</v>
      </c>
      <c r="E3484" t="s">
        <v>1886</v>
      </c>
      <c r="F3484">
        <v>12142</v>
      </c>
    </row>
    <row r="3485" spans="1:6" x14ac:dyDescent="0.25">
      <c r="A3485" t="s">
        <v>5720</v>
      </c>
      <c r="B3485" t="s">
        <v>1228</v>
      </c>
      <c r="C3485" t="s">
        <v>96</v>
      </c>
      <c r="D3485" t="s">
        <v>1990</v>
      </c>
      <c r="E3485" t="s">
        <v>1871</v>
      </c>
      <c r="F3485">
        <v>2959</v>
      </c>
    </row>
    <row r="3486" spans="1:6" x14ac:dyDescent="0.25">
      <c r="A3486" t="s">
        <v>5721</v>
      </c>
      <c r="B3486" t="s">
        <v>1228</v>
      </c>
      <c r="C3486" t="s">
        <v>96</v>
      </c>
      <c r="D3486" t="s">
        <v>2193</v>
      </c>
      <c r="E3486" t="s">
        <v>1915</v>
      </c>
      <c r="F3486">
        <v>18035</v>
      </c>
    </row>
    <row r="3487" spans="1:6" x14ac:dyDescent="0.25">
      <c r="A3487" t="s">
        <v>5722</v>
      </c>
      <c r="B3487" t="s">
        <v>1228</v>
      </c>
      <c r="C3487" t="s">
        <v>96</v>
      </c>
      <c r="D3487" t="s">
        <v>1978</v>
      </c>
      <c r="E3487" t="s">
        <v>1876</v>
      </c>
      <c r="F3487">
        <v>31652</v>
      </c>
    </row>
    <row r="3488" spans="1:6" x14ac:dyDescent="0.25">
      <c r="A3488" t="s">
        <v>5723</v>
      </c>
      <c r="B3488" t="s">
        <v>1228</v>
      </c>
      <c r="C3488" t="s">
        <v>96</v>
      </c>
      <c r="D3488" t="s">
        <v>2468</v>
      </c>
      <c r="E3488" t="s">
        <v>1871</v>
      </c>
      <c r="F3488">
        <v>16167</v>
      </c>
    </row>
    <row r="3489" spans="1:6" x14ac:dyDescent="0.25">
      <c r="A3489" t="s">
        <v>5724</v>
      </c>
      <c r="B3489" t="s">
        <v>1228</v>
      </c>
      <c r="C3489" t="s">
        <v>96</v>
      </c>
      <c r="D3489" t="s">
        <v>2693</v>
      </c>
      <c r="E3489" t="s">
        <v>1915</v>
      </c>
      <c r="F3489">
        <v>50136</v>
      </c>
    </row>
    <row r="3490" spans="1:6" x14ac:dyDescent="0.25">
      <c r="A3490" t="s">
        <v>5725</v>
      </c>
      <c r="B3490" t="s">
        <v>1231</v>
      </c>
      <c r="C3490" t="s">
        <v>146</v>
      </c>
      <c r="D3490" t="s">
        <v>2457</v>
      </c>
      <c r="E3490" t="s">
        <v>1876</v>
      </c>
      <c r="F3490">
        <v>6960</v>
      </c>
    </row>
    <row r="3491" spans="1:6" x14ac:dyDescent="0.25">
      <c r="A3491" t="s">
        <v>5726</v>
      </c>
      <c r="B3491" t="s">
        <v>1231</v>
      </c>
      <c r="C3491" t="s">
        <v>146</v>
      </c>
      <c r="D3491" t="s">
        <v>1998</v>
      </c>
      <c r="E3491" t="s">
        <v>1915</v>
      </c>
      <c r="F3491">
        <v>36629</v>
      </c>
    </row>
    <row r="3492" spans="1:6" x14ac:dyDescent="0.25">
      <c r="A3492" t="s">
        <v>5727</v>
      </c>
      <c r="B3492" t="s">
        <v>1231</v>
      </c>
      <c r="C3492" t="s">
        <v>146</v>
      </c>
      <c r="D3492" t="s">
        <v>2134</v>
      </c>
      <c r="E3492" t="s">
        <v>1879</v>
      </c>
      <c r="F3492">
        <v>14741</v>
      </c>
    </row>
    <row r="3493" spans="1:6" x14ac:dyDescent="0.25">
      <c r="A3493" t="s">
        <v>5728</v>
      </c>
      <c r="B3493" t="s">
        <v>1231</v>
      </c>
      <c r="C3493" t="s">
        <v>146</v>
      </c>
      <c r="D3493" t="s">
        <v>2085</v>
      </c>
      <c r="E3493" t="s">
        <v>1871</v>
      </c>
      <c r="F3493">
        <v>28956</v>
      </c>
    </row>
    <row r="3494" spans="1:6" x14ac:dyDescent="0.25">
      <c r="A3494" t="s">
        <v>5729</v>
      </c>
      <c r="B3494" t="s">
        <v>1231</v>
      </c>
      <c r="C3494" t="s">
        <v>146</v>
      </c>
      <c r="D3494" t="s">
        <v>2846</v>
      </c>
      <c r="E3494" t="s">
        <v>1876</v>
      </c>
      <c r="F3494">
        <v>1574</v>
      </c>
    </row>
    <row r="3495" spans="1:6" x14ac:dyDescent="0.25">
      <c r="A3495" t="s">
        <v>5730</v>
      </c>
      <c r="B3495" t="s">
        <v>1231</v>
      </c>
      <c r="C3495" t="s">
        <v>146</v>
      </c>
      <c r="D3495" t="s">
        <v>2513</v>
      </c>
      <c r="E3495" t="s">
        <v>1915</v>
      </c>
      <c r="F3495">
        <v>33834</v>
      </c>
    </row>
    <row r="3496" spans="1:6" x14ac:dyDescent="0.25">
      <c r="A3496" t="s">
        <v>5731</v>
      </c>
      <c r="B3496" t="s">
        <v>1234</v>
      </c>
      <c r="C3496" t="s">
        <v>146</v>
      </c>
      <c r="D3496" t="s">
        <v>2016</v>
      </c>
      <c r="E3496" t="s">
        <v>1879</v>
      </c>
      <c r="F3496">
        <v>21346</v>
      </c>
    </row>
    <row r="3497" spans="1:6" x14ac:dyDescent="0.25">
      <c r="A3497" t="s">
        <v>5732</v>
      </c>
      <c r="B3497" t="s">
        <v>1234</v>
      </c>
      <c r="C3497" t="s">
        <v>146</v>
      </c>
      <c r="D3497" t="s">
        <v>3129</v>
      </c>
      <c r="E3497" t="s">
        <v>1879</v>
      </c>
      <c r="F3497">
        <v>9611</v>
      </c>
    </row>
    <row r="3498" spans="1:6" x14ac:dyDescent="0.25">
      <c r="A3498" t="s">
        <v>5733</v>
      </c>
      <c r="B3498" t="s">
        <v>1234</v>
      </c>
      <c r="C3498" t="s">
        <v>146</v>
      </c>
      <c r="D3498" t="s">
        <v>2430</v>
      </c>
      <c r="E3498" t="s">
        <v>1871</v>
      </c>
      <c r="F3498">
        <v>28258</v>
      </c>
    </row>
    <row r="3499" spans="1:6" x14ac:dyDescent="0.25">
      <c r="A3499" t="s">
        <v>5734</v>
      </c>
      <c r="B3499" t="s">
        <v>1234</v>
      </c>
      <c r="C3499" t="s">
        <v>146</v>
      </c>
      <c r="D3499" t="s">
        <v>2954</v>
      </c>
      <c r="E3499" t="s">
        <v>1886</v>
      </c>
      <c r="F3499">
        <v>2932</v>
      </c>
    </row>
    <row r="3500" spans="1:6" x14ac:dyDescent="0.25">
      <c r="A3500" t="s">
        <v>5735</v>
      </c>
      <c r="B3500" t="s">
        <v>1234</v>
      </c>
      <c r="C3500" t="s">
        <v>146</v>
      </c>
      <c r="D3500" t="s">
        <v>2412</v>
      </c>
      <c r="E3500" t="s">
        <v>1915</v>
      </c>
      <c r="F3500">
        <v>52264</v>
      </c>
    </row>
    <row r="3501" spans="1:6" x14ac:dyDescent="0.25">
      <c r="A3501" t="s">
        <v>5736</v>
      </c>
      <c r="B3501" t="s">
        <v>1234</v>
      </c>
      <c r="C3501" t="s">
        <v>146</v>
      </c>
      <c r="D3501" t="s">
        <v>2779</v>
      </c>
      <c r="E3501" t="s">
        <v>1879</v>
      </c>
      <c r="F3501">
        <v>17100</v>
      </c>
    </row>
    <row r="3502" spans="1:6" x14ac:dyDescent="0.25">
      <c r="A3502" t="s">
        <v>5737</v>
      </c>
      <c r="B3502" t="s">
        <v>1234</v>
      </c>
      <c r="C3502" t="s">
        <v>146</v>
      </c>
      <c r="D3502" t="s">
        <v>2238</v>
      </c>
      <c r="E3502" t="s">
        <v>1915</v>
      </c>
      <c r="F3502">
        <v>4518</v>
      </c>
    </row>
    <row r="3503" spans="1:6" x14ac:dyDescent="0.25">
      <c r="A3503" t="s">
        <v>5738</v>
      </c>
      <c r="B3503" t="s">
        <v>1236</v>
      </c>
      <c r="C3503" t="s">
        <v>87</v>
      </c>
      <c r="D3503" t="s">
        <v>2271</v>
      </c>
      <c r="E3503" t="s">
        <v>1876</v>
      </c>
      <c r="F3503">
        <v>24205</v>
      </c>
    </row>
    <row r="3504" spans="1:6" x14ac:dyDescent="0.25">
      <c r="A3504" t="s">
        <v>5739</v>
      </c>
      <c r="B3504" t="s">
        <v>1236</v>
      </c>
      <c r="C3504" t="s">
        <v>87</v>
      </c>
      <c r="D3504" t="s">
        <v>2230</v>
      </c>
      <c r="E3504" t="s">
        <v>1886</v>
      </c>
      <c r="F3504">
        <v>31744</v>
      </c>
    </row>
    <row r="3505" spans="1:6" x14ac:dyDescent="0.25">
      <c r="A3505" t="s">
        <v>5740</v>
      </c>
      <c r="B3505" t="s">
        <v>1236</v>
      </c>
      <c r="C3505" t="s">
        <v>87</v>
      </c>
      <c r="D3505" t="s">
        <v>1881</v>
      </c>
      <c r="E3505" t="s">
        <v>1871</v>
      </c>
      <c r="F3505">
        <v>20052</v>
      </c>
    </row>
    <row r="3506" spans="1:6" x14ac:dyDescent="0.25">
      <c r="A3506" t="s">
        <v>5741</v>
      </c>
      <c r="B3506" t="s">
        <v>1236</v>
      </c>
      <c r="C3506" t="s">
        <v>87</v>
      </c>
      <c r="D3506" t="s">
        <v>2464</v>
      </c>
      <c r="E3506" t="s">
        <v>1915</v>
      </c>
      <c r="F3506">
        <v>50886</v>
      </c>
    </row>
    <row r="3507" spans="1:6" x14ac:dyDescent="0.25">
      <c r="A3507" t="s">
        <v>5742</v>
      </c>
      <c r="B3507" t="s">
        <v>1236</v>
      </c>
      <c r="C3507" t="s">
        <v>87</v>
      </c>
      <c r="D3507" t="s">
        <v>1888</v>
      </c>
      <c r="E3507" t="s">
        <v>1886</v>
      </c>
      <c r="F3507">
        <v>22370</v>
      </c>
    </row>
    <row r="3508" spans="1:6" x14ac:dyDescent="0.25">
      <c r="A3508" t="s">
        <v>5743</v>
      </c>
      <c r="B3508" t="s">
        <v>1236</v>
      </c>
      <c r="C3508" t="s">
        <v>87</v>
      </c>
      <c r="D3508" t="s">
        <v>1870</v>
      </c>
      <c r="E3508" t="s">
        <v>1871</v>
      </c>
      <c r="F3508">
        <v>9844</v>
      </c>
    </row>
    <row r="3509" spans="1:6" x14ac:dyDescent="0.25">
      <c r="A3509" t="s">
        <v>5744</v>
      </c>
      <c r="B3509" t="s">
        <v>1236</v>
      </c>
      <c r="C3509" t="s">
        <v>87</v>
      </c>
      <c r="D3509" t="s">
        <v>1955</v>
      </c>
      <c r="E3509" t="s">
        <v>1871</v>
      </c>
      <c r="F3509">
        <v>863</v>
      </c>
    </row>
    <row r="3510" spans="1:6" x14ac:dyDescent="0.25">
      <c r="A3510" t="s">
        <v>5745</v>
      </c>
      <c r="B3510" t="s">
        <v>1236</v>
      </c>
      <c r="C3510" t="s">
        <v>87</v>
      </c>
      <c r="D3510" t="s">
        <v>2863</v>
      </c>
      <c r="E3510" t="s">
        <v>1915</v>
      </c>
      <c r="F3510">
        <v>35556</v>
      </c>
    </row>
    <row r="3511" spans="1:6" x14ac:dyDescent="0.25">
      <c r="A3511" t="s">
        <v>5746</v>
      </c>
      <c r="B3511" t="s">
        <v>1239</v>
      </c>
      <c r="C3511" t="s">
        <v>146</v>
      </c>
      <c r="D3511" t="s">
        <v>2849</v>
      </c>
      <c r="E3511" t="s">
        <v>1879</v>
      </c>
      <c r="F3511">
        <v>13462</v>
      </c>
    </row>
    <row r="3512" spans="1:6" x14ac:dyDescent="0.25">
      <c r="A3512" t="s">
        <v>5747</v>
      </c>
      <c r="B3512" t="s">
        <v>1239</v>
      </c>
      <c r="C3512" t="s">
        <v>146</v>
      </c>
      <c r="D3512" t="s">
        <v>2265</v>
      </c>
      <c r="E3512" t="s">
        <v>1876</v>
      </c>
      <c r="F3512">
        <v>2129</v>
      </c>
    </row>
    <row r="3513" spans="1:6" x14ac:dyDescent="0.25">
      <c r="A3513" t="s">
        <v>5748</v>
      </c>
      <c r="B3513" t="s">
        <v>1239</v>
      </c>
      <c r="C3513" t="s">
        <v>146</v>
      </c>
      <c r="D3513" t="s">
        <v>2018</v>
      </c>
      <c r="E3513" t="s">
        <v>1876</v>
      </c>
      <c r="F3513">
        <v>17570</v>
      </c>
    </row>
    <row r="3514" spans="1:6" x14ac:dyDescent="0.25">
      <c r="A3514" t="s">
        <v>5749</v>
      </c>
      <c r="B3514" t="s">
        <v>1239</v>
      </c>
      <c r="C3514" t="s">
        <v>146</v>
      </c>
      <c r="D3514" t="s">
        <v>2601</v>
      </c>
      <c r="E3514" t="s">
        <v>1915</v>
      </c>
      <c r="F3514">
        <v>43778</v>
      </c>
    </row>
    <row r="3515" spans="1:6" x14ac:dyDescent="0.25">
      <c r="A3515" t="s">
        <v>5750</v>
      </c>
      <c r="B3515" t="s">
        <v>1239</v>
      </c>
      <c r="C3515" t="s">
        <v>146</v>
      </c>
      <c r="D3515" t="s">
        <v>2468</v>
      </c>
      <c r="E3515" t="s">
        <v>1879</v>
      </c>
      <c r="F3515">
        <v>19392</v>
      </c>
    </row>
    <row r="3516" spans="1:6" x14ac:dyDescent="0.25">
      <c r="A3516" t="s">
        <v>5751</v>
      </c>
      <c r="B3516" t="s">
        <v>1239</v>
      </c>
      <c r="C3516" t="s">
        <v>146</v>
      </c>
      <c r="D3516" t="s">
        <v>2672</v>
      </c>
      <c r="E3516" t="s">
        <v>1871</v>
      </c>
      <c r="F3516">
        <v>3140</v>
      </c>
    </row>
    <row r="3517" spans="1:6" x14ac:dyDescent="0.25">
      <c r="A3517" t="s">
        <v>5752</v>
      </c>
      <c r="B3517" t="s">
        <v>1242</v>
      </c>
      <c r="C3517" t="s">
        <v>146</v>
      </c>
      <c r="D3517" t="s">
        <v>1929</v>
      </c>
      <c r="E3517" t="s">
        <v>1876</v>
      </c>
      <c r="F3517">
        <v>5967</v>
      </c>
    </row>
    <row r="3518" spans="1:6" x14ac:dyDescent="0.25">
      <c r="A3518" t="s">
        <v>5753</v>
      </c>
      <c r="B3518" t="s">
        <v>1242</v>
      </c>
      <c r="C3518" t="s">
        <v>146</v>
      </c>
      <c r="D3518" t="s">
        <v>2517</v>
      </c>
      <c r="E3518" t="s">
        <v>1871</v>
      </c>
      <c r="F3518">
        <v>7347</v>
      </c>
    </row>
    <row r="3519" spans="1:6" x14ac:dyDescent="0.25">
      <c r="A3519" t="s">
        <v>5754</v>
      </c>
      <c r="B3519" t="s">
        <v>1242</v>
      </c>
      <c r="C3519" t="s">
        <v>146</v>
      </c>
      <c r="D3519" t="s">
        <v>2085</v>
      </c>
      <c r="E3519" t="s">
        <v>1871</v>
      </c>
      <c r="F3519">
        <v>3633</v>
      </c>
    </row>
    <row r="3520" spans="1:6" x14ac:dyDescent="0.25">
      <c r="A3520" t="s">
        <v>5755</v>
      </c>
      <c r="B3520" t="s">
        <v>1242</v>
      </c>
      <c r="C3520" t="s">
        <v>146</v>
      </c>
      <c r="D3520" t="s">
        <v>3188</v>
      </c>
      <c r="E3520" t="s">
        <v>1915</v>
      </c>
      <c r="F3520">
        <v>8805</v>
      </c>
    </row>
    <row r="3521" spans="1:6" x14ac:dyDescent="0.25">
      <c r="A3521" t="s">
        <v>5756</v>
      </c>
      <c r="B3521" t="s">
        <v>1242</v>
      </c>
      <c r="C3521" t="s">
        <v>146</v>
      </c>
      <c r="D3521" t="s">
        <v>2664</v>
      </c>
      <c r="E3521" t="s">
        <v>1886</v>
      </c>
      <c r="F3521">
        <v>14667</v>
      </c>
    </row>
    <row r="3522" spans="1:6" x14ac:dyDescent="0.25">
      <c r="A3522" t="s">
        <v>5757</v>
      </c>
      <c r="B3522" t="s">
        <v>1242</v>
      </c>
      <c r="C3522" t="s">
        <v>146</v>
      </c>
      <c r="D3522" t="s">
        <v>2173</v>
      </c>
      <c r="E3522" t="s">
        <v>1886</v>
      </c>
      <c r="F3522">
        <v>26598</v>
      </c>
    </row>
    <row r="3523" spans="1:6" x14ac:dyDescent="0.25">
      <c r="A3523" t="s">
        <v>5758</v>
      </c>
      <c r="B3523" t="s">
        <v>1242</v>
      </c>
      <c r="C3523" t="s">
        <v>146</v>
      </c>
      <c r="D3523" t="s">
        <v>1949</v>
      </c>
      <c r="E3523" t="s">
        <v>1879</v>
      </c>
      <c r="F3523">
        <v>1493</v>
      </c>
    </row>
    <row r="3524" spans="1:6" x14ac:dyDescent="0.25">
      <c r="A3524" t="s">
        <v>5759</v>
      </c>
      <c r="B3524" t="s">
        <v>1242</v>
      </c>
      <c r="C3524" t="s">
        <v>146</v>
      </c>
      <c r="D3524" t="s">
        <v>2302</v>
      </c>
      <c r="E3524" t="s">
        <v>1879</v>
      </c>
      <c r="F3524">
        <v>2125</v>
      </c>
    </row>
    <row r="3525" spans="1:6" x14ac:dyDescent="0.25">
      <c r="A3525" t="s">
        <v>5760</v>
      </c>
      <c r="B3525" t="s">
        <v>1242</v>
      </c>
      <c r="C3525" t="s">
        <v>146</v>
      </c>
      <c r="D3525" t="s">
        <v>3242</v>
      </c>
      <c r="E3525" t="s">
        <v>1886</v>
      </c>
      <c r="F3525">
        <v>15096</v>
      </c>
    </row>
    <row r="3526" spans="1:6" x14ac:dyDescent="0.25">
      <c r="A3526" t="s">
        <v>5761</v>
      </c>
      <c r="B3526" t="s">
        <v>1245</v>
      </c>
      <c r="C3526" t="s">
        <v>87</v>
      </c>
      <c r="D3526" t="s">
        <v>2726</v>
      </c>
      <c r="E3526" t="s">
        <v>1871</v>
      </c>
      <c r="F3526">
        <v>801</v>
      </c>
    </row>
    <row r="3527" spans="1:6" x14ac:dyDescent="0.25">
      <c r="A3527" t="s">
        <v>5762</v>
      </c>
      <c r="B3527" t="s">
        <v>1245</v>
      </c>
      <c r="C3527" t="s">
        <v>87</v>
      </c>
      <c r="D3527" t="s">
        <v>2509</v>
      </c>
      <c r="E3527" t="s">
        <v>1871</v>
      </c>
      <c r="F3527">
        <v>5298</v>
      </c>
    </row>
    <row r="3528" spans="1:6" x14ac:dyDescent="0.25">
      <c r="A3528" t="s">
        <v>5763</v>
      </c>
      <c r="B3528" t="s">
        <v>1245</v>
      </c>
      <c r="C3528" t="s">
        <v>87</v>
      </c>
      <c r="D3528" t="s">
        <v>2273</v>
      </c>
      <c r="E3528" t="s">
        <v>1876</v>
      </c>
      <c r="F3528">
        <v>3564</v>
      </c>
    </row>
    <row r="3529" spans="1:6" x14ac:dyDescent="0.25">
      <c r="A3529" t="s">
        <v>5764</v>
      </c>
      <c r="B3529" t="s">
        <v>1245</v>
      </c>
      <c r="C3529" t="s">
        <v>87</v>
      </c>
      <c r="D3529" t="s">
        <v>2965</v>
      </c>
      <c r="E3529" t="s">
        <v>1876</v>
      </c>
      <c r="F3529">
        <v>7730</v>
      </c>
    </row>
    <row r="3530" spans="1:6" x14ac:dyDescent="0.25">
      <c r="A3530" t="s">
        <v>5765</v>
      </c>
      <c r="B3530" t="s">
        <v>1245</v>
      </c>
      <c r="C3530" t="s">
        <v>87</v>
      </c>
      <c r="D3530" t="s">
        <v>1957</v>
      </c>
      <c r="E3530" t="s">
        <v>1915</v>
      </c>
      <c r="F3530">
        <v>10296</v>
      </c>
    </row>
    <row r="3531" spans="1:6" x14ac:dyDescent="0.25">
      <c r="A3531" t="s">
        <v>5766</v>
      </c>
      <c r="B3531" t="s">
        <v>1245</v>
      </c>
      <c r="C3531" t="s">
        <v>87</v>
      </c>
      <c r="D3531" t="s">
        <v>4317</v>
      </c>
      <c r="E3531" t="s">
        <v>1879</v>
      </c>
      <c r="F3531">
        <v>4359</v>
      </c>
    </row>
    <row r="3532" spans="1:6" x14ac:dyDescent="0.25">
      <c r="A3532" t="s">
        <v>5767</v>
      </c>
      <c r="B3532" t="s">
        <v>1247</v>
      </c>
      <c r="C3532" t="s">
        <v>96</v>
      </c>
      <c r="D3532" t="s">
        <v>2188</v>
      </c>
      <c r="E3532" t="s">
        <v>1915</v>
      </c>
      <c r="F3532">
        <v>9799</v>
      </c>
    </row>
    <row r="3533" spans="1:6" x14ac:dyDescent="0.25">
      <c r="A3533" t="s">
        <v>5768</v>
      </c>
      <c r="B3533" t="s">
        <v>1247</v>
      </c>
      <c r="C3533" t="s">
        <v>96</v>
      </c>
      <c r="D3533" t="s">
        <v>2104</v>
      </c>
      <c r="E3533" t="s">
        <v>1871</v>
      </c>
      <c r="F3533">
        <v>29222</v>
      </c>
    </row>
    <row r="3534" spans="1:6" x14ac:dyDescent="0.25">
      <c r="A3534" t="s">
        <v>5769</v>
      </c>
      <c r="B3534" t="s">
        <v>1247</v>
      </c>
      <c r="C3534" t="s">
        <v>96</v>
      </c>
      <c r="D3534" t="s">
        <v>1988</v>
      </c>
      <c r="E3534" t="s">
        <v>1876</v>
      </c>
      <c r="F3534">
        <v>18431</v>
      </c>
    </row>
    <row r="3535" spans="1:6" x14ac:dyDescent="0.25">
      <c r="A3535" t="s">
        <v>5770</v>
      </c>
      <c r="B3535" t="s">
        <v>1247</v>
      </c>
      <c r="C3535" t="s">
        <v>96</v>
      </c>
      <c r="D3535" t="s">
        <v>1945</v>
      </c>
      <c r="E3535" t="s">
        <v>1876</v>
      </c>
      <c r="F3535">
        <v>12890</v>
      </c>
    </row>
    <row r="3536" spans="1:6" x14ac:dyDescent="0.25">
      <c r="A3536" t="s">
        <v>5771</v>
      </c>
      <c r="B3536" t="s">
        <v>1247</v>
      </c>
      <c r="C3536" t="s">
        <v>96</v>
      </c>
      <c r="D3536" t="s">
        <v>2601</v>
      </c>
      <c r="E3536" t="s">
        <v>1879</v>
      </c>
      <c r="F3536">
        <v>16109</v>
      </c>
    </row>
    <row r="3537" spans="1:6" x14ac:dyDescent="0.25">
      <c r="A3537" t="s">
        <v>5772</v>
      </c>
      <c r="B3537" t="s">
        <v>1247</v>
      </c>
      <c r="C3537" t="s">
        <v>96</v>
      </c>
      <c r="D3537" t="s">
        <v>3486</v>
      </c>
      <c r="E3537" t="s">
        <v>1879</v>
      </c>
      <c r="F3537">
        <v>26729</v>
      </c>
    </row>
    <row r="3538" spans="1:6" x14ac:dyDescent="0.25">
      <c r="A3538" t="s">
        <v>5773</v>
      </c>
      <c r="B3538" t="s">
        <v>1247</v>
      </c>
      <c r="C3538" t="s">
        <v>96</v>
      </c>
      <c r="D3538" t="s">
        <v>2350</v>
      </c>
      <c r="E3538" t="s">
        <v>1879</v>
      </c>
      <c r="F3538">
        <v>32395</v>
      </c>
    </row>
    <row r="3539" spans="1:6" x14ac:dyDescent="0.25">
      <c r="A3539" t="s">
        <v>5774</v>
      </c>
      <c r="B3539" t="s">
        <v>1247</v>
      </c>
      <c r="C3539" t="s">
        <v>96</v>
      </c>
      <c r="D3539" t="s">
        <v>2687</v>
      </c>
      <c r="E3539" t="s">
        <v>1915</v>
      </c>
      <c r="F3539">
        <v>67582</v>
      </c>
    </row>
    <row r="3540" spans="1:6" x14ac:dyDescent="0.25">
      <c r="A3540" t="s">
        <v>5775</v>
      </c>
      <c r="B3540" t="s">
        <v>1250</v>
      </c>
      <c r="C3540" t="s">
        <v>96</v>
      </c>
      <c r="D3540" t="s">
        <v>1973</v>
      </c>
      <c r="E3540" t="s">
        <v>1879</v>
      </c>
      <c r="F3540">
        <v>30613</v>
      </c>
    </row>
    <row r="3541" spans="1:6" x14ac:dyDescent="0.25">
      <c r="A3541" t="s">
        <v>5776</v>
      </c>
      <c r="B3541" t="s">
        <v>1250</v>
      </c>
      <c r="C3541" t="s">
        <v>96</v>
      </c>
      <c r="D3541" t="s">
        <v>2165</v>
      </c>
      <c r="E3541" t="s">
        <v>1915</v>
      </c>
      <c r="F3541">
        <v>39603</v>
      </c>
    </row>
    <row r="3542" spans="1:6" x14ac:dyDescent="0.25">
      <c r="A3542" t="s">
        <v>5777</v>
      </c>
      <c r="B3542" t="s">
        <v>1250</v>
      </c>
      <c r="C3542" t="s">
        <v>96</v>
      </c>
      <c r="D3542" t="s">
        <v>1890</v>
      </c>
      <c r="E3542" t="s">
        <v>1915</v>
      </c>
      <c r="F3542">
        <v>18708</v>
      </c>
    </row>
    <row r="3543" spans="1:6" x14ac:dyDescent="0.25">
      <c r="A3543" t="s">
        <v>5778</v>
      </c>
      <c r="B3543" t="s">
        <v>1250</v>
      </c>
      <c r="C3543" t="s">
        <v>96</v>
      </c>
      <c r="D3543" t="s">
        <v>2055</v>
      </c>
      <c r="E3543" t="s">
        <v>1871</v>
      </c>
      <c r="F3543">
        <v>17743</v>
      </c>
    </row>
    <row r="3544" spans="1:6" x14ac:dyDescent="0.25">
      <c r="A3544" t="s">
        <v>5779</v>
      </c>
      <c r="B3544" t="s">
        <v>1250</v>
      </c>
      <c r="C3544" t="s">
        <v>96</v>
      </c>
      <c r="D3544" t="s">
        <v>2042</v>
      </c>
      <c r="E3544" t="s">
        <v>1871</v>
      </c>
      <c r="F3544">
        <v>17534</v>
      </c>
    </row>
    <row r="3545" spans="1:6" x14ac:dyDescent="0.25">
      <c r="A3545" t="s">
        <v>5780</v>
      </c>
      <c r="B3545" t="s">
        <v>1250</v>
      </c>
      <c r="C3545" t="s">
        <v>96</v>
      </c>
      <c r="D3545" t="s">
        <v>1933</v>
      </c>
      <c r="E3545" t="s">
        <v>1879</v>
      </c>
      <c r="F3545">
        <v>10176</v>
      </c>
    </row>
    <row r="3546" spans="1:6" x14ac:dyDescent="0.25">
      <c r="A3546" t="s">
        <v>5781</v>
      </c>
      <c r="B3546" t="s">
        <v>1250</v>
      </c>
      <c r="C3546" t="s">
        <v>96</v>
      </c>
      <c r="D3546" t="s">
        <v>2009</v>
      </c>
      <c r="E3546" t="s">
        <v>1879</v>
      </c>
      <c r="F3546">
        <v>34778</v>
      </c>
    </row>
    <row r="3547" spans="1:6" x14ac:dyDescent="0.25">
      <c r="A3547" t="s">
        <v>5782</v>
      </c>
      <c r="B3547" t="s">
        <v>1250</v>
      </c>
      <c r="C3547" t="s">
        <v>96</v>
      </c>
      <c r="D3547" t="s">
        <v>1908</v>
      </c>
      <c r="E3547" t="s">
        <v>1915</v>
      </c>
      <c r="F3547">
        <v>1125</v>
      </c>
    </row>
    <row r="3548" spans="1:6" x14ac:dyDescent="0.25">
      <c r="A3548" t="s">
        <v>5783</v>
      </c>
      <c r="B3548" t="s">
        <v>1252</v>
      </c>
      <c r="C3548" t="s">
        <v>87</v>
      </c>
      <c r="D3548" t="s">
        <v>3164</v>
      </c>
      <c r="E3548" t="s">
        <v>1915</v>
      </c>
      <c r="F3548">
        <v>18759</v>
      </c>
    </row>
    <row r="3549" spans="1:6" x14ac:dyDescent="0.25">
      <c r="A3549" t="s">
        <v>5784</v>
      </c>
      <c r="B3549" t="s">
        <v>1252</v>
      </c>
      <c r="C3549" t="s">
        <v>87</v>
      </c>
      <c r="D3549" t="s">
        <v>2604</v>
      </c>
      <c r="E3549" t="s">
        <v>1876</v>
      </c>
      <c r="F3549">
        <v>1718</v>
      </c>
    </row>
    <row r="3550" spans="1:6" x14ac:dyDescent="0.25">
      <c r="A3550" t="s">
        <v>5785</v>
      </c>
      <c r="B3550" t="s">
        <v>1252</v>
      </c>
      <c r="C3550" t="s">
        <v>87</v>
      </c>
      <c r="D3550" t="s">
        <v>2226</v>
      </c>
      <c r="E3550" t="s">
        <v>1879</v>
      </c>
      <c r="F3550">
        <v>1147</v>
      </c>
    </row>
    <row r="3551" spans="1:6" x14ac:dyDescent="0.25">
      <c r="A3551" t="s">
        <v>5786</v>
      </c>
      <c r="B3551" t="s">
        <v>1252</v>
      </c>
      <c r="C3551" t="s">
        <v>87</v>
      </c>
      <c r="D3551" t="s">
        <v>2502</v>
      </c>
      <c r="E3551" t="s">
        <v>1915</v>
      </c>
      <c r="F3551">
        <v>22678</v>
      </c>
    </row>
    <row r="3552" spans="1:6" x14ac:dyDescent="0.25">
      <c r="A3552" t="s">
        <v>5787</v>
      </c>
      <c r="B3552" t="s">
        <v>1252</v>
      </c>
      <c r="C3552" t="s">
        <v>87</v>
      </c>
      <c r="D3552" t="s">
        <v>2747</v>
      </c>
      <c r="E3552" t="s">
        <v>1871</v>
      </c>
      <c r="F3552">
        <v>15722</v>
      </c>
    </row>
    <row r="3553" spans="1:6" x14ac:dyDescent="0.25">
      <c r="A3553" t="s">
        <v>5788</v>
      </c>
      <c r="B3553" t="s">
        <v>1252</v>
      </c>
      <c r="C3553" t="s">
        <v>87</v>
      </c>
      <c r="D3553" t="s">
        <v>2494</v>
      </c>
      <c r="E3553" t="s">
        <v>1915</v>
      </c>
      <c r="F3553">
        <v>12284</v>
      </c>
    </row>
    <row r="3554" spans="1:6" x14ac:dyDescent="0.25">
      <c r="A3554" t="s">
        <v>5789</v>
      </c>
      <c r="B3554" t="s">
        <v>1252</v>
      </c>
      <c r="C3554" t="s">
        <v>87</v>
      </c>
      <c r="D3554" t="s">
        <v>1945</v>
      </c>
      <c r="E3554" t="s">
        <v>1871</v>
      </c>
      <c r="F3554">
        <v>9712</v>
      </c>
    </row>
    <row r="3555" spans="1:6" x14ac:dyDescent="0.25">
      <c r="A3555" t="s">
        <v>5790</v>
      </c>
      <c r="B3555" t="s">
        <v>1252</v>
      </c>
      <c r="C3555" t="s">
        <v>87</v>
      </c>
      <c r="D3555" t="s">
        <v>2544</v>
      </c>
      <c r="E3555" t="s">
        <v>1915</v>
      </c>
      <c r="F3555">
        <v>8625</v>
      </c>
    </row>
    <row r="3556" spans="1:6" x14ac:dyDescent="0.25">
      <c r="A3556" t="s">
        <v>5791</v>
      </c>
      <c r="B3556" t="s">
        <v>1252</v>
      </c>
      <c r="C3556" t="s">
        <v>87</v>
      </c>
      <c r="D3556" t="s">
        <v>2958</v>
      </c>
      <c r="E3556" t="s">
        <v>1879</v>
      </c>
      <c r="F3556">
        <v>12095</v>
      </c>
    </row>
    <row r="3557" spans="1:6" x14ac:dyDescent="0.25">
      <c r="A3557" t="s">
        <v>5792</v>
      </c>
      <c r="B3557" t="s">
        <v>1252</v>
      </c>
      <c r="C3557" t="s">
        <v>87</v>
      </c>
      <c r="D3557" t="s">
        <v>2099</v>
      </c>
      <c r="E3557" t="s">
        <v>1915</v>
      </c>
      <c r="F3557">
        <v>3963</v>
      </c>
    </row>
    <row r="3558" spans="1:6" x14ac:dyDescent="0.25">
      <c r="A3558" t="s">
        <v>5793</v>
      </c>
      <c r="B3558" t="s">
        <v>1255</v>
      </c>
      <c r="C3558" t="s">
        <v>51</v>
      </c>
      <c r="D3558" t="s">
        <v>2026</v>
      </c>
      <c r="E3558" t="s">
        <v>1871</v>
      </c>
      <c r="F3558">
        <v>9611</v>
      </c>
    </row>
    <row r="3559" spans="1:6" x14ac:dyDescent="0.25">
      <c r="A3559" t="s">
        <v>5794</v>
      </c>
      <c r="B3559" t="s">
        <v>1255</v>
      </c>
      <c r="C3559" t="s">
        <v>51</v>
      </c>
      <c r="D3559" t="s">
        <v>2032</v>
      </c>
      <c r="E3559" t="s">
        <v>1915</v>
      </c>
      <c r="F3559">
        <v>30435</v>
      </c>
    </row>
    <row r="3560" spans="1:6" x14ac:dyDescent="0.25">
      <c r="A3560" t="s">
        <v>5795</v>
      </c>
      <c r="B3560" t="s">
        <v>1255</v>
      </c>
      <c r="C3560" t="s">
        <v>51</v>
      </c>
      <c r="D3560" t="s">
        <v>2464</v>
      </c>
      <c r="E3560" t="s">
        <v>1871</v>
      </c>
      <c r="F3560">
        <v>11983</v>
      </c>
    </row>
    <row r="3561" spans="1:6" x14ac:dyDescent="0.25">
      <c r="A3561" t="s">
        <v>5796</v>
      </c>
      <c r="B3561" t="s">
        <v>1255</v>
      </c>
      <c r="C3561" t="s">
        <v>51</v>
      </c>
      <c r="D3561" t="s">
        <v>2649</v>
      </c>
      <c r="E3561" t="s">
        <v>1876</v>
      </c>
      <c r="F3561">
        <v>22837</v>
      </c>
    </row>
    <row r="3562" spans="1:6" x14ac:dyDescent="0.25">
      <c r="A3562" t="s">
        <v>5797</v>
      </c>
      <c r="B3562" t="s">
        <v>1255</v>
      </c>
      <c r="C3562" t="s">
        <v>51</v>
      </c>
      <c r="D3562" t="s">
        <v>2457</v>
      </c>
      <c r="E3562" t="s">
        <v>1915</v>
      </c>
      <c r="F3562">
        <v>1361</v>
      </c>
    </row>
    <row r="3563" spans="1:6" x14ac:dyDescent="0.25">
      <c r="A3563" t="s">
        <v>5798</v>
      </c>
      <c r="B3563" t="s">
        <v>1255</v>
      </c>
      <c r="C3563" t="s">
        <v>51</v>
      </c>
      <c r="D3563" t="s">
        <v>2320</v>
      </c>
      <c r="E3563" t="s">
        <v>1915</v>
      </c>
      <c r="F3563">
        <v>26149</v>
      </c>
    </row>
    <row r="3564" spans="1:6" x14ac:dyDescent="0.25">
      <c r="A3564" t="s">
        <v>5799</v>
      </c>
      <c r="B3564" t="s">
        <v>1255</v>
      </c>
      <c r="C3564" t="s">
        <v>51</v>
      </c>
      <c r="D3564" t="s">
        <v>2649</v>
      </c>
      <c r="E3564" t="s">
        <v>1915</v>
      </c>
      <c r="F3564">
        <v>23308</v>
      </c>
    </row>
    <row r="3565" spans="1:6" x14ac:dyDescent="0.25">
      <c r="A3565" t="s">
        <v>5800</v>
      </c>
      <c r="B3565" t="s">
        <v>1255</v>
      </c>
      <c r="C3565" t="s">
        <v>51</v>
      </c>
      <c r="D3565" t="s">
        <v>3188</v>
      </c>
      <c r="E3565" t="s">
        <v>1915</v>
      </c>
      <c r="F3565">
        <v>11158</v>
      </c>
    </row>
    <row r="3566" spans="1:6" x14ac:dyDescent="0.25">
      <c r="A3566" t="s">
        <v>5801</v>
      </c>
      <c r="B3566" t="s">
        <v>1255</v>
      </c>
      <c r="C3566" t="s">
        <v>51</v>
      </c>
      <c r="D3566" t="s">
        <v>1900</v>
      </c>
      <c r="E3566" t="s">
        <v>1915</v>
      </c>
      <c r="F3566">
        <v>47170</v>
      </c>
    </row>
    <row r="3567" spans="1:6" x14ac:dyDescent="0.25">
      <c r="A3567" t="s">
        <v>5802</v>
      </c>
      <c r="B3567" t="s">
        <v>1255</v>
      </c>
      <c r="C3567" t="s">
        <v>51</v>
      </c>
      <c r="D3567" t="s">
        <v>2628</v>
      </c>
      <c r="E3567" t="s">
        <v>1886</v>
      </c>
      <c r="F3567">
        <v>10438</v>
      </c>
    </row>
    <row r="3568" spans="1:6" x14ac:dyDescent="0.25">
      <c r="A3568" t="s">
        <v>5803</v>
      </c>
      <c r="B3568" t="s">
        <v>1255</v>
      </c>
      <c r="C3568" t="s">
        <v>51</v>
      </c>
      <c r="D3568" t="s">
        <v>3486</v>
      </c>
      <c r="E3568" t="s">
        <v>1879</v>
      </c>
      <c r="F3568">
        <v>12534</v>
      </c>
    </row>
    <row r="3569" spans="1:6" x14ac:dyDescent="0.25">
      <c r="A3569" t="s">
        <v>5804</v>
      </c>
      <c r="B3569" t="s">
        <v>1255</v>
      </c>
      <c r="C3569" t="s">
        <v>51</v>
      </c>
      <c r="D3569" t="s">
        <v>2185</v>
      </c>
      <c r="E3569" t="s">
        <v>1915</v>
      </c>
      <c r="F3569">
        <v>28403</v>
      </c>
    </row>
    <row r="3570" spans="1:6" x14ac:dyDescent="0.25">
      <c r="A3570" t="s">
        <v>5805</v>
      </c>
      <c r="B3570" t="s">
        <v>1257</v>
      </c>
      <c r="C3570" t="s">
        <v>87</v>
      </c>
      <c r="D3570" t="s">
        <v>2513</v>
      </c>
      <c r="E3570" t="s">
        <v>1876</v>
      </c>
      <c r="F3570">
        <v>7409</v>
      </c>
    </row>
    <row r="3571" spans="1:6" x14ac:dyDescent="0.25">
      <c r="A3571" t="s">
        <v>5806</v>
      </c>
      <c r="B3571" t="s">
        <v>1257</v>
      </c>
      <c r="C3571" t="s">
        <v>87</v>
      </c>
      <c r="D3571" t="s">
        <v>1697</v>
      </c>
      <c r="E3571" t="s">
        <v>1876</v>
      </c>
      <c r="F3571">
        <v>35576</v>
      </c>
    </row>
    <row r="3572" spans="1:6" x14ac:dyDescent="0.25">
      <c r="A3572" t="s">
        <v>5807</v>
      </c>
      <c r="B3572" t="s">
        <v>1257</v>
      </c>
      <c r="C3572" t="s">
        <v>87</v>
      </c>
      <c r="D3572" t="s">
        <v>2615</v>
      </c>
      <c r="E3572" t="s">
        <v>1879</v>
      </c>
      <c r="F3572">
        <v>39117</v>
      </c>
    </row>
    <row r="3573" spans="1:6" x14ac:dyDescent="0.25">
      <c r="A3573" t="s">
        <v>5808</v>
      </c>
      <c r="B3573" t="s">
        <v>1257</v>
      </c>
      <c r="C3573" t="s">
        <v>87</v>
      </c>
      <c r="D3573" t="s">
        <v>2664</v>
      </c>
      <c r="E3573" t="s">
        <v>1871</v>
      </c>
      <c r="F3573">
        <v>25965</v>
      </c>
    </row>
    <row r="3574" spans="1:6" x14ac:dyDescent="0.25">
      <c r="A3574" t="s">
        <v>5809</v>
      </c>
      <c r="B3574" t="s">
        <v>1257</v>
      </c>
      <c r="C3574" t="s">
        <v>87</v>
      </c>
      <c r="D3574" t="s">
        <v>2657</v>
      </c>
      <c r="E3574" t="s">
        <v>1886</v>
      </c>
      <c r="F3574">
        <v>20127</v>
      </c>
    </row>
    <row r="3575" spans="1:6" x14ac:dyDescent="0.25">
      <c r="A3575" t="s">
        <v>5810</v>
      </c>
      <c r="B3575" t="s">
        <v>1257</v>
      </c>
      <c r="C3575" t="s">
        <v>87</v>
      </c>
      <c r="D3575" t="s">
        <v>2336</v>
      </c>
      <c r="E3575" t="s">
        <v>1876</v>
      </c>
      <c r="F3575">
        <v>37538</v>
      </c>
    </row>
    <row r="3576" spans="1:6" x14ac:dyDescent="0.25">
      <c r="A3576" t="s">
        <v>5811</v>
      </c>
      <c r="B3576" t="s">
        <v>1257</v>
      </c>
      <c r="C3576" t="s">
        <v>87</v>
      </c>
      <c r="D3576" t="s">
        <v>2051</v>
      </c>
      <c r="E3576" t="s">
        <v>1915</v>
      </c>
      <c r="F3576">
        <v>16728</v>
      </c>
    </row>
    <row r="3577" spans="1:6" x14ac:dyDescent="0.25">
      <c r="A3577" t="s">
        <v>5812</v>
      </c>
      <c r="B3577" t="s">
        <v>1257</v>
      </c>
      <c r="C3577" t="s">
        <v>87</v>
      </c>
      <c r="D3577" t="s">
        <v>2887</v>
      </c>
      <c r="E3577" t="s">
        <v>1886</v>
      </c>
      <c r="F3577">
        <v>30890</v>
      </c>
    </row>
    <row r="3578" spans="1:6" x14ac:dyDescent="0.25">
      <c r="A3578" t="s">
        <v>5813</v>
      </c>
      <c r="B3578" t="s">
        <v>1257</v>
      </c>
      <c r="C3578" t="s">
        <v>87</v>
      </c>
      <c r="D3578" t="s">
        <v>2421</v>
      </c>
      <c r="E3578" t="s">
        <v>1876</v>
      </c>
      <c r="F3578">
        <v>3298</v>
      </c>
    </row>
    <row r="3579" spans="1:6" x14ac:dyDescent="0.25">
      <c r="A3579" t="s">
        <v>5814</v>
      </c>
      <c r="B3579" t="s">
        <v>1257</v>
      </c>
      <c r="C3579" t="s">
        <v>87</v>
      </c>
      <c r="D3579" t="s">
        <v>2722</v>
      </c>
      <c r="E3579" t="s">
        <v>1876</v>
      </c>
      <c r="F3579">
        <v>15493</v>
      </c>
    </row>
    <row r="3580" spans="1:6" x14ac:dyDescent="0.25">
      <c r="A3580" t="s">
        <v>5815</v>
      </c>
      <c r="B3580" t="s">
        <v>1257</v>
      </c>
      <c r="C3580" t="s">
        <v>87</v>
      </c>
      <c r="D3580" t="s">
        <v>2163</v>
      </c>
      <c r="E3580" t="s">
        <v>1879</v>
      </c>
      <c r="F3580">
        <v>28215</v>
      </c>
    </row>
    <row r="3581" spans="1:6" x14ac:dyDescent="0.25">
      <c r="A3581" t="s">
        <v>5816</v>
      </c>
      <c r="B3581" t="s">
        <v>1257</v>
      </c>
      <c r="C3581" t="s">
        <v>87</v>
      </c>
      <c r="D3581" t="s">
        <v>2350</v>
      </c>
      <c r="E3581" t="s">
        <v>1871</v>
      </c>
      <c r="F3581">
        <v>31308</v>
      </c>
    </row>
    <row r="3582" spans="1:6" x14ac:dyDescent="0.25">
      <c r="A3582" t="s">
        <v>5817</v>
      </c>
      <c r="B3582" t="s">
        <v>1260</v>
      </c>
      <c r="C3582" t="s">
        <v>146</v>
      </c>
      <c r="D3582" t="s">
        <v>3142</v>
      </c>
      <c r="E3582" t="s">
        <v>1879</v>
      </c>
      <c r="F3582">
        <v>6541</v>
      </c>
    </row>
    <row r="3583" spans="1:6" x14ac:dyDescent="0.25">
      <c r="A3583" t="s">
        <v>5818</v>
      </c>
      <c r="B3583" t="s">
        <v>1260</v>
      </c>
      <c r="C3583" t="s">
        <v>146</v>
      </c>
      <c r="D3583" t="s">
        <v>2387</v>
      </c>
      <c r="E3583" t="s">
        <v>1915</v>
      </c>
      <c r="F3583">
        <v>5737</v>
      </c>
    </row>
    <row r="3584" spans="1:6" x14ac:dyDescent="0.25">
      <c r="A3584" t="s">
        <v>5819</v>
      </c>
      <c r="B3584" t="s">
        <v>1260</v>
      </c>
      <c r="C3584" t="s">
        <v>146</v>
      </c>
      <c r="D3584" t="s">
        <v>2341</v>
      </c>
      <c r="E3584" t="s">
        <v>1915</v>
      </c>
      <c r="F3584">
        <v>13717</v>
      </c>
    </row>
    <row r="3585" spans="1:6" x14ac:dyDescent="0.25">
      <c r="A3585" t="s">
        <v>5820</v>
      </c>
      <c r="B3585" t="s">
        <v>1260</v>
      </c>
      <c r="C3585" t="s">
        <v>146</v>
      </c>
      <c r="D3585" t="s">
        <v>1937</v>
      </c>
      <c r="E3585" t="s">
        <v>1886</v>
      </c>
      <c r="F3585">
        <v>30172</v>
      </c>
    </row>
    <row r="3586" spans="1:6" x14ac:dyDescent="0.25">
      <c r="A3586" t="s">
        <v>5821</v>
      </c>
      <c r="B3586" t="s">
        <v>1260</v>
      </c>
      <c r="C3586" t="s">
        <v>146</v>
      </c>
      <c r="D3586" t="s">
        <v>1998</v>
      </c>
      <c r="E3586" t="s">
        <v>1879</v>
      </c>
      <c r="F3586">
        <v>6052</v>
      </c>
    </row>
    <row r="3587" spans="1:6" x14ac:dyDescent="0.25">
      <c r="A3587" t="s">
        <v>5822</v>
      </c>
      <c r="B3587" t="s">
        <v>1260</v>
      </c>
      <c r="C3587" t="s">
        <v>146</v>
      </c>
      <c r="D3587" t="s">
        <v>1906</v>
      </c>
      <c r="E3587" t="s">
        <v>1871</v>
      </c>
      <c r="F3587">
        <v>1530</v>
      </c>
    </row>
    <row r="3588" spans="1:6" x14ac:dyDescent="0.25">
      <c r="A3588" t="s">
        <v>5823</v>
      </c>
      <c r="B3588" t="s">
        <v>1260</v>
      </c>
      <c r="C3588" t="s">
        <v>146</v>
      </c>
      <c r="D3588" t="s">
        <v>2104</v>
      </c>
      <c r="E3588" t="s">
        <v>1879</v>
      </c>
      <c r="F3588">
        <v>10913</v>
      </c>
    </row>
    <row r="3589" spans="1:6" x14ac:dyDescent="0.25">
      <c r="A3589" t="s">
        <v>5824</v>
      </c>
      <c r="B3589" t="s">
        <v>1260</v>
      </c>
      <c r="C3589" t="s">
        <v>146</v>
      </c>
      <c r="D3589" t="s">
        <v>3710</v>
      </c>
      <c r="E3589" t="s">
        <v>1879</v>
      </c>
      <c r="F3589">
        <v>907</v>
      </c>
    </row>
    <row r="3590" spans="1:6" x14ac:dyDescent="0.25">
      <c r="A3590" t="s">
        <v>5825</v>
      </c>
      <c r="B3590" t="s">
        <v>1260</v>
      </c>
      <c r="C3590" t="s">
        <v>146</v>
      </c>
      <c r="D3590" t="s">
        <v>3860</v>
      </c>
      <c r="E3590" t="s">
        <v>1871</v>
      </c>
      <c r="F3590">
        <v>5233</v>
      </c>
    </row>
    <row r="3591" spans="1:6" x14ac:dyDescent="0.25">
      <c r="A3591" t="s">
        <v>5826</v>
      </c>
      <c r="B3591" t="s">
        <v>1260</v>
      </c>
      <c r="C3591" t="s">
        <v>146</v>
      </c>
      <c r="D3591" t="s">
        <v>2498</v>
      </c>
      <c r="E3591" t="s">
        <v>1915</v>
      </c>
      <c r="F3591">
        <v>8587</v>
      </c>
    </row>
    <row r="3592" spans="1:6" x14ac:dyDescent="0.25">
      <c r="A3592" t="s">
        <v>5827</v>
      </c>
      <c r="B3592" t="s">
        <v>1260</v>
      </c>
      <c r="C3592" t="s">
        <v>146</v>
      </c>
      <c r="D3592" t="s">
        <v>3486</v>
      </c>
      <c r="E3592" t="s">
        <v>1871</v>
      </c>
      <c r="F3592">
        <v>8257</v>
      </c>
    </row>
    <row r="3593" spans="1:6" x14ac:dyDescent="0.25">
      <c r="A3593" t="s">
        <v>5828</v>
      </c>
      <c r="B3593" t="s">
        <v>1260</v>
      </c>
      <c r="C3593" t="s">
        <v>146</v>
      </c>
      <c r="D3593" t="s">
        <v>2357</v>
      </c>
      <c r="E3593" t="s">
        <v>1915</v>
      </c>
      <c r="F3593">
        <v>17764</v>
      </c>
    </row>
    <row r="3594" spans="1:6" x14ac:dyDescent="0.25">
      <c r="A3594" t="s">
        <v>5829</v>
      </c>
      <c r="B3594" t="s">
        <v>1263</v>
      </c>
      <c r="C3594" t="s">
        <v>87</v>
      </c>
      <c r="D3594" t="s">
        <v>2958</v>
      </c>
      <c r="E3594" t="s">
        <v>1879</v>
      </c>
      <c r="F3594">
        <v>7469</v>
      </c>
    </row>
    <row r="3595" spans="1:6" x14ac:dyDescent="0.25">
      <c r="A3595" t="s">
        <v>5830</v>
      </c>
      <c r="B3595" t="s">
        <v>1263</v>
      </c>
      <c r="C3595" t="s">
        <v>87</v>
      </c>
      <c r="D3595" t="s">
        <v>2336</v>
      </c>
      <c r="E3595" t="s">
        <v>1886</v>
      </c>
      <c r="F3595">
        <v>8776</v>
      </c>
    </row>
    <row r="3596" spans="1:6" x14ac:dyDescent="0.25">
      <c r="A3596" t="s">
        <v>5831</v>
      </c>
      <c r="B3596" t="s">
        <v>1263</v>
      </c>
      <c r="C3596" t="s">
        <v>87</v>
      </c>
      <c r="D3596" t="s">
        <v>2382</v>
      </c>
      <c r="E3596" t="s">
        <v>1879</v>
      </c>
      <c r="F3596">
        <v>32554</v>
      </c>
    </row>
    <row r="3597" spans="1:6" x14ac:dyDescent="0.25">
      <c r="A3597" t="s">
        <v>5832</v>
      </c>
      <c r="B3597" t="s">
        <v>1263</v>
      </c>
      <c r="C3597" t="s">
        <v>87</v>
      </c>
      <c r="D3597" t="s">
        <v>2295</v>
      </c>
      <c r="E3597" t="s">
        <v>1886</v>
      </c>
      <c r="F3597">
        <v>24051</v>
      </c>
    </row>
    <row r="3598" spans="1:6" x14ac:dyDescent="0.25">
      <c r="A3598" t="s">
        <v>5833</v>
      </c>
      <c r="B3598" t="s">
        <v>1263</v>
      </c>
      <c r="C3598" t="s">
        <v>87</v>
      </c>
      <c r="D3598" t="s">
        <v>3093</v>
      </c>
      <c r="E3598" t="s">
        <v>1915</v>
      </c>
      <c r="F3598">
        <v>50234</v>
      </c>
    </row>
    <row r="3599" spans="1:6" x14ac:dyDescent="0.25">
      <c r="A3599" t="s">
        <v>5834</v>
      </c>
      <c r="B3599" t="s">
        <v>1263</v>
      </c>
      <c r="C3599" t="s">
        <v>87</v>
      </c>
      <c r="D3599" t="s">
        <v>1921</v>
      </c>
      <c r="E3599" t="s">
        <v>1886</v>
      </c>
      <c r="F3599">
        <v>33242</v>
      </c>
    </row>
    <row r="3600" spans="1:6" x14ac:dyDescent="0.25">
      <c r="A3600" t="s">
        <v>5835</v>
      </c>
      <c r="B3600" t="s">
        <v>1263</v>
      </c>
      <c r="C3600" t="s">
        <v>87</v>
      </c>
      <c r="D3600" t="s">
        <v>2380</v>
      </c>
      <c r="E3600" t="s">
        <v>1871</v>
      </c>
      <c r="F3600">
        <v>2550</v>
      </c>
    </row>
    <row r="3601" spans="1:6" x14ac:dyDescent="0.25">
      <c r="A3601" t="s">
        <v>5836</v>
      </c>
      <c r="B3601" t="s">
        <v>1266</v>
      </c>
      <c r="C3601" t="s">
        <v>87</v>
      </c>
      <c r="D3601" t="s">
        <v>2657</v>
      </c>
      <c r="E3601" t="s">
        <v>1871</v>
      </c>
      <c r="F3601">
        <v>15584</v>
      </c>
    </row>
    <row r="3602" spans="1:6" x14ac:dyDescent="0.25">
      <c r="A3602" t="s">
        <v>5837</v>
      </c>
      <c r="B3602" t="s">
        <v>1266</v>
      </c>
      <c r="C3602" t="s">
        <v>87</v>
      </c>
      <c r="D3602" t="s">
        <v>1898</v>
      </c>
      <c r="E3602" t="s">
        <v>1915</v>
      </c>
      <c r="F3602">
        <v>27899</v>
      </c>
    </row>
    <row r="3603" spans="1:6" x14ac:dyDescent="0.25">
      <c r="A3603" t="s">
        <v>5838</v>
      </c>
      <c r="B3603" t="s">
        <v>1266</v>
      </c>
      <c r="C3603" t="s">
        <v>87</v>
      </c>
      <c r="D3603" t="s">
        <v>2198</v>
      </c>
      <c r="E3603" t="s">
        <v>1871</v>
      </c>
      <c r="F3603">
        <v>8084</v>
      </c>
    </row>
    <row r="3604" spans="1:6" x14ac:dyDescent="0.25">
      <c r="A3604" t="s">
        <v>5839</v>
      </c>
      <c r="B3604" t="s">
        <v>1266</v>
      </c>
      <c r="C3604" t="s">
        <v>87</v>
      </c>
      <c r="D3604" t="s">
        <v>2053</v>
      </c>
      <c r="E3604" t="s">
        <v>1876</v>
      </c>
      <c r="F3604">
        <v>1136</v>
      </c>
    </row>
    <row r="3605" spans="1:6" x14ac:dyDescent="0.25">
      <c r="A3605" t="s">
        <v>5840</v>
      </c>
      <c r="B3605" t="s">
        <v>1266</v>
      </c>
      <c r="C3605" t="s">
        <v>87</v>
      </c>
      <c r="D3605" t="s">
        <v>2126</v>
      </c>
      <c r="E3605" t="s">
        <v>1915</v>
      </c>
      <c r="F3605">
        <v>3524</v>
      </c>
    </row>
    <row r="3606" spans="1:6" x14ac:dyDescent="0.25">
      <c r="A3606" t="s">
        <v>5841</v>
      </c>
      <c r="B3606" t="s">
        <v>1266</v>
      </c>
      <c r="C3606" t="s">
        <v>87</v>
      </c>
      <c r="D3606" t="s">
        <v>2134</v>
      </c>
      <c r="E3606" t="s">
        <v>1871</v>
      </c>
      <c r="F3606">
        <v>10033</v>
      </c>
    </row>
    <row r="3607" spans="1:6" x14ac:dyDescent="0.25">
      <c r="A3607" t="s">
        <v>5842</v>
      </c>
      <c r="B3607" t="s">
        <v>1266</v>
      </c>
      <c r="C3607" t="s">
        <v>87</v>
      </c>
      <c r="D3607" t="s">
        <v>3233</v>
      </c>
      <c r="E3607" t="s">
        <v>1915</v>
      </c>
      <c r="F3607">
        <v>15631</v>
      </c>
    </row>
  </sheetData>
  <pageMargins left="0.75" right="0.75" top="1" bottom="1" header="0.5" footer="0.5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B7"/>
  <sheetViews>
    <sheetView workbookViewId="0"/>
  </sheetViews>
  <sheetFormatPr defaultRowHeight="15" x14ac:dyDescent="0.25"/>
  <sheetData>
    <row r="1" spans="1:2" x14ac:dyDescent="0.25">
      <c r="A1" t="s">
        <v>5843</v>
      </c>
      <c r="B1" t="s">
        <v>5844</v>
      </c>
    </row>
    <row r="2" spans="1:2" x14ac:dyDescent="0.25">
      <c r="A2" t="s">
        <v>3</v>
      </c>
      <c r="B2" t="s">
        <v>51</v>
      </c>
    </row>
    <row r="3" spans="1:2" x14ac:dyDescent="0.25">
      <c r="A3" t="s">
        <v>51</v>
      </c>
      <c r="B3" t="s">
        <v>73</v>
      </c>
    </row>
    <row r="4" spans="1:2" x14ac:dyDescent="0.25">
      <c r="A4" t="s">
        <v>73</v>
      </c>
      <c r="B4" t="s">
        <v>87</v>
      </c>
    </row>
    <row r="5" spans="1:2" x14ac:dyDescent="0.25">
      <c r="A5" t="s">
        <v>87</v>
      </c>
      <c r="B5" t="s">
        <v>96</v>
      </c>
    </row>
    <row r="6" spans="1:2" x14ac:dyDescent="0.25">
      <c r="A6" t="s">
        <v>96</v>
      </c>
      <c r="B6" t="s">
        <v>146</v>
      </c>
    </row>
    <row r="7" spans="1:2" x14ac:dyDescent="0.25">
      <c r="A7" t="s">
        <v>146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2:E202"/>
  <sheetViews>
    <sheetView workbookViewId="0"/>
  </sheetViews>
  <sheetFormatPr defaultRowHeight="15" x14ac:dyDescent="0.25"/>
  <sheetData>
    <row r="2" spans="1:5" x14ac:dyDescent="0.25">
      <c r="A2" t="s">
        <v>5845</v>
      </c>
    </row>
    <row r="3" spans="1:5" x14ac:dyDescent="0.25">
      <c r="A3" t="s">
        <v>5846</v>
      </c>
      <c r="B3">
        <f>SUMPRODUCT((CustTbl[Branch]=IF(Home!$N$4="All Branches",CustTbl[Branch],Home!$N$4))*1)</f>
        <v>400</v>
      </c>
    </row>
    <row r="4" spans="1:5" x14ac:dyDescent="0.25">
      <c r="A4" t="s">
        <v>5847</v>
      </c>
      <c r="B4">
        <f>SUMPRODUCT((LoanTbl[Branch]=IF(Home!$N$4="All Branches",LoanTbl[Branch],Home!$N$4))*LoanTbl[LoanAmount])</f>
        <v>359793000</v>
      </c>
    </row>
    <row r="5" spans="1:5" x14ac:dyDescent="0.25">
      <c r="A5" t="s">
        <v>5848</v>
      </c>
      <c r="B5">
        <f>SUMPRODUCT((TxnTbl[Branch]=IF(Home!$N$4="All Branches",TxnTbl[Branch],Home!$N$4))*1)</f>
        <v>3606</v>
      </c>
    </row>
    <row r="6" spans="1:5" x14ac:dyDescent="0.25">
      <c r="A6" t="s">
        <v>5849</v>
      </c>
      <c r="B6">
        <f>IFERROR(SUMPRODUCT((LoanTbl[Branch]=IF(Home!$N$4="All Branches",LoanTbl[Branch],Home!$N$4))*LoanTbl[EMIsPaid])/SUMPRODUCT((LoanTbl[Branch]=IF(Home!$N$4="All Branches",LoanTbl[Branch],Home!$N$4))*LoanTbl[MonthsElapsed])*100,0)</f>
        <v>93.743194572409749</v>
      </c>
    </row>
    <row r="8" spans="1:5" x14ac:dyDescent="0.25">
      <c r="D8" t="s">
        <v>5850</v>
      </c>
    </row>
    <row r="9" spans="1:5" x14ac:dyDescent="0.25">
      <c r="A9" t="s">
        <v>5851</v>
      </c>
      <c r="E9" t="str">
        <f>INDEX(Calc!$A$10:$A$14,MATCH(MAX(Calc!$C$10:$C$14),Calc!$C$10:$C$14,0))</f>
        <v>Noida Sector 18 Branch</v>
      </c>
    </row>
    <row r="10" spans="1:5" x14ac:dyDescent="0.25">
      <c r="A10" t="s">
        <v>51</v>
      </c>
      <c r="B10">
        <f>SUMPRODUCT((CustTbl[Branch]="Agra Sadar Branch")*1)</f>
        <v>77</v>
      </c>
      <c r="C10">
        <f>SUMPRODUCT((LoanTbl[Branch]="Agra Sadar Branch")*LoanTbl[LoanAmount])</f>
        <v>63121000</v>
      </c>
    </row>
    <row r="11" spans="1:5" x14ac:dyDescent="0.25">
      <c r="A11" t="s">
        <v>73</v>
      </c>
      <c r="B11">
        <f>SUMPRODUCT((CustTbl[Branch]="Kanpur Civil Lines Branch")*1)</f>
        <v>68</v>
      </c>
      <c r="C11">
        <f>SUMPRODUCT((LoanTbl[Branch]="Kanpur Civil Lines Branch")*LoanTbl[LoanAmount])</f>
        <v>63320000</v>
      </c>
    </row>
    <row r="12" spans="1:5" x14ac:dyDescent="0.25">
      <c r="A12" t="s">
        <v>87</v>
      </c>
      <c r="B12">
        <f>SUMPRODUCT((CustTbl[Branch]="Lucknow City Branch")*1)</f>
        <v>80</v>
      </c>
      <c r="C12">
        <f>SUMPRODUCT((LoanTbl[Branch]="Lucknow City Branch")*LoanTbl[LoanAmount])</f>
        <v>65514000</v>
      </c>
    </row>
    <row r="13" spans="1:5" x14ac:dyDescent="0.25">
      <c r="A13" t="s">
        <v>96</v>
      </c>
      <c r="B13">
        <f>SUMPRODUCT((CustTbl[Branch]="Meerut Cantt Branch")*1)</f>
        <v>74</v>
      </c>
      <c r="C13">
        <f>SUMPRODUCT((LoanTbl[Branch]="Meerut Cantt Branch")*LoanTbl[LoanAmount])</f>
        <v>66478000</v>
      </c>
    </row>
    <row r="14" spans="1:5" x14ac:dyDescent="0.25">
      <c r="A14" t="s">
        <v>146</v>
      </c>
      <c r="B14">
        <f>SUMPRODUCT((CustTbl[Branch]="Noida Sector 18 Branch")*1)</f>
        <v>101</v>
      </c>
      <c r="C14">
        <f>SUMPRODUCT((LoanTbl[Branch]="Noida Sector 18 Branch")*LoanTbl[LoanAmount])</f>
        <v>101360000</v>
      </c>
    </row>
    <row r="17" spans="1:2" x14ac:dyDescent="0.25">
      <c r="A17" t="s">
        <v>5852</v>
      </c>
    </row>
    <row r="18" spans="1:2" x14ac:dyDescent="0.25">
      <c r="A18" t="s">
        <v>1290</v>
      </c>
      <c r="B18">
        <f>SUMPRODUCT((LoanTbl[LoanType]="Auto Loan")*1)</f>
        <v>83</v>
      </c>
    </row>
    <row r="19" spans="1:2" x14ac:dyDescent="0.25">
      <c r="A19" t="s">
        <v>1295</v>
      </c>
      <c r="B19">
        <f>SUMPRODUCT((LoanTbl[LoanType]="Business Loan")*1)</f>
        <v>85</v>
      </c>
    </row>
    <row r="20" spans="1:2" x14ac:dyDescent="0.25">
      <c r="A20" t="s">
        <v>1286</v>
      </c>
      <c r="B20">
        <f>SUMPRODUCT((LoanTbl[LoanType]="Home Loan")*1)</f>
        <v>71</v>
      </c>
    </row>
    <row r="21" spans="1:2" x14ac:dyDescent="0.25">
      <c r="A21" t="s">
        <v>1282</v>
      </c>
      <c r="B21">
        <f>SUMPRODUCT((LoanTbl[LoanType]="Personal Loan")*1)</f>
        <v>81</v>
      </c>
    </row>
    <row r="30" spans="1:2" x14ac:dyDescent="0.25">
      <c r="A30" t="s">
        <v>5853</v>
      </c>
    </row>
    <row r="31" spans="1:2" x14ac:dyDescent="0.25">
      <c r="A31" t="s">
        <v>5854</v>
      </c>
      <c r="B31">
        <f>SUMPRODUCT((CustTbl[Branch]=IF(Customer!$N$4="All Branches",CustTbl[Branch],Customer!$N$4))*1)</f>
        <v>77</v>
      </c>
    </row>
    <row r="32" spans="1:2" x14ac:dyDescent="0.25">
      <c r="A32" t="s">
        <v>5855</v>
      </c>
      <c r="B32">
        <f>IFERROR(SUMPRODUCT((CustTbl[Branch]=IF(Customer!$N$4="All Branches",CustTbl[Branch],Customer!$N$4))*CustTbl[Age])/SUMPRODUCT((CustTbl[Branch]=IF(Customer!$N$4="All Branches",CustTbl[Branch],Customer!$N$4))*1),0)</f>
        <v>36.363636363636367</v>
      </c>
    </row>
    <row r="33" spans="1:2" x14ac:dyDescent="0.25">
      <c r="A33" t="s">
        <v>5856</v>
      </c>
      <c r="B33">
        <f>IFERROR(SUMPRODUCT((CustTbl[Branch]=IF(Customer!$N$4="All Branches",CustTbl[Branch],Customer!$N$4))*CustTbl[MonthlyIncome])/SUMPRODUCT((CustTbl[Branch]=IF(Customer!$N$4="All Branches",CustTbl[Branch],Customer!$N$4))*1),0)</f>
        <v>50632.467532467534</v>
      </c>
    </row>
    <row r="36" spans="1:2" x14ac:dyDescent="0.25">
      <c r="A36" t="s">
        <v>5857</v>
      </c>
    </row>
    <row r="37" spans="1:2" x14ac:dyDescent="0.25">
      <c r="A37" t="s">
        <v>5858</v>
      </c>
      <c r="B37">
        <f>SUMPRODUCT((CustTbl[Branch]=IF(Customer!$N$4="All Branches",CustTbl[Branch],Customer!$N$4))*(CustTbl[Age]&gt;=21)*(CustTbl[Age]&lt;=30)*1)</f>
        <v>22</v>
      </c>
    </row>
    <row r="38" spans="1:2" x14ac:dyDescent="0.25">
      <c r="A38" t="s">
        <v>5859</v>
      </c>
      <c r="B38">
        <f>SUMPRODUCT((CustTbl[Branch]=IF(Customer!$N$4="All Branches",CustTbl[Branch],Customer!$N$4))*(CustTbl[Age]&gt;=31)*(CustTbl[Age]&lt;=40)*1)</f>
        <v>27</v>
      </c>
    </row>
    <row r="39" spans="1:2" x14ac:dyDescent="0.25">
      <c r="A39" t="s">
        <v>5860</v>
      </c>
      <c r="B39">
        <f>SUMPRODUCT((CustTbl[Branch]=IF(Customer!$N$4="All Branches",CustTbl[Branch],Customer!$N$4))*(CustTbl[Age]&gt;=41)*(CustTbl[Age]&lt;=50)*1)</f>
        <v>24</v>
      </c>
    </row>
    <row r="40" spans="1:2" x14ac:dyDescent="0.25">
      <c r="A40" t="s">
        <v>5861</v>
      </c>
      <c r="B40">
        <f>SUMPRODUCT((CustTbl[Branch]=IF(Customer!$N$4="All Branches",CustTbl[Branch],Customer!$N$4))*(CustTbl[Age]&gt;=51)*(CustTbl[Age]&lt;=60)*1)</f>
        <v>3</v>
      </c>
    </row>
    <row r="41" spans="1:2" x14ac:dyDescent="0.25">
      <c r="A41" t="s">
        <v>5862</v>
      </c>
      <c r="B41">
        <f>SUMPRODUCT((CustTbl[Branch]=IF(Customer!$N$4="All Branches",CustTbl[Branch],Customer!$N$4))*(CustTbl[Age]&gt;=61)*(CustTbl[Age]&lt;=70)*1)</f>
        <v>1</v>
      </c>
    </row>
    <row r="44" spans="1:2" x14ac:dyDescent="0.25">
      <c r="A44" t="s">
        <v>5863</v>
      </c>
    </row>
    <row r="45" spans="1:2" x14ac:dyDescent="0.25">
      <c r="A45" t="s">
        <v>79</v>
      </c>
      <c r="B45">
        <f>SUMPRODUCT((CustTbl[Branch]=IF(Customer!$N$4="All Branches",CustTbl[Branch],Customer!$N$4))*(CustTbl[Gender]="Male")*1)</f>
        <v>44</v>
      </c>
    </row>
    <row r="46" spans="1:2" x14ac:dyDescent="0.25">
      <c r="A46" t="s">
        <v>71</v>
      </c>
      <c r="B46">
        <f>SUMPRODUCT((CustTbl[Branch]=IF(Customer!$N$4="All Branches",CustTbl[Branch],Customer!$N$4))*(CustTbl[Gender]="Female")*1)</f>
        <v>33</v>
      </c>
    </row>
    <row r="49" spans="1:2" x14ac:dyDescent="0.25">
      <c r="A49" t="s">
        <v>5864</v>
      </c>
    </row>
    <row r="50" spans="1:2" x14ac:dyDescent="0.25">
      <c r="A50" t="s">
        <v>122</v>
      </c>
      <c r="B50">
        <f>SUMPRODUCT((CustTbl[Branch]=IF(Customer!$N$4="All Branches",CustTbl[Branch],Customer!$N$4))*(CustTbl[Occupation]="Business Owner")*1)</f>
        <v>14</v>
      </c>
    </row>
    <row r="51" spans="1:2" x14ac:dyDescent="0.25">
      <c r="A51" t="s">
        <v>91</v>
      </c>
      <c r="B51">
        <f>SUMPRODUCT((CustTbl[Branch]=IF(Customer!$N$4="All Branches",CustTbl[Branch],Customer!$N$4))*(CustTbl[Occupation]="Government Employee")*1)</f>
        <v>15</v>
      </c>
    </row>
    <row r="52" spans="1:2" x14ac:dyDescent="0.25">
      <c r="A52" t="s">
        <v>129</v>
      </c>
      <c r="B52">
        <f>SUMPRODUCT((CustTbl[Branch]=IF(Customer!$N$4="All Branches",CustTbl[Branch],Customer!$N$4))*(CustTbl[Occupation]="Retired")*1)</f>
        <v>7</v>
      </c>
    </row>
    <row r="53" spans="1:2" x14ac:dyDescent="0.25">
      <c r="A53" t="s">
        <v>74</v>
      </c>
      <c r="B53">
        <f>SUMPRODUCT((CustTbl[Branch]=IF(Customer!$N$4="All Branches",CustTbl[Branch],Customer!$N$4))*(CustTbl[Occupation]="Salaried")*1)</f>
        <v>23</v>
      </c>
    </row>
    <row r="54" spans="1:2" x14ac:dyDescent="0.25">
      <c r="A54" t="s">
        <v>81</v>
      </c>
      <c r="B54">
        <f>SUMPRODUCT((CustTbl[Branch]=IF(Customer!$N$4="All Branches",CustTbl[Branch],Customer!$N$4))*(CustTbl[Occupation]="Self-Employed")*1)</f>
        <v>18</v>
      </c>
    </row>
    <row r="57" spans="1:2" x14ac:dyDescent="0.25">
      <c r="A57" t="s">
        <v>5865</v>
      </c>
    </row>
    <row r="58" spans="1:2" x14ac:dyDescent="0.25">
      <c r="A58" t="s">
        <v>5866</v>
      </c>
      <c r="B58">
        <f>SUMPRODUCT((CustTbl[Branch]=IF(Customer!$N$4="All Branches",CustTbl[Branch],Customer!$N$4))*(CustTbl[MonthlyIncome]&gt;=0)*(CustTbl[MonthlyIncome]&lt;25000)*1)</f>
        <v>8</v>
      </c>
    </row>
    <row r="59" spans="1:2" x14ac:dyDescent="0.25">
      <c r="A59" t="s">
        <v>5867</v>
      </c>
      <c r="B59">
        <f>SUMPRODUCT((CustTbl[Branch]=IF(Customer!$N$4="All Branches",CustTbl[Branch],Customer!$N$4))*(CustTbl[MonthlyIncome]&gt;=25000)*(CustTbl[MonthlyIncome]&lt;50000)*1)</f>
        <v>39</v>
      </c>
    </row>
    <row r="60" spans="1:2" x14ac:dyDescent="0.25">
      <c r="A60" t="s">
        <v>5868</v>
      </c>
      <c r="B60">
        <f>SUMPRODUCT((CustTbl[Branch]=IF(Customer!$N$4="All Branches",CustTbl[Branch],Customer!$N$4))*(CustTbl[MonthlyIncome]&gt;=50000)*(CustTbl[MonthlyIncome]&lt;100000)*1)</f>
        <v>23</v>
      </c>
    </row>
    <row r="61" spans="1:2" x14ac:dyDescent="0.25">
      <c r="A61" t="s">
        <v>5869</v>
      </c>
      <c r="B61">
        <f>SUMPRODUCT((CustTbl[Branch]=IF(Customer!$N$4="All Branches",CustTbl[Branch],Customer!$N$4))*(CustTbl[MonthlyIncome]&gt;=100000)*(CustTbl[MonthlyIncome]&lt;1000000000)*1)</f>
        <v>7</v>
      </c>
    </row>
    <row r="75" spans="1:2" x14ac:dyDescent="0.25">
      <c r="A75" t="s">
        <v>5870</v>
      </c>
    </row>
    <row r="76" spans="1:2" x14ac:dyDescent="0.25">
      <c r="A76" t="s">
        <v>5871</v>
      </c>
      <c r="B76">
        <f>SUMPRODUCT((TxnTbl[Branch]=IF(Transaction!$N$4="All Branches",TxnTbl[Branch],Transaction!$N$4))*1)</f>
        <v>605</v>
      </c>
    </row>
    <row r="77" spans="1:2" x14ac:dyDescent="0.25">
      <c r="A77" t="s">
        <v>5872</v>
      </c>
      <c r="B77">
        <f>SUMPRODUCT((TxnTbl[Branch]=IF(Transaction!$N$4="All Branches",TxnTbl[Branch],Transaction!$N$4))*TxnTbl[Amount])</f>
        <v>11670458</v>
      </c>
    </row>
    <row r="78" spans="1:2" x14ac:dyDescent="0.25">
      <c r="A78" t="s">
        <v>5873</v>
      </c>
      <c r="B78">
        <f>IFERROR(SUMPRODUCT((TxnTbl[Branch]=IF(Transaction!$N$4="All Branches",TxnTbl[Branch],Transaction!$N$4))*TxnTbl[Amount])/SUMPRODUCT((TxnTbl[Branch]=IF(Transaction!$N$4="All Branches",TxnTbl[Branch],Transaction!$N$4))*1),0)</f>
        <v>19290.013223140497</v>
      </c>
    </row>
    <row r="81" spans="1:2" x14ac:dyDescent="0.25">
      <c r="A81" t="s">
        <v>5874</v>
      </c>
    </row>
    <row r="82" spans="1:2" x14ac:dyDescent="0.25">
      <c r="A82" t="s">
        <v>5875</v>
      </c>
      <c r="B82">
        <f>SUMPRODUCT((TxnTbl[Branch]=IF(Transaction!$N$4="All Branches",TxnTbl[Branch],Transaction!$N$4))*(TEXT(TxnTbl[TransactionDate],"YYYY-MM")="2025-09")*1)</f>
        <v>49</v>
      </c>
    </row>
    <row r="83" spans="1:2" x14ac:dyDescent="0.25">
      <c r="A83" t="s">
        <v>5876</v>
      </c>
      <c r="B83">
        <f>SUMPRODUCT((TxnTbl[Branch]=IF(Transaction!$N$4="All Branches",TxnTbl[Branch],Transaction!$N$4))*(TEXT(TxnTbl[TransactionDate],"YYYY-MM")="2025-10")*1)</f>
        <v>49</v>
      </c>
    </row>
    <row r="84" spans="1:2" x14ac:dyDescent="0.25">
      <c r="A84" t="s">
        <v>5877</v>
      </c>
      <c r="B84">
        <f>SUMPRODUCT((TxnTbl[Branch]=IF(Transaction!$N$4="All Branches",TxnTbl[Branch],Transaction!$N$4))*(TEXT(TxnTbl[TransactionDate],"YYYY-MM")="2025-11")*1)</f>
        <v>48</v>
      </c>
    </row>
    <row r="85" spans="1:2" x14ac:dyDescent="0.25">
      <c r="A85" t="s">
        <v>5878</v>
      </c>
      <c r="B85">
        <f>SUMPRODUCT((TxnTbl[Branch]=IF(Transaction!$N$4="All Branches",TxnTbl[Branch],Transaction!$N$4))*(TEXT(TxnTbl[TransactionDate],"YYYY-MM")="2025-12")*1)</f>
        <v>48</v>
      </c>
    </row>
    <row r="86" spans="1:2" x14ac:dyDescent="0.25">
      <c r="A86" t="s">
        <v>5879</v>
      </c>
      <c r="B86">
        <f>SUMPRODUCT((TxnTbl[Branch]=IF(Transaction!$N$4="All Branches",TxnTbl[Branch],Transaction!$N$4))*(TEXT(TxnTbl[TransactionDate],"YYYY-MM")="2026-01")*1)</f>
        <v>48</v>
      </c>
    </row>
    <row r="87" spans="1:2" x14ac:dyDescent="0.25">
      <c r="A87" t="s">
        <v>5880</v>
      </c>
      <c r="B87">
        <f>SUMPRODUCT((TxnTbl[Branch]=IF(Transaction!$N$4="All Branches",TxnTbl[Branch],Transaction!$N$4))*(TEXT(TxnTbl[TransactionDate],"YYYY-MM")="2026-02")*1)</f>
        <v>33</v>
      </c>
    </row>
    <row r="88" spans="1:2" x14ac:dyDescent="0.25">
      <c r="A88" t="s">
        <v>5881</v>
      </c>
      <c r="B88">
        <f>SUMPRODUCT((TxnTbl[Branch]=IF(Transaction!$N$4="All Branches",TxnTbl[Branch],Transaction!$N$4))*(TEXT(TxnTbl[TransactionDate],"YYYY-MM")="2026-03")*1)</f>
        <v>53</v>
      </c>
    </row>
    <row r="89" spans="1:2" x14ac:dyDescent="0.25">
      <c r="A89" t="s">
        <v>5882</v>
      </c>
      <c r="B89">
        <f>SUMPRODUCT((TxnTbl[Branch]=IF(Transaction!$N$4="All Branches",TxnTbl[Branch],Transaction!$N$4))*(TEXT(TxnTbl[TransactionDate],"YYYY-MM")="2026-04")*1)</f>
        <v>56</v>
      </c>
    </row>
    <row r="90" spans="1:2" x14ac:dyDescent="0.25">
      <c r="A90" t="s">
        <v>5883</v>
      </c>
      <c r="B90">
        <f>SUMPRODUCT((TxnTbl[Branch]=IF(Transaction!$N$4="All Branches",TxnTbl[Branch],Transaction!$N$4))*(TEXT(TxnTbl[TransactionDate],"YYYY-MM")="2026-05")*1)</f>
        <v>58</v>
      </c>
    </row>
    <row r="91" spans="1:2" x14ac:dyDescent="0.25">
      <c r="A91" t="s">
        <v>5884</v>
      </c>
      <c r="B91">
        <f>SUMPRODUCT((TxnTbl[Branch]=IF(Transaction!$N$4="All Branches",TxnTbl[Branch],Transaction!$N$4))*(TEXT(TxnTbl[TransactionDate],"YYYY-MM")="2026-06")*1)</f>
        <v>68</v>
      </c>
    </row>
    <row r="92" spans="1:2" x14ac:dyDescent="0.25">
      <c r="A92" t="s">
        <v>5885</v>
      </c>
      <c r="B92">
        <f>SUMPRODUCT((TxnTbl[Branch]=IF(Transaction!$N$4="All Branches",TxnTbl[Branch],Transaction!$N$4))*(TEXT(TxnTbl[TransactionDate],"YYYY-MM")="2026-07")*1)</f>
        <v>56</v>
      </c>
    </row>
    <row r="93" spans="1:2" x14ac:dyDescent="0.25">
      <c r="A93" t="s">
        <v>5886</v>
      </c>
      <c r="B93">
        <f>SUMPRODUCT((TxnTbl[Branch]=IF(Transaction!$N$4="All Branches",TxnTbl[Branch],Transaction!$N$4))*(TEXT(TxnTbl[TransactionDate],"YYYY-MM")="2026-08")*1)</f>
        <v>37</v>
      </c>
    </row>
    <row r="96" spans="1:2" x14ac:dyDescent="0.25">
      <c r="A96" t="s">
        <v>5887</v>
      </c>
    </row>
    <row r="97" spans="1:3" x14ac:dyDescent="0.25">
      <c r="A97" t="s">
        <v>1876</v>
      </c>
      <c r="B97">
        <f>SUMPRODUCT((TxnTbl[Branch]=IF(Transaction!$N$4="All Branches",TxnTbl[Branch],Transaction!$N$4))*(TxnTbl[TransactionType]="Bill Payment")*1)</f>
        <v>87</v>
      </c>
      <c r="C97">
        <f>IFERROR(SUMPRODUCT((TxnTbl[Branch]=IF(Transaction!$N$4="All Branches",TxnTbl[Branch],Transaction!$N$4))*(TxnTbl[TransactionType]="Bill Payment")*TxnTbl[Amount])/SUMPRODUCT((TxnTbl[Branch]=IF(Transaction!$N$4="All Branches",TxnTbl[Branch],Transaction!$N$4))*(TxnTbl[TransactionType]="Bill Payment")*1),0)</f>
        <v>16464.459770114943</v>
      </c>
    </row>
    <row r="98" spans="1:3" x14ac:dyDescent="0.25">
      <c r="A98" t="s">
        <v>1915</v>
      </c>
      <c r="B98">
        <f>SUMPRODUCT((TxnTbl[Branch]=IF(Transaction!$N$4="All Branches",TxnTbl[Branch],Transaction!$N$4))*(TxnTbl[TransactionType]="Deposit")*1)</f>
        <v>157</v>
      </c>
      <c r="C98">
        <f>IFERROR(SUMPRODUCT((TxnTbl[Branch]=IF(Transaction!$N$4="All Branches",TxnTbl[Branch],Transaction!$N$4))*(TxnTbl[TransactionType]="Deposit")*TxnTbl[Amount])/SUMPRODUCT((TxnTbl[Branch]=IF(Transaction!$N$4="All Branches",TxnTbl[Branch],Transaction!$N$4))*(TxnTbl[TransactionType]="Deposit")*1),0)</f>
        <v>28475.910828025477</v>
      </c>
    </row>
    <row r="99" spans="1:3" x14ac:dyDescent="0.25">
      <c r="A99" t="s">
        <v>1886</v>
      </c>
      <c r="B99">
        <f>SUMPRODUCT((TxnTbl[Branch]=IF(Transaction!$N$4="All Branches",TxnTbl[Branch],Transaction!$N$4))*(TxnTbl[TransactionType]="EMI Payment")*1)</f>
        <v>76</v>
      </c>
      <c r="C99">
        <f>IFERROR(SUMPRODUCT((TxnTbl[Branch]=IF(Transaction!$N$4="All Branches",TxnTbl[Branch],Transaction!$N$4))*(TxnTbl[TransactionType]="EMI Payment")*TxnTbl[Amount])/SUMPRODUCT((TxnTbl[Branch]=IF(Transaction!$N$4="All Branches",TxnTbl[Branch],Transaction!$N$4))*(TxnTbl[TransactionType]="EMI Payment")*1),0)</f>
        <v>18888.57894736842</v>
      </c>
    </row>
    <row r="100" spans="1:3" x14ac:dyDescent="0.25">
      <c r="A100" t="s">
        <v>1879</v>
      </c>
      <c r="B100">
        <f>SUMPRODUCT((TxnTbl[Branch]=IF(Transaction!$N$4="All Branches",TxnTbl[Branch],Transaction!$N$4))*(TxnTbl[TransactionType]="Fund Transfer")*1)</f>
        <v>164</v>
      </c>
      <c r="C100">
        <f>IFERROR(SUMPRODUCT((TxnTbl[Branch]=IF(Transaction!$N$4="All Branches",TxnTbl[Branch],Transaction!$N$4))*(TxnTbl[TransactionType]="Fund Transfer")*TxnTbl[Amount])/SUMPRODUCT((TxnTbl[Branch]=IF(Transaction!$N$4="All Branches",TxnTbl[Branch],Transaction!$N$4))*(TxnTbl[TransactionType]="Fund Transfer")*1),0)</f>
        <v>15247.280487804877</v>
      </c>
    </row>
    <row r="101" spans="1:3" x14ac:dyDescent="0.25">
      <c r="A101" t="s">
        <v>1871</v>
      </c>
      <c r="B101">
        <f>SUMPRODUCT((TxnTbl[Branch]=IF(Transaction!$N$4="All Branches",TxnTbl[Branch],Transaction!$N$4))*(TxnTbl[TransactionType]="Withdrawal")*1)</f>
        <v>121</v>
      </c>
      <c r="C101">
        <f>IFERROR(SUMPRODUCT((TxnTbl[Branch]=IF(Transaction!$N$4="All Branches",TxnTbl[Branch],Transaction!$N$4))*(TxnTbl[TransactionType]="Withdrawal")*TxnTbl[Amount])/SUMPRODUCT((TxnTbl[Branch]=IF(Transaction!$N$4="All Branches",TxnTbl[Branch],Transaction!$N$4))*(TxnTbl[TransactionType]="Withdrawal")*1),0)</f>
        <v>15134.264462809917</v>
      </c>
    </row>
    <row r="135" spans="1:4" x14ac:dyDescent="0.25">
      <c r="A135" t="s">
        <v>5888</v>
      </c>
    </row>
    <row r="136" spans="1:4" x14ac:dyDescent="0.25">
      <c r="A136" t="s">
        <v>5889</v>
      </c>
      <c r="B136">
        <f>SUMPRODUCT((LoanTbl[Branch]=IF(LoanPortfolio!$N$4="All Branches",LoanTbl[Branch],LoanPortfolio!$N$4))*1)</f>
        <v>320</v>
      </c>
    </row>
    <row r="137" spans="1:4" x14ac:dyDescent="0.25">
      <c r="A137" t="s">
        <v>5890</v>
      </c>
      <c r="B137">
        <f>SUMPRODUCT((LoanTbl[Branch]=IF(LoanPortfolio!$N$4="All Branches",LoanTbl[Branch],LoanPortfolio!$N$4))*LoanTbl[LoanAmount])</f>
        <v>359793000</v>
      </c>
    </row>
    <row r="138" spans="1:4" x14ac:dyDescent="0.25">
      <c r="A138" t="s">
        <v>5891</v>
      </c>
      <c r="B138">
        <f>IFERROR(SUMPRODUCT((LoanTbl[Branch]=IF(LoanPortfolio!$N$4="All Branches",LoanTbl[Branch],LoanPortfolio!$N$4))*LoanTbl[LoanAmount])/SUMPRODUCT((LoanTbl[Branch]=IF(LoanPortfolio!$N$4="All Branches",LoanTbl[Branch],LoanPortfolio!$N$4))*1),0)</f>
        <v>1124353.125</v>
      </c>
    </row>
    <row r="139" spans="1:4" x14ac:dyDescent="0.25">
      <c r="A139" t="s">
        <v>5892</v>
      </c>
      <c r="B139">
        <f>IFERROR(SUMPRODUCT((LoanTbl[Branch]=IF(LoanPortfolio!$N$4="All Branches",LoanTbl[Branch],LoanPortfolio!$N$4))*LoanTbl[InterestRate])/SUMPRODUCT((LoanTbl[Branch]=IF(LoanPortfolio!$N$4="All Branches",LoanTbl[Branch],LoanPortfolio!$N$4))*1),0)</f>
        <v>11.248999999999999</v>
      </c>
    </row>
    <row r="142" spans="1:4" x14ac:dyDescent="0.25">
      <c r="A142" t="s">
        <v>5893</v>
      </c>
    </row>
    <row r="143" spans="1:4" x14ac:dyDescent="0.25">
      <c r="A143" t="s">
        <v>1290</v>
      </c>
      <c r="B143">
        <f>SUMPRODUCT((LoanTbl[Branch]=IF(LoanPortfolio!$N$4="All Branches",LoanTbl[Branch],LoanPortfolio!$N$4))*(LoanTbl[LoanType]="Auto Loan")*LoanTbl[LoanAmount])</f>
        <v>51634000</v>
      </c>
      <c r="C143">
        <f>SUMPRODUCT((LoanTbl[Branch]=IF(LoanPortfolio!$N$4="All Branches",LoanTbl[Branch],LoanPortfolio!$N$4))*(LoanTbl[LoanType]="Auto Loan")*1)</f>
        <v>83</v>
      </c>
      <c r="D143">
        <f>IFERROR(SUMPRODUCT((LoanTbl[Branch]=IF(LoanPortfolio!$N$4="All Branches",LoanTbl[Branch],LoanPortfolio!$N$4))*(LoanTbl[LoanType]="Auto Loan")*LoanTbl[InterestRate])/SUMPRODUCT((LoanTbl[Branch]=IF(LoanPortfolio!$N$4="All Branches",LoanTbl[Branch],LoanPortfolio!$N$4))*(LoanTbl[LoanType]="Auto Loan")*1),0)</f>
        <v>9.7379518072289137</v>
      </c>
    </row>
    <row r="144" spans="1:4" x14ac:dyDescent="0.25">
      <c r="A144" t="s">
        <v>1295</v>
      </c>
      <c r="B144">
        <f>SUMPRODUCT((LoanTbl[Branch]=IF(LoanPortfolio!$N$4="All Branches",LoanTbl[Branch],LoanPortfolio!$N$4))*(LoanTbl[LoanType]="Business Loan")*LoanTbl[LoanAmount])</f>
        <v>113794000</v>
      </c>
      <c r="C144">
        <f>SUMPRODUCT((LoanTbl[Branch]=IF(LoanPortfolio!$N$4="All Branches",LoanTbl[Branch],LoanPortfolio!$N$4))*(LoanTbl[LoanType]="Business Loan")*1)</f>
        <v>85</v>
      </c>
      <c r="D144">
        <f>IFERROR(SUMPRODUCT((LoanTbl[Branch]=IF(LoanPortfolio!$N$4="All Branches",LoanTbl[Branch],LoanPortfolio!$N$4))*(LoanTbl[LoanType]="Business Loan")*LoanTbl[InterestRate])/SUMPRODUCT((LoanTbl[Branch]=IF(LoanPortfolio!$N$4="All Branches",LoanTbl[Branch],LoanPortfolio!$N$4))*(LoanTbl[LoanType]="Business Loan")*1),0)</f>
        <v>13.560705882352941</v>
      </c>
    </row>
    <row r="145" spans="1:4" x14ac:dyDescent="0.25">
      <c r="A145" t="s">
        <v>1286</v>
      </c>
      <c r="B145">
        <f>SUMPRODUCT((LoanTbl[Branch]=IF(LoanPortfolio!$N$4="All Branches",LoanTbl[Branch],LoanPortfolio!$N$4))*(LoanTbl[LoanType]="Home Loan")*LoanTbl[LoanAmount])</f>
        <v>166540000</v>
      </c>
      <c r="C145">
        <f>SUMPRODUCT((LoanTbl[Branch]=IF(LoanPortfolio!$N$4="All Branches",LoanTbl[Branch],LoanPortfolio!$N$4))*(LoanTbl[LoanType]="Home Loan")*1)</f>
        <v>71</v>
      </c>
      <c r="D145">
        <f>IFERROR(SUMPRODUCT((LoanTbl[Branch]=IF(LoanPortfolio!$N$4="All Branches",LoanTbl[Branch],LoanPortfolio!$N$4))*(LoanTbl[LoanType]="Home Loan")*LoanTbl[InterestRate])/SUMPRODUCT((LoanTbl[Branch]=IF(LoanPortfolio!$N$4="All Branches",LoanTbl[Branch],LoanPortfolio!$N$4))*(LoanTbl[LoanType]="Home Loan")*1),0)</f>
        <v>8.2230985915492969</v>
      </c>
    </row>
    <row r="146" spans="1:4" x14ac:dyDescent="0.25">
      <c r="A146" t="s">
        <v>1282</v>
      </c>
      <c r="B146">
        <f>SUMPRODUCT((LoanTbl[Branch]=IF(LoanPortfolio!$N$4="All Branches",LoanTbl[Branch],LoanPortfolio!$N$4))*(LoanTbl[LoanType]="Personal Loan")*LoanTbl[LoanAmount])</f>
        <v>27825000</v>
      </c>
      <c r="C146">
        <f>SUMPRODUCT((LoanTbl[Branch]=IF(LoanPortfolio!$N$4="All Branches",LoanTbl[Branch],LoanPortfolio!$N$4))*(LoanTbl[LoanType]="Personal Loan")*1)</f>
        <v>81</v>
      </c>
      <c r="D146">
        <f>IFERROR(SUMPRODUCT((LoanTbl[Branch]=IF(LoanPortfolio!$N$4="All Branches",LoanTbl[Branch],LoanPortfolio!$N$4))*(LoanTbl[LoanType]="Personal Loan")*LoanTbl[InterestRate])/SUMPRODUCT((LoanTbl[Branch]=IF(LoanPortfolio!$N$4="All Branches",LoanTbl[Branch],LoanPortfolio!$N$4))*(LoanTbl[LoanType]="Personal Loan")*1),0)</f>
        <v>13.023827160493829</v>
      </c>
    </row>
    <row r="149" spans="1:4" x14ac:dyDescent="0.25">
      <c r="A149" t="s">
        <v>5894</v>
      </c>
    </row>
    <row r="150" spans="1:4" x14ac:dyDescent="0.25">
      <c r="A150" t="s">
        <v>1284</v>
      </c>
      <c r="B150">
        <f>SUMPRODUCT((LoanTbl[Branch]=IF(LoanPortfolio!$N$4="All Branches",LoanTbl[Branch],LoanPortfolio!$N$4))*(LoanTbl[LoanStatus]="Active")*1)</f>
        <v>140</v>
      </c>
    </row>
    <row r="151" spans="1:4" x14ac:dyDescent="0.25">
      <c r="A151" t="s">
        <v>1312</v>
      </c>
      <c r="B151">
        <f>SUMPRODUCT((LoanTbl[Branch]=IF(LoanPortfolio!$N$4="All Branches",LoanTbl[Branch],LoanPortfolio!$N$4))*(LoanTbl[LoanStatus]="Closed")*1)</f>
        <v>69</v>
      </c>
    </row>
    <row r="152" spans="1:4" x14ac:dyDescent="0.25">
      <c r="A152" t="s">
        <v>1288</v>
      </c>
      <c r="B152">
        <f>SUMPRODUCT((LoanTbl[Branch]=IF(LoanPortfolio!$N$4="All Branches",LoanTbl[Branch],LoanPortfolio!$N$4))*(LoanTbl[LoanStatus]="Overdue")*1)</f>
        <v>111</v>
      </c>
    </row>
    <row r="158" spans="1:4" x14ac:dyDescent="0.25">
      <c r="A158" t="s">
        <v>5895</v>
      </c>
    </row>
    <row r="159" spans="1:4" x14ac:dyDescent="0.25">
      <c r="A159" t="s">
        <v>5896</v>
      </c>
      <c r="B159">
        <f>IFERROR(SUMPRODUCT((LoanTbl[Branch]=IF(EMI_Repayment!$N$4="All Branches",LoanTbl[Branch],EMI_Repayment!$N$4))*LoanTbl[EMIsPaid])/SUMPRODUCT((LoanTbl[Branch]=IF(EMI_Repayment!$N$4="All Branches",LoanTbl[Branch],EMI_Repayment!$N$4))*LoanTbl[MonthsElapsed])*100,0)</f>
        <v>93.965131873044257</v>
      </c>
    </row>
    <row r="160" spans="1:4" x14ac:dyDescent="0.25">
      <c r="A160" t="s">
        <v>5897</v>
      </c>
      <c r="B160">
        <f>SUMPRODUCT((LoanTbl[Branch]=IF(EMI_Repayment!$N$4="All Branches",LoanTbl[Branch],EMI_Repayment!$N$4))*(LoanTbl[EMIsMissed]&gt;=3)*1)</f>
        <v>18</v>
      </c>
    </row>
    <row r="161" spans="1:3" x14ac:dyDescent="0.25">
      <c r="A161" t="s">
        <v>5898</v>
      </c>
      <c r="B161">
        <f>SUMPRODUCT((LoanTbl[Branch]=IF(EMI_Repayment!$N$4="All Branches",LoanTbl[Branch],EMI_Repayment!$N$4))*LoanTbl[EMIsPaid]*LoanTbl[EMIAmount])</f>
        <v>52291274</v>
      </c>
    </row>
    <row r="162" spans="1:3" x14ac:dyDescent="0.25">
      <c r="A162" t="s">
        <v>5899</v>
      </c>
      <c r="B162">
        <f>IFERROR(SUMPRODUCT((LoanTbl[Branch]=IF(EMI_Repayment!$N$4="All Branches",LoanTbl[Branch],EMI_Repayment!$N$4))*(LoanTbl[EMIsMissed]=0)*1)/SUMPRODUCT((LoanTbl[Branch]=IF(EMI_Repayment!$N$4="All Branches",LoanTbl[Branch],EMI_Repayment!$N$4))*1)*100,0)</f>
        <v>12.903225806451612</v>
      </c>
    </row>
    <row r="165" spans="1:3" x14ac:dyDescent="0.25">
      <c r="A165" t="s">
        <v>5900</v>
      </c>
    </row>
    <row r="166" spans="1:3" x14ac:dyDescent="0.25">
      <c r="A166" t="s">
        <v>1290</v>
      </c>
      <c r="B166">
        <f>IFERROR(SUMPRODUCT((LoanTbl[Branch]=IF(EMI_Repayment!$N$4="All Branches",LoanTbl[Branch],EMI_Repayment!$N$4))*(LoanTbl[LoanType]="Auto Loan")*LoanTbl[EMIAmount])/SUMPRODUCT((LoanTbl[Branch]=IF(EMI_Repayment!$N$4="All Branches",LoanTbl[Branch],EMI_Repayment!$N$4))*(LoanTbl[LoanType]="Auto Loan")*1),0)</f>
        <v>24484.78947368421</v>
      </c>
      <c r="C166">
        <f>IFERROR(SUMPRODUCT((LoanTbl[Branch]=IF(EMI_Repayment!$N$4="All Branches",LoanTbl[Branch],EMI_Repayment!$N$4))*(LoanTbl[LoanType]="Auto Loan")*LoanTbl[EMIsPaid])/SUMPRODUCT((LoanTbl[Branch]=IF(EMI_Repayment!$N$4="All Branches",LoanTbl[Branch],EMI_Repayment!$N$4))*(LoanTbl[LoanType]="Auto Loan")*LoanTbl[MonthsElapsed])*100,0)</f>
        <v>95.163584637268855</v>
      </c>
    </row>
    <row r="167" spans="1:3" x14ac:dyDescent="0.25">
      <c r="A167" t="s">
        <v>1295</v>
      </c>
      <c r="B167">
        <f>IFERROR(SUMPRODUCT((LoanTbl[Branch]=IF(EMI_Repayment!$N$4="All Branches",LoanTbl[Branch],EMI_Repayment!$N$4))*(LoanTbl[LoanType]="Business Loan")*LoanTbl[EMIAmount])/SUMPRODUCT((LoanTbl[Branch]=IF(EMI_Repayment!$N$4="All Branches",LoanTbl[Branch],EMI_Repayment!$N$4))*(LoanTbl[LoanType]="Business Loan")*1),0)</f>
        <v>42462.230769230766</v>
      </c>
      <c r="C167">
        <f>IFERROR(SUMPRODUCT((LoanTbl[Branch]=IF(EMI_Repayment!$N$4="All Branches",LoanTbl[Branch],EMI_Repayment!$N$4))*(LoanTbl[LoanType]="Business Loan")*LoanTbl[EMIsPaid])/SUMPRODUCT((LoanTbl[Branch]=IF(EMI_Repayment!$N$4="All Branches",LoanTbl[Branch],EMI_Repayment!$N$4))*(LoanTbl[LoanType]="Business Loan")*LoanTbl[MonthsElapsed])*100,0)</f>
        <v>93.600000000000009</v>
      </c>
    </row>
    <row r="168" spans="1:3" x14ac:dyDescent="0.25">
      <c r="A168" t="s">
        <v>1286</v>
      </c>
      <c r="B168">
        <f>IFERROR(SUMPRODUCT((LoanTbl[Branch]=IF(EMI_Repayment!$N$4="All Branches",LoanTbl[Branch],EMI_Repayment!$N$4))*(LoanTbl[LoanType]="Home Loan")*LoanTbl[EMIAmount])/SUMPRODUCT((LoanTbl[Branch]=IF(EMI_Repayment!$N$4="All Branches",LoanTbl[Branch],EMI_Repayment!$N$4))*(LoanTbl[LoanType]="Home Loan")*1),0)</f>
        <v>30090.846153846152</v>
      </c>
      <c r="C168">
        <f>IFERROR(SUMPRODUCT((LoanTbl[Branch]=IF(EMI_Repayment!$N$4="All Branches",LoanTbl[Branch],EMI_Repayment!$N$4))*(LoanTbl[LoanType]="Home Loan")*LoanTbl[EMIsPaid])/SUMPRODUCT((LoanTbl[Branch]=IF(EMI_Repayment!$N$4="All Branches",LoanTbl[Branch],EMI_Repayment!$N$4))*(LoanTbl[LoanType]="Home Loan")*LoanTbl[MonthsElapsed])*100,0)</f>
        <v>93.741851368970003</v>
      </c>
    </row>
    <row r="169" spans="1:3" x14ac:dyDescent="0.25">
      <c r="A169" t="s">
        <v>1282</v>
      </c>
      <c r="B169">
        <f>IFERROR(SUMPRODUCT((LoanTbl[Branch]=IF(EMI_Repayment!$N$4="All Branches",LoanTbl[Branch],EMI_Repayment!$N$4))*(LoanTbl[LoanType]="Personal Loan")*LoanTbl[EMIAmount])/SUMPRODUCT((LoanTbl[Branch]=IF(EMI_Repayment!$N$4="All Branches",LoanTbl[Branch],EMI_Repayment!$N$4))*(LoanTbl[LoanType]="Personal Loan")*1),0)</f>
        <v>19159.529411764706</v>
      </c>
      <c r="C169">
        <f>IFERROR(SUMPRODUCT((LoanTbl[Branch]=IF(EMI_Repayment!$N$4="All Branches",LoanTbl[Branch],EMI_Repayment!$N$4))*(LoanTbl[LoanType]="Personal Loan")*LoanTbl[EMIsPaid])/SUMPRODUCT((LoanTbl[Branch]=IF(EMI_Repayment!$N$4="All Branches",LoanTbl[Branch],EMI_Repayment!$N$4))*(LoanTbl[LoanType]="Personal Loan")*LoanTbl[MonthsElapsed])*100,0)</f>
        <v>92.602040816326522</v>
      </c>
    </row>
    <row r="172" spans="1:3" x14ac:dyDescent="0.25">
      <c r="A172" t="s">
        <v>5901</v>
      </c>
    </row>
    <row r="173" spans="1:3" x14ac:dyDescent="0.25">
      <c r="A173" t="s">
        <v>5902</v>
      </c>
      <c r="B173">
        <f>SUMPRODUCT((LoanTbl[Branch]=IF(EMI_Repayment!$N$4="All Branches",LoanTbl[Branch],EMI_Repayment!$N$4))*(LoanTbl[EMIsMissed]=0)*1)</f>
        <v>8</v>
      </c>
    </row>
    <row r="174" spans="1:3" x14ac:dyDescent="0.25">
      <c r="A174" t="s">
        <v>5903</v>
      </c>
      <c r="B174">
        <f>SUMPRODUCT((LoanTbl[Branch]=IF(EMI_Repayment!$N$4="All Branches",LoanTbl[Branch],EMI_Repayment!$N$4))*(LoanTbl[EMIsMissed]=1)*1)</f>
        <v>23</v>
      </c>
    </row>
    <row r="175" spans="1:3" x14ac:dyDescent="0.25">
      <c r="A175" t="s">
        <v>5904</v>
      </c>
      <c r="B175">
        <f>SUMPRODUCT((LoanTbl[Branch]=IF(EMI_Repayment!$N$4="All Branches",LoanTbl[Branch],EMI_Repayment!$N$4))*(LoanTbl[EMIsMissed]=2)*1)</f>
        <v>13</v>
      </c>
    </row>
    <row r="176" spans="1:3" x14ac:dyDescent="0.25">
      <c r="A176" t="s">
        <v>5905</v>
      </c>
      <c r="B176">
        <f>SUMPRODUCT((LoanTbl[Branch]=IF(EMI_Repayment!$N$4="All Branches",LoanTbl[Branch],EMI_Repayment!$N$4))*(LoanTbl[EMIsMissed]&gt;=3)*1)</f>
        <v>18</v>
      </c>
    </row>
    <row r="178" spans="1:5" x14ac:dyDescent="0.25">
      <c r="A178" t="s">
        <v>5906</v>
      </c>
    </row>
    <row r="179" spans="1:5" x14ac:dyDescent="0.25">
      <c r="A179" t="s">
        <v>5907</v>
      </c>
      <c r="B179">
        <f>SUMPRODUCT((LoanTbl[Branch]=IF(EMI_Repayment!$N$4="All Branches",LoanTbl[Branch],EMI_Repayment!$N$4))*LoanTbl[EMIsPaid])</f>
        <v>2102</v>
      </c>
    </row>
    <row r="180" spans="1:5" x14ac:dyDescent="0.25">
      <c r="A180" t="s">
        <v>5908</v>
      </c>
      <c r="B180">
        <f>SUMPRODUCT((LoanTbl[Branch]=IF(EMI_Repayment!$N$4="All Branches",LoanTbl[Branch],EMI_Repayment!$N$4))*LoanTbl[EMIsMissed])</f>
        <v>135</v>
      </c>
    </row>
    <row r="190" spans="1:5" x14ac:dyDescent="0.25">
      <c r="A190" t="s">
        <v>5909</v>
      </c>
    </row>
    <row r="191" spans="1:5" x14ac:dyDescent="0.25">
      <c r="A191" t="s">
        <v>51</v>
      </c>
      <c r="B191">
        <f>SUMPRODUCT((CustTbl[Branch]="Agra Sadar Branch")*1)</f>
        <v>77</v>
      </c>
      <c r="C191">
        <f>SUMPRODUCT((LoanTbl[Branch]="Agra Sadar Branch")*LoanTbl[LoanAmount])</f>
        <v>63121000</v>
      </c>
      <c r="D191">
        <f>SUMPRODUCT((TxnTbl[Branch]="Agra Sadar Branch")*TxnTbl[Amount])</f>
        <v>12531235</v>
      </c>
      <c r="E191">
        <f>IFERROR(SUMPRODUCT((LoanTbl[Branch]="Agra Sadar Branch")*LoanTbl[EMIsPaid])/SUMPRODUCT((LoanTbl[Branch]="Agra Sadar Branch")*LoanTbl[MonthsElapsed])*100,0)</f>
        <v>93.339100346020771</v>
      </c>
    </row>
    <row r="192" spans="1:5" x14ac:dyDescent="0.25">
      <c r="A192" t="s">
        <v>73</v>
      </c>
      <c r="B192">
        <f>SUMPRODUCT((CustTbl[Branch]="Kanpur Civil Lines Branch")*1)</f>
        <v>68</v>
      </c>
      <c r="C192">
        <f>SUMPRODUCT((LoanTbl[Branch]="Kanpur Civil Lines Branch")*LoanTbl[LoanAmount])</f>
        <v>63320000</v>
      </c>
      <c r="D192">
        <f>SUMPRODUCT((TxnTbl[Branch]="Kanpur Civil Lines Branch")*TxnTbl[Amount])</f>
        <v>11670458</v>
      </c>
      <c r="E192">
        <f>IFERROR(SUMPRODUCT((LoanTbl[Branch]="Kanpur Civil Lines Branch")*LoanTbl[EMIsPaid])/SUMPRODUCT((LoanTbl[Branch]="Kanpur Civil Lines Branch")*LoanTbl[MonthsElapsed])*100,0)</f>
        <v>94.516853932584269</v>
      </c>
    </row>
    <row r="193" spans="1:5" x14ac:dyDescent="0.25">
      <c r="A193" t="s">
        <v>87</v>
      </c>
      <c r="B193">
        <f>SUMPRODUCT((CustTbl[Branch]="Lucknow City Branch")*1)</f>
        <v>80</v>
      </c>
      <c r="C193">
        <f>SUMPRODUCT((LoanTbl[Branch]="Lucknow City Branch")*LoanTbl[LoanAmount])</f>
        <v>65514000</v>
      </c>
      <c r="D193">
        <f>SUMPRODUCT((TxnTbl[Branch]="Lucknow City Branch")*TxnTbl[Amount])</f>
        <v>13254293</v>
      </c>
      <c r="E193">
        <f>IFERROR(SUMPRODUCT((LoanTbl[Branch]="Lucknow City Branch")*LoanTbl[EMIsPaid])/SUMPRODUCT((LoanTbl[Branch]="Lucknow City Branch")*LoanTbl[MonthsElapsed])*100,0)</f>
        <v>91.790686509841578</v>
      </c>
    </row>
    <row r="194" spans="1:5" x14ac:dyDescent="0.25">
      <c r="A194" t="s">
        <v>96</v>
      </c>
      <c r="B194">
        <f>SUMPRODUCT((CustTbl[Branch]="Meerut Cantt Branch")*1)</f>
        <v>74</v>
      </c>
      <c r="C194">
        <f>SUMPRODUCT((LoanTbl[Branch]="Meerut Cantt Branch")*LoanTbl[LoanAmount])</f>
        <v>66478000</v>
      </c>
      <c r="D194">
        <f>SUMPRODUCT((TxnTbl[Branch]="Meerut Cantt Branch")*TxnTbl[Amount])</f>
        <v>12100874</v>
      </c>
      <c r="E194">
        <f>IFERROR(SUMPRODUCT((LoanTbl[Branch]="Meerut Cantt Branch")*LoanTbl[EMIsPaid])/SUMPRODUCT((LoanTbl[Branch]="Meerut Cantt Branch")*LoanTbl[MonthsElapsed])*100,0)</f>
        <v>93.965131873044257</v>
      </c>
    </row>
    <row r="195" spans="1:5" x14ac:dyDescent="0.25">
      <c r="A195" t="s">
        <v>146</v>
      </c>
      <c r="B195">
        <f>SUMPRODUCT((CustTbl[Branch]="Noida Sector 18 Branch")*1)</f>
        <v>101</v>
      </c>
      <c r="C195">
        <f>SUMPRODUCT((LoanTbl[Branch]="Noida Sector 18 Branch")*LoanTbl[LoanAmount])</f>
        <v>101360000</v>
      </c>
      <c r="D195">
        <f>SUMPRODUCT((TxnTbl[Branch]="Noida Sector 18 Branch")*TxnTbl[Amount])</f>
        <v>16896464</v>
      </c>
      <c r="E195">
        <f>IFERROR(SUMPRODUCT((LoanTbl[Branch]="Noida Sector 18 Branch")*LoanTbl[EMIsPaid])/SUMPRODUCT((LoanTbl[Branch]="Noida Sector 18 Branch")*LoanTbl[MonthsElapsed])*100,0)</f>
        <v>94.646333549643089</v>
      </c>
    </row>
    <row r="198" spans="1:5" x14ac:dyDescent="0.25">
      <c r="A198" t="s">
        <v>5910</v>
      </c>
    </row>
    <row r="199" spans="1:5" x14ac:dyDescent="0.25">
      <c r="A199" t="s">
        <v>5911</v>
      </c>
      <c r="B199">
        <f>IFERROR(INDEX(Calc!$B$191:$B$195,MATCH(BranchPerf!$N$4,Calc!$A$191:$A$195,0)),0)</f>
        <v>77</v>
      </c>
    </row>
    <row r="200" spans="1:5" x14ac:dyDescent="0.25">
      <c r="A200" t="s">
        <v>5912</v>
      </c>
      <c r="B200">
        <f>IFERROR(INDEX(Calc!$C$191:$C$195,MATCH(BranchPerf!$N$4,Calc!$A$191:$A$195,0)),0)</f>
        <v>63121000</v>
      </c>
    </row>
    <row r="201" spans="1:5" x14ac:dyDescent="0.25">
      <c r="A201" t="s">
        <v>5913</v>
      </c>
      <c r="B201">
        <f>IFERROR(INDEX(Calc!$D$191:$D$195,MATCH(BranchPerf!$N$4,Calc!$A$191:$A$195,0)),0)</f>
        <v>12531235</v>
      </c>
    </row>
    <row r="202" spans="1:5" x14ac:dyDescent="0.25">
      <c r="A202" t="s">
        <v>5914</v>
      </c>
      <c r="B202">
        <f>IFERROR(INDEX(Calc!$E$191:$E$195,MATCH(BranchPerf!$N$4,Calc!$A$191:$A$195,0)),0)</f>
        <v>93.339100346020771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Home</vt:lpstr>
      <vt:lpstr>Customer</vt:lpstr>
      <vt:lpstr>Transaction</vt:lpstr>
      <vt:lpstr>LoanPortfolio</vt:lpstr>
      <vt:lpstr>EMI_Repayment</vt:lpstr>
      <vt:lpstr>BranchPerf</vt:lpstr>
      <vt:lpstr>RawData_Customers</vt:lpstr>
      <vt:lpstr>RawData_Loans</vt:lpstr>
      <vt:lpstr>RawData_Transactions</vt:lpstr>
      <vt:lpstr>Lists</vt:lpstr>
      <vt:lpstr>Calc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hp</cp:lastModifiedBy>
  <dcterms:created xsi:type="dcterms:W3CDTF">2026-10-07T19:38:30Z</dcterms:created>
  <dcterms:modified xsi:type="dcterms:W3CDTF">2026-10-08T05:04:53Z</dcterms:modified>
</cp:coreProperties>
</file>